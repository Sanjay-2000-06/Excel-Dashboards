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My_Projetcs\02\"/>
    </mc:Choice>
  </mc:AlternateContent>
  <xr:revisionPtr revIDLastSave="0" documentId="13_ncr:1_{86ADEE1A-7FF0-481F-8DC6-ECD956AEC2E8}" xr6:coauthVersionLast="47" xr6:coauthVersionMax="47" xr10:uidLastSave="{00000000-0000-0000-0000-000000000000}"/>
  <bookViews>
    <workbookView xWindow="-108" yWindow="-108" windowWidth="23256" windowHeight="12456" activeTab="6" xr2:uid="{F9979B86-994B-4CB1-957A-49BF66D519BD}"/>
  </bookViews>
  <sheets>
    <sheet name="KPI" sheetId="3" r:id="rId1"/>
    <sheet name="Sheet1" sheetId="5" r:id="rId2"/>
    <sheet name="Detail1" sheetId="8" r:id="rId3"/>
    <sheet name="Sheet2" sheetId="7" r:id="rId4"/>
    <sheet name="Sheet3" sheetId="9" r:id="rId5"/>
    <sheet name="pizza_sales" sheetId="2" r:id="rId6"/>
    <sheet name="Dashboard" sheetId="4" r:id="rId7"/>
  </sheets>
  <definedNames>
    <definedName name="_xlchart.v2.0" hidden="1">Sheet2!$E$28:$E$31</definedName>
    <definedName name="_xlchart.v2.1" hidden="1">Sheet2!$F$27</definedName>
    <definedName name="_xlchart.v2.2" hidden="1">Sheet2!$F$28:$F$31</definedName>
    <definedName name="_xlchart.v2.3" hidden="1">Sheet2!$E$28:$E$31</definedName>
    <definedName name="_xlchart.v2.4" hidden="1">Sheet2!$F$27</definedName>
    <definedName name="_xlchart.v2.5" hidden="1">Sheet2!$F$28:$F$31</definedName>
    <definedName name="ExternalData_1" localSheetId="5" hidden="1">pizza_sales!$A$1:$N$2421</definedName>
    <definedName name="NativeTimeline_order_date">#N/A</definedName>
  </definedNames>
  <calcPr calcId="191029"/>
  <pivotCaches>
    <pivotCache cacheId="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7" l="1"/>
  <c r="E30" i="7"/>
  <c r="E31" i="7"/>
  <c r="E28" i="7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C6" i="3"/>
  <c r="B6" i="3"/>
  <c r="E4" i="3"/>
  <c r="A6" i="3"/>
  <c r="F29" i="7"/>
  <c r="F30" i="7"/>
  <c r="F31" i="7"/>
  <c r="F28" i="7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65707-4FBE-4677-94E3-C3C53114AA89}" keepAlive="1" name="Query - pizza_sales" description="Connection to the 'pizza_sales' query in the workbook." type="5" refreshedVersion="8" background="1" saveData="1">
    <dbPr connection="Provider=Microsoft.Mashup.OleDb.1;Data Source=$Workbook$;Location=pizza_sales;Extended Properties=&quot;&quot;" command="SELECT * FROM [pizza_sales]"/>
  </connection>
</connections>
</file>

<file path=xl/sharedStrings.xml><?xml version="1.0" encoding="utf-8"?>
<sst xmlns="http://schemas.openxmlformats.org/spreadsheetml/2006/main" count="16488" uniqueCount="215">
  <si>
    <t>pizza_id</t>
  </si>
  <si>
    <t>order_id</t>
  </si>
  <si>
    <t>pizza_name_id</t>
  </si>
  <si>
    <t>quantity</t>
  </si>
  <si>
    <t>order_date</t>
  </si>
  <si>
    <t>order_time</t>
  </si>
  <si>
    <t>unit_price</t>
  </si>
  <si>
    <t>total_price</t>
  </si>
  <si>
    <t>pizza_size</t>
  </si>
  <si>
    <t>pizza_category</t>
  </si>
  <si>
    <t>pizza_ingredients</t>
  </si>
  <si>
    <t>pizza_name</t>
  </si>
  <si>
    <t>hawaiian_m</t>
  </si>
  <si>
    <t>M</t>
  </si>
  <si>
    <t>Classic</t>
  </si>
  <si>
    <t>Sliced Ham, Pineapple, Mozzarella Cheese</t>
  </si>
  <si>
    <t>The Hawaiian Pizza</t>
  </si>
  <si>
    <t>classic_dlx_m</t>
  </si>
  <si>
    <t>Pepperoni, Mushrooms, Red Onions, Red Peppers, Bacon</t>
  </si>
  <si>
    <t>The Classic Deluxe Pizza</t>
  </si>
  <si>
    <t>five_cheese_l</t>
  </si>
  <si>
    <t>L</t>
  </si>
  <si>
    <t>Veggie</t>
  </si>
  <si>
    <t>Mozzarella Cheese, Provolone Cheese, Smoked Gouda Cheese, Romano Cheese, Blue Cheese, Garlic</t>
  </si>
  <si>
    <t>The Five Cheese Pizza</t>
  </si>
  <si>
    <t>ital_supr_l</t>
  </si>
  <si>
    <t>Supreme</t>
  </si>
  <si>
    <t>Calabrese Salami, Capocollo, Tomatoes, Red Onions, Green Olives, Garlic</t>
  </si>
  <si>
    <t>The Italian Supreme Pizza</t>
  </si>
  <si>
    <t>mexicana_m</t>
  </si>
  <si>
    <t>Tomatoes, Red Peppers, Jalapeno Peppers, Red Onions, Cilantro, Corn, Chipotle Sauce, Garlic</t>
  </si>
  <si>
    <t>The Mexicana Pizza</t>
  </si>
  <si>
    <t>thai_ckn_l</t>
  </si>
  <si>
    <t>Chicken</t>
  </si>
  <si>
    <t>Chicken, Pineapple, Tomatoes, Red Peppers, Thai Sweet Chilli Sauce</t>
  </si>
  <si>
    <t>The Thai Chicken Pizza</t>
  </si>
  <si>
    <t>ital_supr_m</t>
  </si>
  <si>
    <t>prsc_argla_l</t>
  </si>
  <si>
    <t>Prosciutto di San Daniele, Arugula, Mozzarella Cheese</t>
  </si>
  <si>
    <t>The Prosciutto and Arugula Pizza</t>
  </si>
  <si>
    <t>bbq_ckn_s</t>
  </si>
  <si>
    <t>S</t>
  </si>
  <si>
    <t>Barbecued Chicken, Red Peppers, Green Peppers, Tomatoes, Red Onions, Barbecue Sauce</t>
  </si>
  <si>
    <t>The Barbecue Chicken Pizza</t>
  </si>
  <si>
    <t>the_greek_s</t>
  </si>
  <si>
    <t>Kalamata Olives, Feta Cheese, Tomatoes, Garlic, Beef Chuck Roast, Red Onions</t>
  </si>
  <si>
    <t>The Greek Pizza</t>
  </si>
  <si>
    <t>spinach_supr_s</t>
  </si>
  <si>
    <t>Spinach, Red Onions, Pepperoni, Tomatoes, Artichokes, Kalamata Olives, Garlic, Asiago Cheese</t>
  </si>
  <si>
    <t>The Spinach Supreme Pizza</t>
  </si>
  <si>
    <t>classic_dlx_s</t>
  </si>
  <si>
    <t>green_garden_s</t>
  </si>
  <si>
    <t>Spinach, Mushrooms, Tomatoes, Green Olives, Feta Cheese</t>
  </si>
  <si>
    <t>The Green Garden Pizza</t>
  </si>
  <si>
    <t>ital_cpcllo_l</t>
  </si>
  <si>
    <t>Capocollo, Red Peppers, Tomatoes, Goat Cheese, Garlic, Oregano</t>
  </si>
  <si>
    <t>The Italian Capocollo Pizza</t>
  </si>
  <si>
    <t>ital_supr_s</t>
  </si>
  <si>
    <t>mexicana_s</t>
  </si>
  <si>
    <t>spicy_ital_l</t>
  </si>
  <si>
    <t>Capocollo, Tomatoes, Goat Cheese, Artichokes, Peperoncini verdi, Garlic</t>
  </si>
  <si>
    <t>The Spicy Italian Pizza</t>
  </si>
  <si>
    <t>spin_pesto_l</t>
  </si>
  <si>
    <t>Spinach, Artichokes, Tomatoes, Sun-dried Tomatoes, Garlic, Pesto Sauce</t>
  </si>
  <si>
    <t>The Spinach Pesto Pizza</t>
  </si>
  <si>
    <t>veggie_veg_s</t>
  </si>
  <si>
    <t>Mushrooms, Tomatoes, Red Peppers, Green Peppers, Red Onions, Zucchini, Spinach, Garlic</t>
  </si>
  <si>
    <t>The Vegetables + Vegetables Pizza</t>
  </si>
  <si>
    <t>mexicana_l</t>
  </si>
  <si>
    <t>southw_ckn_l</t>
  </si>
  <si>
    <t>Chicken, Tomatoes, Red Peppers, Red Onions, Jalapeno Peppers, Corn, Cilantro, Chipotle Sauce</t>
  </si>
  <si>
    <t>The Southwest Chicken Pizza</t>
  </si>
  <si>
    <t>bbq_ckn_l</t>
  </si>
  <si>
    <t>cali_ckn_l</t>
  </si>
  <si>
    <t>Chicken, Artichoke, Spinach, Garlic, Jalapeno Peppers, Fontina Cheese, Gouda Cheese</t>
  </si>
  <si>
    <t>The California Chicken Pizza</t>
  </si>
  <si>
    <t>cali_ckn_m</t>
  </si>
  <si>
    <t>pepperoni_l</t>
  </si>
  <si>
    <t>Mozzarella Cheese, Pepperoni</t>
  </si>
  <si>
    <t>The Pepperoni Pizza</t>
  </si>
  <si>
    <t>cali_ckn_s</t>
  </si>
  <si>
    <t>ckn_pesto_l</t>
  </si>
  <si>
    <t>Chicken, Tomatoes, Red Peppers, Spinach, Garlic, Pesto Sauce</t>
  </si>
  <si>
    <t>The Chicken Pesto Pizza</t>
  </si>
  <si>
    <t>big_meat_s</t>
  </si>
  <si>
    <t>Bacon, Pepperoni, Italian Sausage, Chorizo Sausage</t>
  </si>
  <si>
    <t>The Big Meat Pizza</t>
  </si>
  <si>
    <t>soppressata_l</t>
  </si>
  <si>
    <t>Soppressata Salami, Fontina Cheese, Mozzarella Cheese, Mushrooms, Garlic</t>
  </si>
  <si>
    <t>The Soppressata Pizza</t>
  </si>
  <si>
    <t>four_cheese_l</t>
  </si>
  <si>
    <t>Ricotta Cheese, Gorgonzola Piccante Cheese, Mozzarella Cheese, Parmigiano Reggiano Cheese, Garlic</t>
  </si>
  <si>
    <t>The Four Cheese Pizza</t>
  </si>
  <si>
    <t>napolitana_s</t>
  </si>
  <si>
    <t>Tomatoes, Anchovies, Green Olives, Red Onions, Garlic</t>
  </si>
  <si>
    <t>The Napolitana Pizza</t>
  </si>
  <si>
    <t>calabrese_m</t>
  </si>
  <si>
    <t>?duja Salami, Pancetta, Tomatoes, Red Onions, Friggitello Peppers, Garlic</t>
  </si>
  <si>
    <t>The Calabrese Pizza</t>
  </si>
  <si>
    <t>four_cheese_m</t>
  </si>
  <si>
    <t>ital_veggie_s</t>
  </si>
  <si>
    <t>Eggplant, Artichokes, Tomatoes, Zucchini, Red Peppers, Garlic, Pesto Sauce</t>
  </si>
  <si>
    <t>The Italian Vegetables Pizza</t>
  </si>
  <si>
    <t>mediterraneo_m</t>
  </si>
  <si>
    <t>Spinach, Artichokes, Kalamata Olives, Sun-dried Tomatoes, Feta Cheese, Plum Tomatoes, Red Onions</t>
  </si>
  <si>
    <t>The Mediterranean Pizza</t>
  </si>
  <si>
    <t>peppr_salami_s</t>
  </si>
  <si>
    <t>Genoa Salami, Capocollo, Pepperoni, Tomatoes, Asiago Cheese, Garlic</t>
  </si>
  <si>
    <t>The Pepper Salami Pizza</t>
  </si>
  <si>
    <t>spinach_fet_l</t>
  </si>
  <si>
    <t>Spinach, Mushrooms, Red Onions, Feta Cheese, Garlic</t>
  </si>
  <si>
    <t>The Spinach and Feta Pizza</t>
  </si>
  <si>
    <t>napolitana_l</t>
  </si>
  <si>
    <t>sicilian_l</t>
  </si>
  <si>
    <t>Coarse Sicilian Salami, Tomatoes, Green Olives, Luganega Sausage, Onions, Garlic</t>
  </si>
  <si>
    <t>The Sicilian Pizza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</si>
  <si>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</si>
  <si>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</si>
  <si>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</si>
  <si>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</si>
  <si>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</si>
  <si>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</si>
  <si>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</si>
  <si>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</si>
  <si>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Chicken, Red Onions, Red Peppers, Mushrooms, Asiago Cheese, Alfredo Sauce</t>
  </si>
  <si>
    <t>The Chicken Alfredo Pizza</t>
  </si>
  <si>
    <t>pepperoni_s</t>
  </si>
  <si>
    <t>green_garden_l</t>
  </si>
  <si>
    <t>green_garden_m</t>
  </si>
  <si>
    <t>pep_msh_pep_l</t>
  </si>
  <si>
    <t>Pepperoni, Mushrooms, Green Peppers</t>
  </si>
  <si>
    <t>The Pepperoni, Mushroom, and Peppers Pizza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</si>
  <si>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</si>
  <si>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</si>
  <si>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</si>
  <si>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</si>
  <si>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</si>
  <si>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</si>
  <si>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</si>
  <si>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</si>
  <si>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</si>
  <si>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</si>
  <si>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</si>
  <si>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</si>
  <si>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</si>
  <si>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</si>
  <si>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</si>
  <si>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</si>
  <si>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</si>
  <si>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</si>
  <si>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</si>
  <si>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</si>
  <si>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</si>
  <si>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</si>
  <si>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</si>
  <si>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</si>
  <si>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</si>
  <si>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</si>
  <si>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</si>
  <si>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</si>
  <si>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</si>
  <si>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</si>
  <si>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</si>
  <si>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</si>
  <si>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</si>
  <si>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</si>
  <si>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Brie Carre Cheese, Prosciutto, Caramelized Onions, Pears, Thyme, Garlic</t>
  </si>
  <si>
    <t>The Brie Carre Pizza</t>
  </si>
  <si>
    <t>ckn_alfredo_l</t>
  </si>
  <si>
    <t>calabrese_s</t>
  </si>
  <si>
    <t>the_greek_l</t>
  </si>
  <si>
    <t>soppressata_m</t>
  </si>
  <si>
    <t>soppressata_s</t>
  </si>
  <si>
    <t>calabrese_l</t>
  </si>
  <si>
    <t>Order_day</t>
  </si>
  <si>
    <t>Sum of total_price</t>
  </si>
  <si>
    <t>total_orders</t>
  </si>
  <si>
    <t>Sum of total_orders</t>
  </si>
  <si>
    <t>Avg_order_value</t>
  </si>
  <si>
    <t>Sum of quantity</t>
  </si>
  <si>
    <t>Avg_Pizza_per_order</t>
  </si>
  <si>
    <t>Total Revenue</t>
  </si>
  <si>
    <t>Total orders</t>
  </si>
  <si>
    <t>Total pizza sold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</si>
  <si>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</si>
  <si>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</si>
  <si>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</si>
  <si>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</si>
  <si>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</si>
  <si>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</si>
  <si>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</si>
  <si>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</si>
  <si>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</si>
  <si>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Daily Trend for total order</t>
  </si>
  <si>
    <t>HourlyTrend for total order</t>
  </si>
  <si>
    <t>pizza_Regularize</t>
  </si>
  <si>
    <t>Large</t>
  </si>
  <si>
    <t>Medium</t>
  </si>
  <si>
    <t>Regular</t>
  </si>
  <si>
    <t>X-Large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</si>
  <si>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</si>
  <si>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</si>
  <si>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</si>
  <si>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</si>
  <si>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</si>
  <si>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</si>
  <si>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</si>
  <si>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</si>
  <si>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</si>
  <si>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</si>
  <si>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</si>
  <si>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</si>
  <si>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Details for Sum of total_price - pizza_category: Classic</t>
  </si>
  <si>
    <t>Pizza Category</t>
  </si>
  <si>
    <t>Total Pizza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</si>
</sst>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#"/>
    <numFmt numFmtId="165" formatCode="\$#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1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27" formatCode="dd/mm/yyyy\ hh:mm"/>
    </dxf>
    <dxf>
      <numFmt numFmtId="19" formatCode="dd/mm/yyyy"/>
    </dxf>
    <dxf>
      <font>
        <b/>
        <i val="0"/>
        <sz val="14"/>
        <color theme="0" tint="-4.9989318521683403E-2"/>
        <name val="Calibri"/>
        <family val="2"/>
        <scheme val="minor"/>
      </font>
    </dxf>
    <dxf>
      <fill>
        <gradientFill>
          <stop position="0">
            <color theme="5" tint="-0.49803155613879818"/>
          </stop>
          <stop position="1">
            <color rgb="FF002060"/>
          </stop>
        </gradient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</dxfs>
  <tableStyles count="1" defaultTableStyle="TableStyleMedium2" defaultPivotStyle="PivotStyleLight16">
    <tableStyle name="Pizza Slicer" pivot="0" table="0" count="8" xr9:uid="{C72F0A88-0BB6-46AF-9C58-F8EB8984D87A}">
      <tableStyleElement type="wholeTable" dxfId="12"/>
      <tableStyleElement type="headerRow" dxfId="11"/>
    </tableStyle>
  </tableStyles>
  <colors>
    <mruColors>
      <color rgb="FFF48183"/>
      <color rgb="FFCC5D12"/>
      <color rgb="FF7F3A0B"/>
      <color rgb="FF2F5597"/>
      <color rgb="FF3E5C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6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5" tint="-0.24994659260841701"/>
            </patternFill>
          </fill>
        </dxf>
        <dxf>
          <font>
            <sz val="10"/>
            <color theme="7" tint="-0.24994659260841701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b/>
            <i val="0"/>
            <sz val="9"/>
            <color theme="8" tint="0.39994506668294322"/>
            <name val="Calibri"/>
            <family val="2"/>
            <scheme val="minor"/>
          </font>
        </dxf>
        <dxf>
          <font>
            <b/>
            <i val="0"/>
            <sz val="10"/>
            <color theme="0" tint="-4.9989318521683403E-2"/>
            <name val="Calibri"/>
            <family val="2"/>
            <scheme val="minor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Pizza Slicer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[Pizza_sales.xlsx]Sheet1! Daily Trend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151.00000000000014</c:v>
                </c:pt>
                <c:pt idx="1">
                  <c:v>108.99999999999997</c:v>
                </c:pt>
                <c:pt idx="2">
                  <c:v>112.00000000000001</c:v>
                </c:pt>
                <c:pt idx="3">
                  <c:v>119.99999999999986</c:v>
                </c:pt>
                <c:pt idx="4">
                  <c:v>203.00000000000011</c:v>
                </c:pt>
                <c:pt idx="5">
                  <c:v>196.00000000000028</c:v>
                </c:pt>
                <c:pt idx="6">
                  <c:v>186.00000000000011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C-4D23-A4F7-0219FDCE99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1386688"/>
        <c:axId val="1261671376"/>
      </c:barChart>
      <c:catAx>
        <c:axId val="10613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71376"/>
        <c:crosses val="autoZero"/>
        <c:auto val="1"/>
        <c:lblAlgn val="ctr"/>
        <c:lblOffset val="100"/>
        <c:noMultiLvlLbl val="0"/>
      </c:catAx>
      <c:valAx>
        <c:axId val="12616713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613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[Pizza_sales.xlsx]Sheet1!Hourly trend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Sheet1!$A$17:$A$29</c:f>
              <c:strCach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</c:strCache>
            </c:strRef>
          </c:cat>
          <c:val>
            <c:numRef>
              <c:f>Sheet1!$B$17:$B$29</c:f>
              <c:numCache>
                <c:formatCode>General</c:formatCode>
                <c:ptCount val="12"/>
                <c:pt idx="0">
                  <c:v>53.000000000000014</c:v>
                </c:pt>
                <c:pt idx="1">
                  <c:v>123.99999999999993</c:v>
                </c:pt>
                <c:pt idx="2">
                  <c:v>115.99999999999989</c:v>
                </c:pt>
                <c:pt idx="3">
                  <c:v>98.000000000000071</c:v>
                </c:pt>
                <c:pt idx="4">
                  <c:v>81.999999999999972</c:v>
                </c:pt>
                <c:pt idx="5">
                  <c:v>93.999999999999972</c:v>
                </c:pt>
                <c:pt idx="6">
                  <c:v>121.99999999999991</c:v>
                </c:pt>
                <c:pt idx="7">
                  <c:v>118.99999999999984</c:v>
                </c:pt>
                <c:pt idx="8">
                  <c:v>105.99999999999993</c:v>
                </c:pt>
                <c:pt idx="9">
                  <c:v>76.999999999999943</c:v>
                </c:pt>
                <c:pt idx="10">
                  <c:v>53.000000000000014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52-4FD8-A7A4-850EA8AEE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552048"/>
        <c:axId val="1061567408"/>
      </c:lineChart>
      <c:catAx>
        <c:axId val="10615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567408"/>
        <c:crosses val="autoZero"/>
        <c:auto val="1"/>
        <c:lblAlgn val="ctr"/>
        <c:lblOffset val="100"/>
        <c:noMultiLvlLbl val="0"/>
      </c:catAx>
      <c:valAx>
        <c:axId val="106156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15520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[Pizza_sales.xlsx]Sheet2!Percentage of sales by pizza category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222222222222243E-2"/>
              <c:y val="-4.629629629629631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6.01851851851852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6.481481481481472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33333333333362E-2"/>
              <c:y val="5.555555555555538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83-4088-9D62-B5A90EDC18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A83-4088-9D62-B5A90EDC18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83-4088-9D62-B5A90EDC18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A83-4088-9D62-B5A90EDC1842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6.0185185185185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83-4088-9D62-B5A90EDC1842}"/>
                </c:ext>
              </c:extLst>
            </c:dLbl>
            <c:dLbl>
              <c:idx val="1"/>
              <c:layout>
                <c:manualLayout>
                  <c:x val="6.1111111111111109E-2"/>
                  <c:y val="6.481481481481472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A83-4088-9D62-B5A90EDC1842}"/>
                </c:ext>
              </c:extLst>
            </c:dLbl>
            <c:dLbl>
              <c:idx val="2"/>
              <c:layout>
                <c:manualLayout>
                  <c:x val="-5.8333333333333362E-2"/>
                  <c:y val="5.55555555555553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83-4088-9D62-B5A90EDC1842}"/>
                </c:ext>
              </c:extLst>
            </c:dLbl>
            <c:dLbl>
              <c:idx val="3"/>
              <c:layout>
                <c:manualLayout>
                  <c:x val="-7.2222222222222243E-2"/>
                  <c:y val="-4.62962962962963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A83-4088-9D62-B5A90EDC184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Sheet2!$B$4:$B$8</c:f>
              <c:numCache>
                <c:formatCode>0.00%</c:formatCode>
                <c:ptCount val="4"/>
                <c:pt idx="0">
                  <c:v>0.23835832578924998</c:v>
                </c:pt>
                <c:pt idx="1">
                  <c:v>0.26266272863472717</c:v>
                </c:pt>
                <c:pt idx="2">
                  <c:v>0.258819839938847</c:v>
                </c:pt>
                <c:pt idx="3">
                  <c:v>0.24015910563717593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3-4088-9D62-B5A90EDC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[Pizza_sales.xlsx]Sheet2!% of pizza size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77-4E97-926B-223F5E7E09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77-4E97-926B-223F5E7E09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77-4E97-926B-223F5E7E09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77-4E97-926B-223F5E7E09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Sheet2!$A$15:$A$19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Regular</c:v>
                </c:pt>
                <c:pt idx="3">
                  <c:v>X-Large</c:v>
                </c:pt>
              </c:strCache>
            </c:strRef>
          </c:cat>
          <c:val>
            <c:numRef>
              <c:f>Sheet2!$B$15:$B$19</c:f>
              <c:numCache>
                <c:formatCode>0.00%</c:formatCode>
                <c:ptCount val="4"/>
                <c:pt idx="0">
                  <c:v>0.4674064972626924</c:v>
                </c:pt>
                <c:pt idx="1">
                  <c:v>0.30890724513758799</c:v>
                </c:pt>
                <c:pt idx="2">
                  <c:v>0.20494344693763283</c:v>
                </c:pt>
                <c:pt idx="3">
                  <c:v>1.8742810662086714E-2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4-4B3B-A74A-FE28A6920E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[Pizza_sales.xlsx]Sheet3!Top 5 pizza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The Classic Deluxe Pizza</c:v>
                </c:pt>
                <c:pt idx="1">
                  <c:v>The Sicilian Pizza</c:v>
                </c:pt>
                <c:pt idx="2">
                  <c:v>The California Chicken Pizza</c:v>
                </c:pt>
                <c:pt idx="3">
                  <c:v>The Thai Chicken Pizza</c:v>
                </c:pt>
                <c:pt idx="4">
                  <c:v>The Barbecue Chicken Pizza</c:v>
                </c:pt>
                <c:pt idx="5">
                  <c:v>The Pepperoni Pizza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113</c:v>
                </c:pt>
                <c:pt idx="1">
                  <c:v>113</c:v>
                </c:pt>
                <c:pt idx="2">
                  <c:v>116</c:v>
                </c:pt>
                <c:pt idx="3">
                  <c:v>117</c:v>
                </c:pt>
                <c:pt idx="4">
                  <c:v>125</c:v>
                </c:pt>
                <c:pt idx="5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0-4A98-BDE4-621B2DC7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4275584"/>
        <c:axId val="1094276064"/>
      </c:barChart>
      <c:catAx>
        <c:axId val="109427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76064"/>
        <c:crosses val="autoZero"/>
        <c:auto val="1"/>
        <c:lblAlgn val="ctr"/>
        <c:lblOffset val="100"/>
        <c:noMultiLvlLbl val="0"/>
      </c:catAx>
      <c:valAx>
        <c:axId val="1094276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2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[Pizza_sales.xlsx]Sheet3!bottom 5 pizza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Sheet3!$A$15:$A$20</c:f>
              <c:strCache>
                <c:ptCount val="5"/>
                <c:pt idx="0">
                  <c:v>The Chicken Pesto Pizza</c:v>
                </c:pt>
                <c:pt idx="1">
                  <c:v>The Soppressata Pizza</c:v>
                </c:pt>
                <c:pt idx="2">
                  <c:v>The Mediterranean Pizza</c:v>
                </c:pt>
                <c:pt idx="3">
                  <c:v>The Calabrese Pizza</c:v>
                </c:pt>
                <c:pt idx="4">
                  <c:v>The Brie Carre Pizza</c:v>
                </c:pt>
              </c:strCache>
            </c:strRef>
          </c:cat>
          <c:val>
            <c:numRef>
              <c:f>Sheet3!$B$15:$B$20</c:f>
              <c:numCache>
                <c:formatCode>General</c:formatCode>
                <c:ptCount val="5"/>
                <c:pt idx="0">
                  <c:v>46</c:v>
                </c:pt>
                <c:pt idx="1">
                  <c:v>41</c:v>
                </c:pt>
                <c:pt idx="2">
                  <c:v>37</c:v>
                </c:pt>
                <c:pt idx="3">
                  <c:v>37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E-4114-A3AD-A2183D292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7745200"/>
        <c:axId val="2047743760"/>
      </c:barChart>
      <c:catAx>
        <c:axId val="204774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43760"/>
        <c:crosses val="autoZero"/>
        <c:auto val="1"/>
        <c:lblAlgn val="ctr"/>
        <c:lblOffset val="100"/>
        <c:noMultiLvlLbl val="0"/>
      </c:catAx>
      <c:valAx>
        <c:axId val="20477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74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[Pizza_sales.xlsx]Sheet1! Daily Trend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F48183"/>
              </a:gs>
              <a:gs pos="74000">
                <a:srgbClr val="3E5C95"/>
              </a:gs>
              <a:gs pos="100000">
                <a:srgbClr val="2F5597"/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F48183"/>
                </a:gs>
                <a:gs pos="74000">
                  <a:srgbClr val="3E5C95"/>
                </a:gs>
                <a:gs pos="100000">
                  <a:srgbClr val="2F5597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Sheet1!$B$4:$B$11</c:f>
              <c:numCache>
                <c:formatCode>General</c:formatCode>
                <c:ptCount val="7"/>
                <c:pt idx="0">
                  <c:v>151.00000000000014</c:v>
                </c:pt>
                <c:pt idx="1">
                  <c:v>108.99999999999997</c:v>
                </c:pt>
                <c:pt idx="2">
                  <c:v>112.00000000000001</c:v>
                </c:pt>
                <c:pt idx="3">
                  <c:v>119.99999999999986</c:v>
                </c:pt>
                <c:pt idx="4">
                  <c:v>203.00000000000011</c:v>
                </c:pt>
                <c:pt idx="5">
                  <c:v>196.00000000000028</c:v>
                </c:pt>
                <c:pt idx="6">
                  <c:v>186.00000000000011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E-49BE-BA70-A5E303E3A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0"/>
        <c:overlap val="-27"/>
        <c:axId val="1061386688"/>
        <c:axId val="1261671376"/>
      </c:barChart>
      <c:catAx>
        <c:axId val="106138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671376"/>
        <c:crosses val="autoZero"/>
        <c:auto val="1"/>
        <c:lblAlgn val="ctr"/>
        <c:lblOffset val="100"/>
        <c:noMultiLvlLbl val="0"/>
      </c:catAx>
      <c:valAx>
        <c:axId val="12616713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13866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[Pizza_sales.xlsx]Sheet1!Hourly trend</c:name>
    <c:fmtId val="5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 cmpd="sng" algn="ctr">
            <a:solidFill>
              <a:srgbClr val="CC5D12"/>
            </a:solidFill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122807017543858E-2"/>
          <c:y val="0.16758614619724535"/>
          <c:w val="0.95175438596491224"/>
          <c:h val="0.68134383366955353"/>
        </c:manualLayout>
      </c:layout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 cmpd="sng" algn="ctr">
              <a:solidFill>
                <a:srgbClr val="CC5D1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Sheet1!$A$17:$A$29</c:f>
              <c:strCach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</c:strCache>
            </c:strRef>
          </c:cat>
          <c:val>
            <c:numRef>
              <c:f>Sheet1!$B$17:$B$29</c:f>
              <c:numCache>
                <c:formatCode>General</c:formatCode>
                <c:ptCount val="12"/>
                <c:pt idx="0">
                  <c:v>53.000000000000014</c:v>
                </c:pt>
                <c:pt idx="1">
                  <c:v>123.99999999999993</c:v>
                </c:pt>
                <c:pt idx="2">
                  <c:v>115.99999999999989</c:v>
                </c:pt>
                <c:pt idx="3">
                  <c:v>98.000000000000071</c:v>
                </c:pt>
                <c:pt idx="4">
                  <c:v>81.999999999999972</c:v>
                </c:pt>
                <c:pt idx="5">
                  <c:v>93.999999999999972</c:v>
                </c:pt>
                <c:pt idx="6">
                  <c:v>121.99999999999991</c:v>
                </c:pt>
                <c:pt idx="7">
                  <c:v>118.99999999999984</c:v>
                </c:pt>
                <c:pt idx="8">
                  <c:v>105.99999999999993</c:v>
                </c:pt>
                <c:pt idx="9">
                  <c:v>76.999999999999943</c:v>
                </c:pt>
                <c:pt idx="10">
                  <c:v>53.000000000000014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4-43C8-930E-5CD8C53CD1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accent1">
                      <a:lumMod val="60000"/>
                      <a:lumOff val="40000"/>
                    </a:schemeClr>
                  </a:gs>
                  <a:gs pos="74000">
                    <a:schemeClr val="accent2">
                      <a:lumMod val="50000"/>
                    </a:schemeClr>
                  </a:gs>
                  <a:gs pos="100000">
                    <a:schemeClr val="accent2">
                      <a:lumMod val="5000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marker val="1"/>
        <c:smooth val="0"/>
        <c:axId val="1061552048"/>
        <c:axId val="1061567408"/>
      </c:lineChart>
      <c:catAx>
        <c:axId val="106155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567408"/>
        <c:crosses val="autoZero"/>
        <c:auto val="1"/>
        <c:lblAlgn val="ctr"/>
        <c:lblOffset val="100"/>
        <c:noMultiLvlLbl val="0"/>
      </c:catAx>
      <c:valAx>
        <c:axId val="106156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155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[Pizza_sales.xlsx]Sheet2!Percentage of sales by pizza category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222222222222243E-2"/>
              <c:y val="-4.629629629629631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6.01851851851852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6.481481481481472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33333333333362E-2"/>
              <c:y val="5.555555555555538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6.01851851851852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6.481481481481472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33333333333362E-2"/>
              <c:y val="5.555555555555538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222222222222243E-2"/>
              <c:y val="-4.629629629629631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444444444448E-2"/>
              <c:y val="-6.018518518518521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111111111111109E-2"/>
              <c:y val="6.4814814814814728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8333333333333362E-2"/>
              <c:y val="5.5555555555555386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222222222222243E-2"/>
              <c:y val="-4.6296296296296315E-2"/>
            </c:manualLayout>
          </c:layout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60547022305547"/>
          <c:y val="0"/>
          <c:w val="0.35327338350319171"/>
          <c:h val="0.87500052795092897"/>
        </c:manualLayout>
      </c:layout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0D-4600-B57D-50E3B2A70A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D-4600-B57D-50E3B2A70A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0D-4600-B57D-50E3B2A70A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0D-4600-B57D-50E3B2A70A09}"/>
              </c:ext>
            </c:extLst>
          </c:dPt>
          <c:dLbls>
            <c:dLbl>
              <c:idx val="0"/>
              <c:layout>
                <c:manualLayout>
                  <c:x val="6.9444444444444448E-2"/>
                  <c:y val="-6.01851851851852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0D-4600-B57D-50E3B2A70A09}"/>
                </c:ext>
              </c:extLst>
            </c:dLbl>
            <c:dLbl>
              <c:idx val="1"/>
              <c:layout>
                <c:manualLayout>
                  <c:x val="6.1111111111111109E-2"/>
                  <c:y val="6.481481481481472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0D-4600-B57D-50E3B2A70A09}"/>
                </c:ext>
              </c:extLst>
            </c:dLbl>
            <c:dLbl>
              <c:idx val="2"/>
              <c:layout>
                <c:manualLayout>
                  <c:x val="-5.8333333333333362E-2"/>
                  <c:y val="5.55555555555553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0D-4600-B57D-50E3B2A70A09}"/>
                </c:ext>
              </c:extLst>
            </c:dLbl>
            <c:dLbl>
              <c:idx val="3"/>
              <c:layout>
                <c:manualLayout>
                  <c:x val="-7.2222222222222243E-2"/>
                  <c:y val="-4.62962962962963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0D-4600-B57D-50E3B2A70A0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Chicken</c:v>
                </c:pt>
                <c:pt idx="1">
                  <c:v>Classic</c:v>
                </c:pt>
                <c:pt idx="2">
                  <c:v>Supreme</c:v>
                </c:pt>
                <c:pt idx="3">
                  <c:v>Veggie</c:v>
                </c:pt>
              </c:strCache>
            </c:strRef>
          </c:cat>
          <c:val>
            <c:numRef>
              <c:f>Sheet2!$B$4:$B$8</c:f>
              <c:numCache>
                <c:formatCode>0.00%</c:formatCode>
                <c:ptCount val="4"/>
                <c:pt idx="0">
                  <c:v>0.23835832578924998</c:v>
                </c:pt>
                <c:pt idx="1">
                  <c:v>0.26266272863472717</c:v>
                </c:pt>
                <c:pt idx="2">
                  <c:v>0.258819839938847</c:v>
                </c:pt>
                <c:pt idx="3">
                  <c:v>0.24015910563717593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0D-4600-B57D-50E3B2A70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464014998338611"/>
          <c:y val="0.24137735458572143"/>
          <c:w val="0.24679706737266957"/>
          <c:h val="0.70115262246802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[Pizza_sales.xlsx]Sheet2!% of pizza size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E0-42CE-AFAA-0C8C4ABAE1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E0-42CE-AFAA-0C8C4ABAE1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E0-42CE-AFAA-0C8C4ABAE1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E0-42CE-AFAA-0C8C4ABAE1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Sheet2!$A$15:$A$19</c:f>
              <c:strCache>
                <c:ptCount val="4"/>
                <c:pt idx="0">
                  <c:v>Large</c:v>
                </c:pt>
                <c:pt idx="1">
                  <c:v>Medium</c:v>
                </c:pt>
                <c:pt idx="2">
                  <c:v>Regular</c:v>
                </c:pt>
                <c:pt idx="3">
                  <c:v>X-Large</c:v>
                </c:pt>
              </c:strCache>
            </c:strRef>
          </c:cat>
          <c:val>
            <c:numRef>
              <c:f>Sheet2!$B$15:$B$19</c:f>
              <c:numCache>
                <c:formatCode>0.00%</c:formatCode>
                <c:ptCount val="4"/>
                <c:pt idx="0">
                  <c:v>0.4674064972626924</c:v>
                </c:pt>
                <c:pt idx="1">
                  <c:v>0.30890724513758799</c:v>
                </c:pt>
                <c:pt idx="2">
                  <c:v>0.20494344693763283</c:v>
                </c:pt>
                <c:pt idx="3">
                  <c:v>1.8742810662086714E-2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E0-42CE-AFAA-0C8C4ABAE1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44457423420623"/>
          <c:y val="0.37950085886906948"/>
          <c:w val="0.19339492685046539"/>
          <c:h val="0.54878432878816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[Pizza_sales.xlsx]Sheet3!Top 5 pizza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098">
                <a:schemeClr val="accent4">
                  <a:lumMod val="75000"/>
                </a:schemeClr>
              </a:gs>
              <a:gs pos="100000">
                <a:schemeClr val="accent2">
                  <a:lumMod val="5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377690288713909"/>
          <c:y val="0.10185185185185185"/>
          <c:w val="0.6462230971128608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098">
                  <a:schemeClr val="accent4">
                    <a:lumMod val="75000"/>
                  </a:schemeClr>
                </a:gs>
                <a:gs pos="100000">
                  <a:schemeClr val="accent2">
                    <a:lumMod val="5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The Classic Deluxe Pizza</c:v>
                </c:pt>
                <c:pt idx="1">
                  <c:v>The Sicilian Pizza</c:v>
                </c:pt>
                <c:pt idx="2">
                  <c:v>The California Chicken Pizza</c:v>
                </c:pt>
                <c:pt idx="3">
                  <c:v>The Thai Chicken Pizza</c:v>
                </c:pt>
                <c:pt idx="4">
                  <c:v>The Barbecue Chicken Pizza</c:v>
                </c:pt>
                <c:pt idx="5">
                  <c:v>The Pepperoni Pizza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113</c:v>
                </c:pt>
                <c:pt idx="1">
                  <c:v>113</c:v>
                </c:pt>
                <c:pt idx="2">
                  <c:v>116</c:v>
                </c:pt>
                <c:pt idx="3">
                  <c:v>117</c:v>
                </c:pt>
                <c:pt idx="4">
                  <c:v>125</c:v>
                </c:pt>
                <c:pt idx="5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8-4A7A-BAD2-1575591FEB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94275584"/>
        <c:axId val="1094276064"/>
      </c:barChart>
      <c:catAx>
        <c:axId val="109427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76064"/>
        <c:crosses val="autoZero"/>
        <c:auto val="1"/>
        <c:lblAlgn val="ctr"/>
        <c:lblOffset val="100"/>
        <c:noMultiLvlLbl val="0"/>
      </c:catAx>
      <c:valAx>
        <c:axId val="1094276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427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[Pizza_sales.xlsx]Sheet3!bottom 5 pizza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2098">
                <a:schemeClr val="accent6">
                  <a:lumMod val="50000"/>
                </a:schemeClr>
              </a:gs>
              <a:gs pos="100000">
                <a:schemeClr val="accent5">
                  <a:lumMod val="50000"/>
                </a:schemeClr>
              </a:gs>
            </a:gsLst>
            <a:lin ang="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487357830271218"/>
          <c:y val="0.10185185185185185"/>
          <c:w val="0.67512642169728787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Sheet3!$B$14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2098">
                  <a:schemeClr val="accent6">
                    <a:lumMod val="50000"/>
                  </a:schemeClr>
                </a:gs>
                <a:gs pos="100000">
                  <a:schemeClr val="accent5">
                    <a:lumMod val="50000"/>
                  </a:schemeClr>
                </a:gs>
              </a:gsLst>
              <a:lin ang="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Sheet3!$A$15:$A$20</c:f>
              <c:strCache>
                <c:ptCount val="5"/>
                <c:pt idx="0">
                  <c:v>The Chicken Pesto Pizza</c:v>
                </c:pt>
                <c:pt idx="1">
                  <c:v>The Soppressata Pizza</c:v>
                </c:pt>
                <c:pt idx="2">
                  <c:v>The Mediterranean Pizza</c:v>
                </c:pt>
                <c:pt idx="3">
                  <c:v>The Calabrese Pizza</c:v>
                </c:pt>
                <c:pt idx="4">
                  <c:v>The Brie Carre Pizza</c:v>
                </c:pt>
              </c:strCache>
            </c:strRef>
          </c:cat>
          <c:val>
            <c:numRef>
              <c:f>Sheet3!$B$15:$B$20</c:f>
              <c:numCache>
                <c:formatCode>General</c:formatCode>
                <c:ptCount val="5"/>
                <c:pt idx="0">
                  <c:v>46</c:v>
                </c:pt>
                <c:pt idx="1">
                  <c:v>41</c:v>
                </c:pt>
                <c:pt idx="2">
                  <c:v>37</c:v>
                </c:pt>
                <c:pt idx="3">
                  <c:v>37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0-4D81-8CDB-9FA6825742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2047745200"/>
        <c:axId val="2047743760"/>
      </c:barChart>
      <c:catAx>
        <c:axId val="204774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743760"/>
        <c:crosses val="autoZero"/>
        <c:auto val="1"/>
        <c:lblAlgn val="ctr"/>
        <c:lblOffset val="100"/>
        <c:noMultiLvlLbl val="0"/>
      </c:catAx>
      <c:valAx>
        <c:axId val="2047743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774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plotArea>
      <cx:plotAreaRegion>
        <cx:series layoutId="funnel" uniqueId="{85582466-891C-4651-A3ED-92EAA994C6CB}">
          <cx:tx>
            <cx:txData>
              <cx:f>_xlchart.v2.1</cx:f>
              <cx:v>Total Pizza Sold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series layoutId="funnel" uniqueId="{85582466-891C-4651-A3ED-92EAA994C6CB}">
          <cx:tx>
            <cx:txData>
              <cx:f>_xlchart.v2.4</cx:f>
              <cx:v>Total Pizza Sold</cx:v>
            </cx:txData>
          </cx:tx>
          <cx:spPr>
            <a:gradFill>
              <a:gsLst>
                <a:gs pos="0">
                  <a:schemeClr val="accent2">
                    <a:lumMod val="50000"/>
                  </a:schemeClr>
                </a:gs>
                <a:gs pos="74000">
                  <a:schemeClr val="tx2">
                    <a:lumMod val="75000"/>
                  </a:schemeClr>
                </a:gs>
                <a:gs pos="100000">
                  <a:schemeClr val="accent1">
                    <a:lumMod val="50000"/>
                  </a:schemeClr>
                </a:gs>
              </a:gsLst>
              <a:lin ang="0" scaled="0"/>
            </a:gra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bg1"/>
                </a:solidFill>
              </a:defRPr>
            </a:pPr>
            <a:endParaRPr lang="en-US" sz="900" b="1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8.xml"/><Relationship Id="rId7" Type="http://schemas.openxmlformats.org/officeDocument/2006/relationships/chart" Target="../charts/chart11.xml"/><Relationship Id="rId2" Type="http://schemas.openxmlformats.org/officeDocument/2006/relationships/chart" Target="../charts/chart7.xml"/><Relationship Id="rId1" Type="http://schemas.openxmlformats.org/officeDocument/2006/relationships/image" Target="../media/image1.jpeg"/><Relationship Id="rId6" Type="http://schemas.microsoft.com/office/2014/relationships/chartEx" Target="../charts/chartEx2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2</xdr:row>
      <xdr:rowOff>22860</xdr:rowOff>
    </xdr:from>
    <xdr:to>
      <xdr:col>10</xdr:col>
      <xdr:colOff>289560</xdr:colOff>
      <xdr:row>11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216BC2-0F46-3A56-BB39-6355C02A3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236220</xdr:colOff>
      <xdr:row>13</xdr:row>
      <xdr:rowOff>175260</xdr:rowOff>
    </xdr:from>
    <xdr:to>
      <xdr:col>9</xdr:col>
      <xdr:colOff>541020</xdr:colOff>
      <xdr:row>28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A774C-C40A-BEB2-6F14-BDE1C7395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</xdr:row>
      <xdr:rowOff>7620</xdr:rowOff>
    </xdr:from>
    <xdr:to>
      <xdr:col>11</xdr:col>
      <xdr:colOff>106680</xdr:colOff>
      <xdr:row>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E890F-AE0C-73FE-E210-4B6912AAA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12</xdr:row>
      <xdr:rowOff>60960</xdr:rowOff>
    </xdr:from>
    <xdr:to>
      <xdr:col>11</xdr:col>
      <xdr:colOff>228600</xdr:colOff>
      <xdr:row>20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686973-8997-298E-1814-66C1D58CB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358140</xdr:colOff>
      <xdr:row>22</xdr:row>
      <xdr:rowOff>140970</xdr:rowOff>
    </xdr:from>
    <xdr:to>
      <xdr:col>15</xdr:col>
      <xdr:colOff>53340</xdr:colOff>
      <xdr:row>37</xdr:row>
      <xdr:rowOff>140970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434189C-BC65-132A-8EBE-A8BE3CB28E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5980" y="41643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251460</xdr:colOff>
      <xdr:row>21</xdr:row>
      <xdr:rowOff>91440</xdr:rowOff>
    </xdr:from>
    <xdr:to>
      <xdr:col>10</xdr:col>
      <xdr:colOff>121920</xdr:colOff>
      <xdr:row>29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order_date">
              <a:extLst>
                <a:ext uri="{FF2B5EF4-FFF2-40B4-BE49-F238E27FC236}">
                  <a16:creationId xmlns:a16="http://schemas.microsoft.com/office/drawing/2014/main" id="{F4A067CE-BAA4-CC40-B3C6-CA66D850E8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393192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76200</xdr:rowOff>
    </xdr:from>
    <xdr:to>
      <xdr:col>10</xdr:col>
      <xdr:colOff>533400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2E4ADE-E2F0-E707-3C18-7C039D8C2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548640</xdr:colOff>
      <xdr:row>18</xdr:row>
      <xdr:rowOff>76200</xdr:rowOff>
    </xdr:from>
    <xdr:to>
      <xdr:col>11</xdr:col>
      <xdr:colOff>243840</xdr:colOff>
      <xdr:row>33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5200CC-729C-380D-07D0-F799D0FA5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190787</xdr:colOff>
      <xdr:row>1</xdr:row>
      <xdr:rowOff>22542</xdr:rowOff>
    </xdr:from>
    <xdr:to>
      <xdr:col>28</xdr:col>
      <xdr:colOff>461517</xdr:colOff>
      <xdr:row>41</xdr:row>
      <xdr:rowOff>97347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3E83F-CC41-15DC-A57A-51FB74BD3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886" y="206762"/>
          <a:ext cx="14941323" cy="74435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524493</xdr:colOff>
      <xdr:row>3</xdr:row>
      <xdr:rowOff>67869</xdr:rowOff>
    </xdr:from>
    <xdr:ext cx="1623906" cy="516808"/>
    <xdr:sp macro="" textlink="KPI!A6">
      <xdr:nvSpPr>
        <xdr:cNvPr id="4" name="TextBox 3">
          <a:extLst>
            <a:ext uri="{FF2B5EF4-FFF2-40B4-BE49-F238E27FC236}">
              <a16:creationId xmlns:a16="http://schemas.microsoft.com/office/drawing/2014/main" id="{6F4F5DF2-37D3-827B-70F4-4A4F7CFDAB07}"/>
            </a:ext>
          </a:extLst>
        </xdr:cNvPr>
        <xdr:cNvSpPr txBox="1"/>
      </xdr:nvSpPr>
      <xdr:spPr>
        <a:xfrm>
          <a:off x="5401293" y="610794"/>
          <a:ext cx="1623906" cy="51680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fld id="{B0CA7633-2425-47B8-89E5-BD465DCB7478}" type="TxLink">
            <a:rPr lang="en-US" sz="27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algn="ctr"/>
            <a:t>$40,816</a:t>
          </a:fld>
          <a:endParaRPr lang="en-IN" sz="2700" b="1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77161</xdr:colOff>
      <xdr:row>3</xdr:row>
      <xdr:rowOff>67837</xdr:rowOff>
    </xdr:from>
    <xdr:ext cx="2220544" cy="516873"/>
    <xdr:sp macro="" textlink="KPI!D4">
      <xdr:nvSpPr>
        <xdr:cNvPr id="5" name="TextBox 4">
          <a:extLst>
            <a:ext uri="{FF2B5EF4-FFF2-40B4-BE49-F238E27FC236}">
              <a16:creationId xmlns:a16="http://schemas.microsoft.com/office/drawing/2014/main" id="{BBDE8305-5C6F-451F-AD43-63C2B64C0C78}"/>
            </a:ext>
          </a:extLst>
        </xdr:cNvPr>
        <xdr:cNvSpPr txBox="1"/>
      </xdr:nvSpPr>
      <xdr:spPr>
        <a:xfrm>
          <a:off x="8001961" y="610762"/>
          <a:ext cx="2220544" cy="516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 algn="ctr"/>
          <a:fld id="{EC6BAD9A-F685-4F7D-9BA4-2E6A4744AA6A}" type="TxLink">
            <a:rPr lang="en-US" sz="27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$37.90</a:t>
          </a:fld>
          <a:endParaRPr lang="en-IN" sz="27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oneCellAnchor>
  <xdr:oneCellAnchor>
    <xdr:from>
      <xdr:col>18</xdr:col>
      <xdr:colOff>226467</xdr:colOff>
      <xdr:row>3</xdr:row>
      <xdr:rowOff>67837</xdr:rowOff>
    </xdr:from>
    <xdr:ext cx="960263" cy="516873"/>
    <xdr:sp macro="" textlink="KPI!C6">
      <xdr:nvSpPr>
        <xdr:cNvPr id="6" name="TextBox 5">
          <a:extLst>
            <a:ext uri="{FF2B5EF4-FFF2-40B4-BE49-F238E27FC236}">
              <a16:creationId xmlns:a16="http://schemas.microsoft.com/office/drawing/2014/main" id="{9B06672E-BD11-48A9-A259-49AB029ACDF3}"/>
            </a:ext>
          </a:extLst>
        </xdr:cNvPr>
        <xdr:cNvSpPr txBox="1"/>
      </xdr:nvSpPr>
      <xdr:spPr>
        <a:xfrm>
          <a:off x="11199267" y="610762"/>
          <a:ext cx="960263" cy="516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 algn="ctr"/>
          <a:fld id="{4EB69E1D-B4AE-440E-82F0-A85391117F87}" type="TxLink">
            <a:rPr lang="en-US" sz="27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2470</a:t>
          </a:fld>
          <a:endParaRPr lang="en-IN" sz="27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oneCellAnchor>
  <xdr:oneCellAnchor>
    <xdr:from>
      <xdr:col>21</xdr:col>
      <xdr:colOff>334692</xdr:colOff>
      <xdr:row>3</xdr:row>
      <xdr:rowOff>67837</xdr:rowOff>
    </xdr:from>
    <xdr:ext cx="960263" cy="516873"/>
    <xdr:sp macro="" textlink="KPI!B6">
      <xdr:nvSpPr>
        <xdr:cNvPr id="7" name="TextBox 6">
          <a:extLst>
            <a:ext uri="{FF2B5EF4-FFF2-40B4-BE49-F238E27FC236}">
              <a16:creationId xmlns:a16="http://schemas.microsoft.com/office/drawing/2014/main" id="{017AA9F0-9231-402F-B656-0586C7BA8F0D}"/>
            </a:ext>
          </a:extLst>
        </xdr:cNvPr>
        <xdr:cNvSpPr txBox="1"/>
      </xdr:nvSpPr>
      <xdr:spPr>
        <a:xfrm>
          <a:off x="13136292" y="610762"/>
          <a:ext cx="960263" cy="516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 algn="ctr"/>
          <a:fld id="{1F85E650-84C4-41DF-BA23-C82D28DE7E31}" type="TxLink">
            <a:rPr lang="en-US" sz="27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1077</a:t>
          </a:fld>
          <a:endParaRPr lang="en-IN" sz="27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oneCellAnchor>
  <xdr:oneCellAnchor>
    <xdr:from>
      <xdr:col>24</xdr:col>
      <xdr:colOff>442918</xdr:colOff>
      <xdr:row>3</xdr:row>
      <xdr:rowOff>67837</xdr:rowOff>
    </xdr:from>
    <xdr:ext cx="2220544" cy="516873"/>
    <xdr:sp macro="" textlink="KPI!E4">
      <xdr:nvSpPr>
        <xdr:cNvPr id="8" name="TextBox 7">
          <a:extLst>
            <a:ext uri="{FF2B5EF4-FFF2-40B4-BE49-F238E27FC236}">
              <a16:creationId xmlns:a16="http://schemas.microsoft.com/office/drawing/2014/main" id="{05E80F62-81D6-412E-83E2-BCE6E77A1775}"/>
            </a:ext>
          </a:extLst>
        </xdr:cNvPr>
        <xdr:cNvSpPr txBox="1"/>
      </xdr:nvSpPr>
      <xdr:spPr>
        <a:xfrm>
          <a:off x="15073318" y="610762"/>
          <a:ext cx="2220544" cy="516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 algn="ctr"/>
          <a:fld id="{88E2B66A-D19A-4C51-B4C3-E8C23B9CD863}" type="TxLink">
            <a:rPr lang="en-US" sz="2700" b="1" i="0" u="none" strike="noStrike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2.29</a:t>
          </a:fld>
          <a:endParaRPr lang="en-IN" sz="2700" b="1" i="0" u="none" strike="noStrike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oneCellAnchor>
  <xdr:oneCellAnchor>
    <xdr:from>
      <xdr:col>9</xdr:col>
      <xdr:colOff>164002</xdr:colOff>
      <xdr:row>2</xdr:row>
      <xdr:rowOff>57644</xdr:rowOff>
    </xdr:from>
    <xdr:ext cx="1230978" cy="281039"/>
    <xdr:sp macro="" textlink="KPI!A6">
      <xdr:nvSpPr>
        <xdr:cNvPr id="9" name="TextBox 8">
          <a:extLst>
            <a:ext uri="{FF2B5EF4-FFF2-40B4-BE49-F238E27FC236}">
              <a16:creationId xmlns:a16="http://schemas.microsoft.com/office/drawing/2014/main" id="{9AC3E7B0-67AA-4547-A98C-3664D6C22980}"/>
            </a:ext>
          </a:extLst>
        </xdr:cNvPr>
        <xdr:cNvSpPr txBox="1"/>
      </xdr:nvSpPr>
      <xdr:spPr>
        <a:xfrm>
          <a:off x="5650402" y="419594"/>
          <a:ext cx="1230978" cy="2810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200" b="1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IN" sz="1200" b="1" baseline="0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 Revenue</a:t>
          </a:r>
          <a:endParaRPr lang="en-IN" sz="1200" b="1">
            <a:solidFill>
              <a:schemeClr val="accent5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13</xdr:col>
      <xdr:colOff>459109</xdr:colOff>
      <xdr:row>2</xdr:row>
      <xdr:rowOff>57644</xdr:rowOff>
    </xdr:from>
    <xdr:ext cx="1437060" cy="281039"/>
    <xdr:sp macro="" textlink="KPI!D13">
      <xdr:nvSpPr>
        <xdr:cNvPr id="10" name="TextBox 9">
          <a:extLst>
            <a:ext uri="{FF2B5EF4-FFF2-40B4-BE49-F238E27FC236}">
              <a16:creationId xmlns:a16="http://schemas.microsoft.com/office/drawing/2014/main" id="{49A460F2-8F2D-4570-8694-BAE4B9B18EF5}"/>
            </a:ext>
          </a:extLst>
        </xdr:cNvPr>
        <xdr:cNvSpPr txBox="1"/>
      </xdr:nvSpPr>
      <xdr:spPr>
        <a:xfrm>
          <a:off x="8383909" y="419594"/>
          <a:ext cx="1437060" cy="2810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200" b="1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Avg</a:t>
          </a:r>
          <a:r>
            <a:rPr lang="en-IN" sz="1200" b="1" baseline="0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 Order Value</a:t>
          </a:r>
          <a:endParaRPr lang="en-IN" sz="1200" b="1">
            <a:solidFill>
              <a:schemeClr val="accent5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18</xdr:col>
      <xdr:colOff>7798</xdr:colOff>
      <xdr:row>2</xdr:row>
      <xdr:rowOff>57644</xdr:rowOff>
    </xdr:from>
    <xdr:ext cx="1301575" cy="281039"/>
    <xdr:sp macro="" textlink="KPI!A6">
      <xdr:nvSpPr>
        <xdr:cNvPr id="11" name="TextBox 10">
          <a:extLst>
            <a:ext uri="{FF2B5EF4-FFF2-40B4-BE49-F238E27FC236}">
              <a16:creationId xmlns:a16="http://schemas.microsoft.com/office/drawing/2014/main" id="{7064747F-7102-4302-B1C2-9723F9EDFD91}"/>
            </a:ext>
          </a:extLst>
        </xdr:cNvPr>
        <xdr:cNvSpPr txBox="1"/>
      </xdr:nvSpPr>
      <xdr:spPr>
        <a:xfrm>
          <a:off x="10980598" y="419594"/>
          <a:ext cx="1301575" cy="2810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200" b="1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IN" sz="1200" b="1" baseline="0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 Pizza Sold</a:t>
          </a:r>
          <a:endParaRPr lang="en-IN" sz="1200" b="1">
            <a:solidFill>
              <a:schemeClr val="accent5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21</xdr:col>
      <xdr:colOff>354452</xdr:colOff>
      <xdr:row>2</xdr:row>
      <xdr:rowOff>57644</xdr:rowOff>
    </xdr:from>
    <xdr:ext cx="1070935" cy="281039"/>
    <xdr:sp macro="" textlink="KPI!A6">
      <xdr:nvSpPr>
        <xdr:cNvPr id="12" name="TextBox 11">
          <a:extLst>
            <a:ext uri="{FF2B5EF4-FFF2-40B4-BE49-F238E27FC236}">
              <a16:creationId xmlns:a16="http://schemas.microsoft.com/office/drawing/2014/main" id="{DF3DFD53-3BB7-476B-BCB5-1D0238CD3770}"/>
            </a:ext>
          </a:extLst>
        </xdr:cNvPr>
        <xdr:cNvSpPr txBox="1"/>
      </xdr:nvSpPr>
      <xdr:spPr>
        <a:xfrm>
          <a:off x="13156052" y="419594"/>
          <a:ext cx="1070935" cy="2810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200" b="1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IN" sz="1200" b="1" baseline="0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 Orders</a:t>
          </a:r>
          <a:endParaRPr lang="en-IN" sz="1200" b="1">
            <a:solidFill>
              <a:schemeClr val="accent5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25</xdr:col>
      <xdr:colOff>165667</xdr:colOff>
      <xdr:row>2</xdr:row>
      <xdr:rowOff>57644</xdr:rowOff>
    </xdr:from>
    <xdr:ext cx="1643207" cy="281039"/>
    <xdr:sp macro="" textlink="KPI!A6">
      <xdr:nvSpPr>
        <xdr:cNvPr id="13" name="TextBox 12">
          <a:extLst>
            <a:ext uri="{FF2B5EF4-FFF2-40B4-BE49-F238E27FC236}">
              <a16:creationId xmlns:a16="http://schemas.microsoft.com/office/drawing/2014/main" id="{2846FBDA-8247-49FF-9350-2CE80361E6E6}"/>
            </a:ext>
          </a:extLst>
        </xdr:cNvPr>
        <xdr:cNvSpPr txBox="1"/>
      </xdr:nvSpPr>
      <xdr:spPr>
        <a:xfrm>
          <a:off x="15405667" y="419594"/>
          <a:ext cx="1643207" cy="2810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200" b="1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Avg</a:t>
          </a:r>
          <a:r>
            <a:rPr lang="en-IN" sz="1200" b="1" baseline="0">
              <a:solidFill>
                <a:schemeClr val="accent5">
                  <a:lumMod val="75000"/>
                </a:schemeClr>
              </a:solidFill>
              <a:latin typeface="Century Gothic" panose="020B0502020202020204" pitchFamily="34" charset="0"/>
            </a:rPr>
            <a:t> Pizza Per Order</a:t>
          </a:r>
          <a:endParaRPr lang="en-IN" sz="1200" b="1">
            <a:solidFill>
              <a:schemeClr val="accent5">
                <a:lumMod val="75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</xdr:col>
      <xdr:colOff>323850</xdr:colOff>
      <xdr:row>2</xdr:row>
      <xdr:rowOff>0</xdr:rowOff>
    </xdr:from>
    <xdr:ext cx="533608" cy="85167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79A8D2D-9CBF-185D-438A-51BA9FD75BDD}"/>
            </a:ext>
          </a:extLst>
        </xdr:cNvPr>
        <xdr:cNvSpPr txBox="1"/>
      </xdr:nvSpPr>
      <xdr:spPr>
        <a:xfrm>
          <a:off x="2762250" y="361950"/>
          <a:ext cx="533608" cy="8516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t">
          <a:spAutoFit/>
        </a:bodyPr>
        <a:lstStyle/>
        <a:p>
          <a:r>
            <a:rPr lang="en-IN" sz="2400" b="1">
              <a:solidFill>
                <a:schemeClr val="accent4">
                  <a:lumMod val="60000"/>
                  <a:lumOff val="40000"/>
                </a:schemeClr>
              </a:solidFill>
              <a:latin typeface="Franklin Gothic Demi Cond" panose="020B0706030402020204" pitchFamily="34" charset="0"/>
            </a:rPr>
            <a:t>PIZZA</a:t>
          </a:r>
        </a:p>
      </xdr:txBody>
    </xdr:sp>
    <xdr:clientData/>
  </xdr:oneCellAnchor>
  <xdr:oneCellAnchor>
    <xdr:from>
      <xdr:col>10</xdr:col>
      <xdr:colOff>501130</xdr:colOff>
      <xdr:row>10</xdr:row>
      <xdr:rowOff>105969</xdr:rowOff>
    </xdr:from>
    <xdr:ext cx="184731" cy="516873"/>
    <xdr:sp macro="" textlink="KPI!A6">
      <xdr:nvSpPr>
        <xdr:cNvPr id="16" name="TextBox 15">
          <a:extLst>
            <a:ext uri="{FF2B5EF4-FFF2-40B4-BE49-F238E27FC236}">
              <a16:creationId xmlns:a16="http://schemas.microsoft.com/office/drawing/2014/main" id="{3ABA75DD-32AC-4845-B304-55B2F0B382C6}"/>
            </a:ext>
          </a:extLst>
        </xdr:cNvPr>
        <xdr:cNvSpPr txBox="1"/>
      </xdr:nvSpPr>
      <xdr:spPr>
        <a:xfrm>
          <a:off x="6597130" y="1915719"/>
          <a:ext cx="184731" cy="5168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endParaRPr lang="en-IN" sz="2700" b="1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7</xdr:col>
      <xdr:colOff>399390</xdr:colOff>
      <xdr:row>1</xdr:row>
      <xdr:rowOff>162585</xdr:rowOff>
    </xdr:from>
    <xdr:ext cx="441275" cy="93525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25DF68-5227-66B4-AA01-7CB8A0309961}"/>
            </a:ext>
          </a:extLst>
        </xdr:cNvPr>
        <xdr:cNvSpPr txBox="1"/>
      </xdr:nvSpPr>
      <xdr:spPr>
        <a:xfrm rot="5400000">
          <a:off x="4419600" y="590550"/>
          <a:ext cx="935256" cy="441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400" b="1">
              <a:solidFill>
                <a:schemeClr val="accent4">
                  <a:lumMod val="60000"/>
                  <a:lumOff val="40000"/>
                </a:schemeClr>
              </a:solidFill>
              <a:latin typeface="Franklin Gothic Demi Cond" panose="020B0706030402020204" pitchFamily="34" charset="0"/>
              <a:ea typeface="+mn-ea"/>
              <a:cs typeface="+mn-cs"/>
            </a:rPr>
            <a:t>SALES</a:t>
          </a:r>
        </a:p>
      </xdr:txBody>
    </xdr:sp>
    <xdr:clientData/>
  </xdr:oneCellAnchor>
  <xdr:twoCellAnchor>
    <xdr:from>
      <xdr:col>8</xdr:col>
      <xdr:colOff>523875</xdr:colOff>
      <xdr:row>7</xdr:row>
      <xdr:rowOff>95250</xdr:rowOff>
    </xdr:from>
    <xdr:to>
      <xdr:col>18</xdr:col>
      <xdr:colOff>142875</xdr:colOff>
      <xdr:row>17</xdr:row>
      <xdr:rowOff>89535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B4B9E54-0F3A-4B8C-9EDA-C63EAD2EE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476250</xdr:colOff>
      <xdr:row>7</xdr:row>
      <xdr:rowOff>125730</xdr:rowOff>
    </xdr:from>
    <xdr:to>
      <xdr:col>28</xdr:col>
      <xdr:colOff>171450</xdr:colOff>
      <xdr:row>18</xdr:row>
      <xdr:rowOff>66675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A51769C-C6EE-4669-A4DB-1648AE2BC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543199</xdr:colOff>
      <xdr:row>7</xdr:row>
      <xdr:rowOff>138856</xdr:rowOff>
    </xdr:from>
    <xdr:ext cx="1953805" cy="257443"/>
    <xdr:sp macro="" textlink="KPI!A6">
      <xdr:nvSpPr>
        <xdr:cNvPr id="25" name="TextBox 24">
          <a:extLst>
            <a:ext uri="{FF2B5EF4-FFF2-40B4-BE49-F238E27FC236}">
              <a16:creationId xmlns:a16="http://schemas.microsoft.com/office/drawing/2014/main" id="{84998945-2A1E-47C9-AE65-A9A0BC62078B}"/>
            </a:ext>
          </a:extLst>
        </xdr:cNvPr>
        <xdr:cNvSpPr txBox="1"/>
      </xdr:nvSpPr>
      <xdr:spPr>
        <a:xfrm>
          <a:off x="5462778" y="1448961"/>
          <a:ext cx="1953805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Daily</a:t>
          </a:r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 Trends for Total orders</a:t>
          </a:r>
          <a:endParaRPr lang="en-IN" sz="1050" b="1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18</xdr:col>
      <xdr:colOff>532163</xdr:colOff>
      <xdr:row>7</xdr:row>
      <xdr:rowOff>144203</xdr:rowOff>
    </xdr:from>
    <xdr:ext cx="2040046" cy="257443"/>
    <xdr:sp macro="" textlink="KPI!A6">
      <xdr:nvSpPr>
        <xdr:cNvPr id="26" name="TextBox 25">
          <a:extLst>
            <a:ext uri="{FF2B5EF4-FFF2-40B4-BE49-F238E27FC236}">
              <a16:creationId xmlns:a16="http://schemas.microsoft.com/office/drawing/2014/main" id="{772C2D4B-FB8E-4711-889A-9FC0720FF731}"/>
            </a:ext>
          </a:extLst>
        </xdr:cNvPr>
        <xdr:cNvSpPr txBox="1"/>
      </xdr:nvSpPr>
      <xdr:spPr>
        <a:xfrm>
          <a:off x="11601216" y="1454308"/>
          <a:ext cx="2040046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Hourly</a:t>
          </a:r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 Trends for Total orders</a:t>
          </a:r>
          <a:endParaRPr lang="en-IN" sz="1050" b="1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</xdr:col>
      <xdr:colOff>349467</xdr:colOff>
      <xdr:row>7</xdr:row>
      <xdr:rowOff>117811</xdr:rowOff>
    </xdr:from>
    <xdr:ext cx="2365158" cy="342563"/>
    <xdr:sp macro="" textlink="KPI!A6">
      <xdr:nvSpPr>
        <xdr:cNvPr id="29" name="TextBox 28">
          <a:extLst>
            <a:ext uri="{FF2B5EF4-FFF2-40B4-BE49-F238E27FC236}">
              <a16:creationId xmlns:a16="http://schemas.microsoft.com/office/drawing/2014/main" id="{645103E8-09C6-4A89-BBBC-4729E2488860}"/>
            </a:ext>
          </a:extLst>
        </xdr:cNvPr>
        <xdr:cNvSpPr txBox="1"/>
      </xdr:nvSpPr>
      <xdr:spPr>
        <a:xfrm>
          <a:off x="2794217" y="1395749"/>
          <a:ext cx="2365158" cy="34256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200" b="1" baseline="0">
              <a:solidFill>
                <a:schemeClr val="accent6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Busiest Days and  Times</a:t>
          </a:r>
          <a:endParaRPr lang="en-IN" sz="1200" b="1">
            <a:solidFill>
              <a:schemeClr val="accent6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5</xdr:col>
      <xdr:colOff>55562</xdr:colOff>
      <xdr:row>12</xdr:row>
      <xdr:rowOff>39688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3ABD543-CC1C-CE47-32CA-B0A78CF749E5}"/>
            </a:ext>
          </a:extLst>
        </xdr:cNvPr>
        <xdr:cNvSpPr txBox="1"/>
      </xdr:nvSpPr>
      <xdr:spPr>
        <a:xfrm>
          <a:off x="3111500" y="223043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4</xdr:col>
      <xdr:colOff>476738</xdr:colOff>
      <xdr:row>9</xdr:row>
      <xdr:rowOff>162414</xdr:rowOff>
    </xdr:from>
    <xdr:ext cx="2104537" cy="15218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D66CE99-39FF-62C9-CE09-82027B20A9E7}"/>
            </a:ext>
          </a:extLst>
        </xdr:cNvPr>
        <xdr:cNvSpPr txBox="1"/>
      </xdr:nvSpPr>
      <xdr:spPr>
        <a:xfrm>
          <a:off x="2921837" y="1820392"/>
          <a:ext cx="2104537" cy="1521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1000" b="1">
              <a:solidFill>
                <a:schemeClr val="accent4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DAYS</a:t>
          </a:r>
          <a:endParaRPr lang="en-IN" sz="1000">
            <a:solidFill>
              <a:schemeClr val="accent4">
                <a:lumMod val="60000"/>
                <a:lumOff val="40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Orders are </a:t>
          </a:r>
          <a:r>
            <a:rPr lang="en-IN" sz="1000">
              <a:solidFill>
                <a:schemeClr val="accent5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highest</a:t>
          </a:r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on</a:t>
          </a:r>
        </a:p>
        <a:p>
          <a:pPr algn="ctr"/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Weekends, </a:t>
          </a:r>
          <a:r>
            <a:rPr lang="en-IN" sz="1000">
              <a:solidFill>
                <a:schemeClr val="accent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Friday/Saturday</a:t>
          </a:r>
        </a:p>
        <a:p>
          <a:pPr algn="ctr"/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Evenings.</a:t>
          </a:r>
        </a:p>
        <a:p>
          <a:pPr algn="ctr"/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IN" sz="1000" b="1">
              <a:solidFill>
                <a:schemeClr val="accent5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TIMES</a:t>
          </a:r>
          <a:endParaRPr lang="en-IN" sz="1000">
            <a:solidFill>
              <a:schemeClr val="accent5">
                <a:lumMod val="7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There are </a:t>
          </a:r>
          <a:r>
            <a:rPr lang="en-IN" sz="1000">
              <a:solidFill>
                <a:schemeClr val="accent6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maximum</a:t>
          </a:r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orders</a:t>
          </a:r>
        </a:p>
        <a:p>
          <a:pPr algn="ctr"/>
          <a:r>
            <a:rPr lang="en-IN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From 12-01pm &amp; after 4-8pm.</a:t>
          </a:r>
        </a:p>
        <a:p>
          <a:endParaRPr lang="en-IN" sz="1100"/>
        </a:p>
      </xdr:txBody>
    </xdr:sp>
    <xdr:clientData/>
  </xdr:oneCellAnchor>
  <xdr:twoCellAnchor>
    <xdr:from>
      <xdr:col>8</xdr:col>
      <xdr:colOff>286037</xdr:colOff>
      <xdr:row>20</xdr:row>
      <xdr:rowOff>66674</xdr:rowOff>
    </xdr:from>
    <xdr:to>
      <xdr:col>15</xdr:col>
      <xdr:colOff>123825</xdr:colOff>
      <xdr:row>29</xdr:row>
      <xdr:rowOff>95250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507DCE6-2C5C-4898-8C7A-7546B2411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8</xdr:col>
      <xdr:colOff>383724</xdr:colOff>
      <xdr:row>18</xdr:row>
      <xdr:rowOff>134511</xdr:rowOff>
    </xdr:from>
    <xdr:ext cx="2053512" cy="257443"/>
    <xdr:sp macro="" textlink="KPI!D18">
      <xdr:nvSpPr>
        <xdr:cNvPr id="34" name="TextBox 33">
          <a:extLst>
            <a:ext uri="{FF2B5EF4-FFF2-40B4-BE49-F238E27FC236}">
              <a16:creationId xmlns:a16="http://schemas.microsoft.com/office/drawing/2014/main" id="{0754FDF5-A762-4F57-9921-A4F6E5D0BEE8}"/>
            </a:ext>
          </a:extLst>
        </xdr:cNvPr>
        <xdr:cNvSpPr txBox="1"/>
      </xdr:nvSpPr>
      <xdr:spPr>
        <a:xfrm>
          <a:off x="5260524" y="3392061"/>
          <a:ext cx="2053512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%</a:t>
          </a:r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 of Sales by Pizza Category</a:t>
          </a:r>
        </a:p>
      </xdr:txBody>
    </xdr:sp>
    <xdr:clientData/>
  </xdr:oneCellAnchor>
  <xdr:oneCellAnchor>
    <xdr:from>
      <xdr:col>15</xdr:col>
      <xdr:colOff>200997</xdr:colOff>
      <xdr:row>18</xdr:row>
      <xdr:rowOff>153561</xdr:rowOff>
    </xdr:from>
    <xdr:ext cx="1714124" cy="257443"/>
    <xdr:sp macro="" textlink="KPI!A6">
      <xdr:nvSpPr>
        <xdr:cNvPr id="35" name="TextBox 34">
          <a:extLst>
            <a:ext uri="{FF2B5EF4-FFF2-40B4-BE49-F238E27FC236}">
              <a16:creationId xmlns:a16="http://schemas.microsoft.com/office/drawing/2014/main" id="{5ADC7220-97AE-45EC-9F97-FE0BC4CD26A4}"/>
            </a:ext>
          </a:extLst>
        </xdr:cNvPr>
        <xdr:cNvSpPr txBox="1"/>
      </xdr:nvSpPr>
      <xdr:spPr>
        <a:xfrm>
          <a:off x="9344997" y="3411111"/>
          <a:ext cx="1714124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% of Sales by Pizza Size </a:t>
          </a:r>
          <a:endParaRPr lang="en-IN" sz="1050" b="1">
            <a:solidFill>
              <a:schemeClr val="accent2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22</xdr:col>
      <xdr:colOff>146012</xdr:colOff>
      <xdr:row>18</xdr:row>
      <xdr:rowOff>153561</xdr:rowOff>
    </xdr:from>
    <xdr:ext cx="2376548" cy="257443"/>
    <xdr:sp macro="" textlink="KPI!A6">
      <xdr:nvSpPr>
        <xdr:cNvPr id="36" name="TextBox 35">
          <a:extLst>
            <a:ext uri="{FF2B5EF4-FFF2-40B4-BE49-F238E27FC236}">
              <a16:creationId xmlns:a16="http://schemas.microsoft.com/office/drawing/2014/main" id="{344F8D83-93E2-4149-A2BB-DBDCFA2FE616}"/>
            </a:ext>
          </a:extLst>
        </xdr:cNvPr>
        <xdr:cNvSpPr txBox="1"/>
      </xdr:nvSpPr>
      <xdr:spPr>
        <a:xfrm>
          <a:off x="13557212" y="3411111"/>
          <a:ext cx="2376548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Total</a:t>
          </a:r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 pizza sold by pizza category</a:t>
          </a:r>
        </a:p>
      </xdr:txBody>
    </xdr:sp>
    <xdr:clientData/>
  </xdr:oneCellAnchor>
  <xdr:twoCellAnchor>
    <xdr:from>
      <xdr:col>15</xdr:col>
      <xdr:colOff>287</xdr:colOff>
      <xdr:row>20</xdr:row>
      <xdr:rowOff>9525</xdr:rowOff>
    </xdr:from>
    <xdr:to>
      <xdr:col>20</xdr:col>
      <xdr:colOff>523875</xdr:colOff>
      <xdr:row>28</xdr:row>
      <xdr:rowOff>146367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6F4DF5A-864D-405D-B73A-85962B19A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143162</xdr:colOff>
      <xdr:row>20</xdr:row>
      <xdr:rowOff>0</xdr:rowOff>
    </xdr:from>
    <xdr:to>
      <xdr:col>28</xdr:col>
      <xdr:colOff>0</xdr:colOff>
      <xdr:row>29</xdr:row>
      <xdr:rowOff>3492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0" name="Chart 39">
              <a:extLst>
                <a:ext uri="{FF2B5EF4-FFF2-40B4-BE49-F238E27FC236}">
                  <a16:creationId xmlns:a16="http://schemas.microsoft.com/office/drawing/2014/main" id="{9407DF99-C76A-4640-9CB1-1B08AB55B5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4362" y="3657600"/>
              <a:ext cx="3514438" cy="1649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4</xdr:col>
      <xdr:colOff>346292</xdr:colOff>
      <xdr:row>18</xdr:row>
      <xdr:rowOff>157499</xdr:rowOff>
    </xdr:from>
    <xdr:ext cx="2365158" cy="342563"/>
    <xdr:sp macro="" textlink="KPI!A6">
      <xdr:nvSpPr>
        <xdr:cNvPr id="3" name="TextBox 2">
          <a:extLst>
            <a:ext uri="{FF2B5EF4-FFF2-40B4-BE49-F238E27FC236}">
              <a16:creationId xmlns:a16="http://schemas.microsoft.com/office/drawing/2014/main" id="{80850CD6-4C4E-4272-B11F-02D4183C34A4}"/>
            </a:ext>
          </a:extLst>
        </xdr:cNvPr>
        <xdr:cNvSpPr txBox="1"/>
      </xdr:nvSpPr>
      <xdr:spPr>
        <a:xfrm>
          <a:off x="2784692" y="3415049"/>
          <a:ext cx="2365158" cy="34256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200" b="1" baseline="0">
              <a:solidFill>
                <a:schemeClr val="accent6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Sales by Category and Size</a:t>
          </a:r>
          <a:endParaRPr lang="en-IN" sz="1200" b="1">
            <a:solidFill>
              <a:schemeClr val="accent6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</xdr:col>
      <xdr:colOff>354665</xdr:colOff>
      <xdr:row>29</xdr:row>
      <xdr:rowOff>167024</xdr:rowOff>
    </xdr:from>
    <xdr:ext cx="2358389" cy="342563"/>
    <xdr:sp macro="" textlink="KPI!A6">
      <xdr:nvSpPr>
        <xdr:cNvPr id="18" name="TextBox 17">
          <a:extLst>
            <a:ext uri="{FF2B5EF4-FFF2-40B4-BE49-F238E27FC236}">
              <a16:creationId xmlns:a16="http://schemas.microsoft.com/office/drawing/2014/main" id="{5FEBE6D0-A57C-4092-8D9E-AA5BF216D23F}"/>
            </a:ext>
          </a:extLst>
        </xdr:cNvPr>
        <xdr:cNvSpPr txBox="1"/>
      </xdr:nvSpPr>
      <xdr:spPr>
        <a:xfrm>
          <a:off x="2799764" y="5509398"/>
          <a:ext cx="2358389" cy="342563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1200" b="1" baseline="0">
              <a:solidFill>
                <a:schemeClr val="accent6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Best and Worst Sellers</a:t>
          </a:r>
          <a:endParaRPr lang="en-IN" sz="1200" b="1">
            <a:solidFill>
              <a:schemeClr val="accent6">
                <a:lumMod val="60000"/>
                <a:lumOff val="40000"/>
              </a:schemeClr>
            </a:solidFill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4</xdr:col>
      <xdr:colOff>584417</xdr:colOff>
      <xdr:row>21</xdr:row>
      <xdr:rowOff>83739</xdr:rowOff>
    </xdr:from>
    <xdr:ext cx="1920719" cy="15218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DCC2FD6-398E-9C41-DC97-B6538D0BB1D3}"/>
            </a:ext>
          </a:extLst>
        </xdr:cNvPr>
        <xdr:cNvSpPr txBox="1"/>
      </xdr:nvSpPr>
      <xdr:spPr>
        <a:xfrm>
          <a:off x="3029516" y="3952354"/>
          <a:ext cx="1920719" cy="15218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000" b="1">
              <a:solidFill>
                <a:schemeClr val="accent4">
                  <a:lumMod val="40000"/>
                  <a:lumOff val="6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CATEGORY</a:t>
          </a:r>
          <a:endParaRPr lang="en-IN" sz="1000" b="1">
            <a:solidFill>
              <a:schemeClr val="accent4">
                <a:lumMod val="40000"/>
                <a:lumOff val="60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accent2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Classic Category</a:t>
          </a:r>
          <a:endParaRPr lang="en-IN" sz="1000">
            <a:solidFill>
              <a:schemeClr val="accent2">
                <a:lumMod val="7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Contributes to </a:t>
          </a:r>
          <a:r>
            <a:rPr lang="en-US" sz="100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maximum</a:t>
          </a:r>
          <a:endParaRPr lang="en-IN" sz="1000">
            <a:solidFill>
              <a:srgbClr val="FF0000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Sales &amp; total orders</a:t>
          </a:r>
        </a:p>
        <a:p>
          <a:pPr algn="ctr"/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 b="1">
              <a:solidFill>
                <a:schemeClr val="accent5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SIZE</a:t>
          </a:r>
          <a:endParaRPr lang="en-IN" sz="1000" b="1">
            <a:solidFill>
              <a:schemeClr val="accent5">
                <a:lumMod val="7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accent6">
                  <a:lumMod val="60000"/>
                  <a:lumOff val="4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Large size pizza </a:t>
          </a:r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contributes</a:t>
          </a:r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To </a:t>
          </a:r>
          <a:r>
            <a:rPr lang="en-US" sz="1000">
              <a:solidFill>
                <a:srgbClr val="FF0000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maximum</a:t>
          </a:r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sales</a:t>
          </a:r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IN" sz="1100"/>
        </a:p>
      </xdr:txBody>
    </xdr:sp>
    <xdr:clientData/>
  </xdr:oneCellAnchor>
  <xdr:twoCellAnchor>
    <xdr:from>
      <xdr:col>8</xdr:col>
      <xdr:colOff>601095</xdr:colOff>
      <xdr:row>31</xdr:row>
      <xdr:rowOff>8374</xdr:rowOff>
    </xdr:from>
    <xdr:to>
      <xdr:col>14</xdr:col>
      <xdr:colOff>561033</xdr:colOff>
      <xdr:row>39</xdr:row>
      <xdr:rowOff>178293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0DCD8A1-35A6-4C13-82A2-FBA06E885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8</xdr:col>
      <xdr:colOff>408481</xdr:colOff>
      <xdr:row>29</xdr:row>
      <xdr:rowOff>143093</xdr:rowOff>
    </xdr:from>
    <xdr:ext cx="2228431" cy="257443"/>
    <xdr:sp macro="" textlink="KPI!D18">
      <xdr:nvSpPr>
        <xdr:cNvPr id="28" name="TextBox 27">
          <a:extLst>
            <a:ext uri="{FF2B5EF4-FFF2-40B4-BE49-F238E27FC236}">
              <a16:creationId xmlns:a16="http://schemas.microsoft.com/office/drawing/2014/main" id="{CDE9C582-CBDD-4560-936C-4A118C6C98B2}"/>
            </a:ext>
          </a:extLst>
        </xdr:cNvPr>
        <xdr:cNvSpPr txBox="1"/>
      </xdr:nvSpPr>
      <xdr:spPr>
        <a:xfrm>
          <a:off x="5298679" y="5485467"/>
          <a:ext cx="2228431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Top 5 Best Sellers by pizzas Sold</a:t>
          </a:r>
        </a:p>
      </xdr:txBody>
    </xdr:sp>
    <xdr:clientData/>
  </xdr:oneCellAnchor>
  <xdr:oneCellAnchor>
    <xdr:from>
      <xdr:col>15</xdr:col>
      <xdr:colOff>151373</xdr:colOff>
      <xdr:row>29</xdr:row>
      <xdr:rowOff>153142</xdr:rowOff>
    </xdr:from>
    <xdr:ext cx="2578526" cy="257443"/>
    <xdr:sp macro="" textlink="KPI!D18">
      <xdr:nvSpPr>
        <xdr:cNvPr id="33" name="TextBox 32">
          <a:extLst>
            <a:ext uri="{FF2B5EF4-FFF2-40B4-BE49-F238E27FC236}">
              <a16:creationId xmlns:a16="http://schemas.microsoft.com/office/drawing/2014/main" id="{13B0BC5A-566A-4879-8B58-772A3DC6E7AF}"/>
            </a:ext>
          </a:extLst>
        </xdr:cNvPr>
        <xdr:cNvSpPr txBox="1"/>
      </xdr:nvSpPr>
      <xdr:spPr>
        <a:xfrm>
          <a:off x="9320494" y="5495516"/>
          <a:ext cx="2578526" cy="25744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IN" sz="1050" b="1" baseline="0">
              <a:solidFill>
                <a:schemeClr val="accent2">
                  <a:lumMod val="60000"/>
                  <a:lumOff val="40000"/>
                </a:schemeClr>
              </a:solidFill>
              <a:latin typeface="Century Gothic" panose="020B0502020202020204" pitchFamily="34" charset="0"/>
            </a:rPr>
            <a:t>Bottom 5 Worst Sellers by pizzas Sold</a:t>
          </a:r>
        </a:p>
      </xdr:txBody>
    </xdr:sp>
    <xdr:clientData/>
  </xdr:oneCellAnchor>
  <xdr:twoCellAnchor>
    <xdr:from>
      <xdr:col>15</xdr:col>
      <xdr:colOff>302381</xdr:colOff>
      <xdr:row>30</xdr:row>
      <xdr:rowOff>60478</xdr:rowOff>
    </xdr:from>
    <xdr:to>
      <xdr:col>21</xdr:col>
      <xdr:colOff>254000</xdr:colOff>
      <xdr:row>40</xdr:row>
      <xdr:rowOff>72573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F2ECFBB-214F-4C37-A985-64BDDF53B1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4</xdr:col>
      <xdr:colOff>410611</xdr:colOff>
      <xdr:row>32</xdr:row>
      <xdr:rowOff>55083</xdr:rowOff>
    </xdr:from>
    <xdr:ext cx="2230611" cy="1678986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3B6EFDFF-3673-F21D-0B05-8E98F1F63EBA}"/>
            </a:ext>
          </a:extLst>
        </xdr:cNvPr>
        <xdr:cNvSpPr txBox="1"/>
      </xdr:nvSpPr>
      <xdr:spPr>
        <a:xfrm>
          <a:off x="2834322" y="5930746"/>
          <a:ext cx="2230611" cy="1678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US" sz="1000" b="1">
              <a:solidFill>
                <a:schemeClr val="accent6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BEST</a:t>
          </a:r>
          <a:endParaRPr lang="en-IN" sz="1000" b="1">
            <a:solidFill>
              <a:schemeClr val="accent6">
                <a:lumMod val="7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rgbClr val="F48183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Pepperoni &amp; Barbecue Chicken</a:t>
          </a:r>
          <a:endParaRPr lang="en-IN" sz="1000">
            <a:solidFill>
              <a:srgbClr val="F48183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Pizzas are the sellers and</a:t>
          </a:r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Revenue generators.</a:t>
          </a:r>
        </a:p>
        <a:p>
          <a:pPr algn="ctr"/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 b="1">
              <a:solidFill>
                <a:schemeClr val="accent5">
                  <a:lumMod val="7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WORST</a:t>
          </a:r>
          <a:endParaRPr lang="en-IN" sz="1000" b="1">
            <a:solidFill>
              <a:schemeClr val="accent5">
                <a:lumMod val="7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rgbClr val="C00000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The Brie Carre </a:t>
          </a:r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is at the </a:t>
          </a:r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Bottom in both orders and</a:t>
          </a:r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algn="ctr"/>
          <a:r>
            <a:rPr lang="en-US" sz="100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revenue</a:t>
          </a:r>
          <a:endParaRPr lang="en-IN" sz="1000">
            <a:solidFill>
              <a:schemeClr val="bg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IN" sz="1100"/>
        </a:p>
      </xdr:txBody>
    </xdr:sp>
    <xdr:clientData/>
  </xdr:oneCellAnchor>
  <xdr:twoCellAnchor editAs="oneCell">
    <xdr:from>
      <xdr:col>22</xdr:col>
      <xdr:colOff>402675</xdr:colOff>
      <xdr:row>30</xdr:row>
      <xdr:rowOff>38100</xdr:rowOff>
    </xdr:from>
    <xdr:to>
      <xdr:col>28</xdr:col>
      <xdr:colOff>107347</xdr:colOff>
      <xdr:row>40</xdr:row>
      <xdr:rowOff>88899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3" name="order_date 1">
              <a:extLst>
                <a:ext uri="{FF2B5EF4-FFF2-40B4-BE49-F238E27FC236}">
                  <a16:creationId xmlns:a16="http://schemas.microsoft.com/office/drawing/2014/main" id="{AB29D2EF-A897-4ACC-A397-5C64AEDA8B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6203" y="5432033"/>
              <a:ext cx="3351998" cy="18487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162674</xdr:colOff>
      <xdr:row>2</xdr:row>
      <xdr:rowOff>61212</xdr:rowOff>
    </xdr:from>
    <xdr:to>
      <xdr:col>7</xdr:col>
      <xdr:colOff>393843</xdr:colOff>
      <xdr:row>6</xdr:row>
      <xdr:rowOff>79483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82341D5-0DB2-F265-AFBB-235B2868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02112" y="420808"/>
          <a:ext cx="1446944" cy="73746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" refreshedDate="45922.760281481482" createdVersion="8" refreshedVersion="8" minRefreshableVersion="3" recordCount="2420" xr:uid="{01A41CF9-355F-4F4F-9507-725DB83E9ACC}">
  <cacheSource type="worksheet">
    <worksheetSource name="pizza_sales"/>
  </cacheSource>
  <cacheFields count="17">
    <cacheField name="pizza_id" numFmtId="0">
      <sharedItems containsSemiMixedTypes="0" containsString="0" containsNumber="1" containsInteger="1" minValue="1" maxValue="2420"/>
    </cacheField>
    <cacheField name="order_id" numFmtId="0">
      <sharedItems containsSemiMixedTypes="0" containsString="0" containsNumber="1" containsInteger="1" minValue="1" maxValue="1077"/>
    </cacheField>
    <cacheField name="total_orders" numFmtId="0">
      <sharedItems containsSemiMixedTypes="0" containsString="0" containsNumber="1" minValue="7.1428571428571425E-2" maxValue="1"/>
    </cacheField>
    <cacheField name="pizza_name_id" numFmtId="0">
      <sharedItems/>
    </cacheField>
    <cacheField name="quantity" numFmtId="0">
      <sharedItems containsSemiMixedTypes="0" containsString="0" containsNumber="1" containsInteger="1" minValue="1" maxValue="3"/>
    </cacheField>
    <cacheField name="order_date" numFmtId="14">
      <sharedItems containsSemiMixedTypes="0" containsNonDate="0" containsDate="1" containsString="0" minDate="2015-01-01T00:00:00" maxDate="2015-01-19T00:00:00" count="18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</sharedItems>
    </cacheField>
    <cacheField name="Order_day" numFmtId="14">
      <sharedItems count="7">
        <s v="Thursday"/>
        <s v="Friday"/>
        <s v="Saturday"/>
        <s v="Sunday"/>
        <s v="Monday"/>
        <s v="Tuesday"/>
        <s v="Wednesday"/>
      </sharedItems>
    </cacheField>
    <cacheField name="order_time" numFmtId="22">
      <sharedItems containsSemiMixedTypes="0" containsNonDate="0" containsDate="1" containsString="0" minDate="2000-01-01T11:16:21" maxDate="2000-01-01T22:50:29" count="1068">
        <d v="2000-01-01T11:38:36"/>
        <d v="2000-01-01T11:57:40"/>
        <d v="2000-01-01T12:12:28"/>
        <d v="2000-01-01T12:16:31"/>
        <d v="2000-01-01T12:21:30"/>
        <d v="2000-01-01T12:29:36"/>
        <d v="2000-01-01T12:50:37"/>
        <d v="2000-01-01T12:51:37"/>
        <d v="2000-01-01T12:52:01"/>
        <d v="2000-01-01T13:00:15"/>
        <d v="2000-01-01T13:02:59"/>
        <d v="2000-01-01T13:04:41"/>
        <d v="2000-01-01T13:11:55"/>
        <d v="2000-01-01T13:14:19"/>
        <d v="2000-01-01T13:33:00"/>
        <d v="2000-01-01T13:34:07"/>
        <d v="2000-01-01T13:53:00"/>
        <d v="2000-01-01T13:57:08"/>
        <d v="2000-01-01T13:59:09"/>
        <d v="2000-01-01T14:03:08"/>
        <d v="2000-01-01T14:14:29"/>
        <d v="2000-01-01T14:16:26"/>
        <d v="2000-01-01T14:19:03"/>
        <d v="2000-01-01T14:23:01"/>
        <d v="2000-01-01T14:44:44"/>
        <d v="2000-01-01T14:54:26"/>
        <d v="2000-01-01T15:11:17"/>
        <d v="2000-01-01T15:35:46"/>
        <d v="2000-01-01T15:41:01"/>
        <d v="2000-01-01T15:41:25"/>
        <d v="2000-01-01T15:50:18"/>
        <d v="2000-01-01T15:53:18"/>
        <d v="2000-01-01T15:54:08"/>
        <d v="2000-01-01T16:21:21"/>
        <d v="2000-01-01T16:32:04"/>
        <d v="2000-01-01T16:54:09"/>
        <d v="2000-01-01T16:56:09"/>
        <d v="2000-01-01T17:03:00"/>
        <d v="2000-01-01T17:07:23"/>
        <d v="2000-01-01T17:14:36"/>
        <d v="2000-01-01T17:15:20"/>
        <d v="2000-01-01T17:28:09"/>
        <d v="2000-01-01T17:38:34"/>
        <d v="2000-01-01T17:54:20"/>
        <d v="2000-01-01T17:55:48"/>
        <d v="2000-01-01T18:25:51"/>
        <d v="2000-01-01T18:26:34"/>
        <d v="2000-01-01T18:26:42"/>
        <d v="2000-01-01T18:33:00"/>
        <d v="2000-01-01T18:41:01"/>
        <d v="2000-01-01T18:48:28"/>
        <d v="2000-01-01T18:53:02"/>
        <d v="2000-01-01T18:54:17"/>
        <d v="2000-01-01T19:01:45"/>
        <d v="2000-01-01T19:03:19"/>
        <d v="2000-01-01T19:07:00"/>
        <d v="2000-01-01T19:10:51"/>
        <d v="2000-01-01T19:30:40"/>
        <d v="2000-01-01T19:40:08"/>
        <d v="2000-01-01T20:05:16"/>
        <d v="2000-01-01T20:08:43"/>
        <d v="2000-01-01T20:50:16"/>
        <d v="2000-01-01T20:51:42"/>
        <d v="2000-01-01T20:52:08"/>
        <d v="2000-01-01T21:16:00"/>
        <d v="2000-01-01T21:47:55"/>
        <d v="2000-01-01T22:03:40"/>
        <d v="2000-01-01T22:07:32"/>
        <d v="2000-01-01T22:12:13"/>
        <d v="2000-01-01T11:38:51"/>
        <d v="2000-01-01T11:40:50"/>
        <d v="2000-01-01T11:57:25"/>
        <d v="2000-01-01T11:58:56"/>
        <d v="2000-01-01T12:01:12"/>
        <d v="2000-01-01T12:10:15"/>
        <d v="2000-01-01T12:21:17"/>
        <d v="2000-01-01T12:22:46"/>
        <d v="2000-01-01T12:28:14"/>
        <d v="2000-01-01T12:29:11"/>
        <d v="2000-01-01T12:35:38"/>
        <d v="2000-01-01T12:40:01"/>
        <d v="2000-01-01T12:45:51"/>
        <d v="2000-01-01T12:53:27"/>
        <d v="2000-01-01T13:13:41"/>
        <d v="2000-01-01T13:34:49"/>
        <d v="2000-01-01T13:40:31"/>
        <d v="2000-01-01T14:01:02"/>
        <d v="2000-01-01T14:10:08"/>
        <d v="2000-01-01T14:30:19"/>
        <d v="2000-01-01T15:08:48"/>
        <d v="2000-01-01T15:14:43"/>
        <d v="2000-01-01T15:17:02"/>
        <d v="2000-01-01T15:29:31"/>
        <d v="2000-01-01T16:17:16"/>
        <d v="2000-01-01T16:18:04"/>
        <d v="2000-01-01T16:21:20"/>
        <d v="2000-01-01T16:45:33"/>
        <d v="2000-01-01T17:18:18"/>
        <d v="2000-01-01T17:45:42"/>
        <d v="2000-01-01T17:46:17"/>
        <d v="2000-01-01T17:51:33"/>
        <d v="2000-01-01T17:54:04"/>
        <d v="2000-01-01T18:02:09"/>
        <d v="2000-01-01T18:02:12"/>
        <d v="2000-01-01T18:12:01"/>
        <d v="2000-01-01T18:12:13"/>
        <d v="2000-01-01T18:25:09"/>
        <d v="2000-01-01T18:25:25"/>
        <d v="2000-01-01T18:27:50"/>
        <d v="2000-01-01T18:36:19"/>
        <d v="2000-01-01T18:38:01"/>
        <d v="2000-01-01T18:41:40"/>
        <d v="2000-01-01T18:50:21"/>
        <d v="2000-01-01T18:59:32"/>
        <d v="2000-01-01T19:05:17"/>
        <d v="2000-01-01T19:18:49"/>
        <d v="2000-01-01T19:23:02"/>
        <d v="2000-01-01T19:26:59"/>
        <d v="2000-01-01T19:32:29"/>
        <d v="2000-01-01T19:35:07"/>
        <d v="2000-01-01T19:38:48"/>
        <d v="2000-01-01T19:50:19"/>
        <d v="2000-01-01T20:12:09"/>
        <d v="2000-01-01T20:12:34"/>
        <d v="2000-01-01T20:31:06"/>
        <d v="2000-01-01T20:53:42"/>
        <d v="2000-01-01T20:58:23"/>
        <d v="2000-01-01T21:05:06"/>
        <d v="2000-01-01T21:13:02"/>
        <d v="2000-01-01T21:14:55"/>
        <d v="2000-01-01T21:33:10"/>
        <d v="2000-01-01T21:42:45"/>
        <d v="2000-01-01T22:00:17"/>
        <d v="2000-01-01T22:13:24"/>
        <d v="2000-01-01T22:29:34"/>
        <d v="2000-01-01T22:32:49"/>
        <d v="2000-01-01T11:34:10"/>
        <d v="2000-01-01T11:44:50"/>
        <d v="2000-01-01T11:57:39"/>
        <d v="2000-01-01T12:26:44"/>
        <d v="2000-01-01T13:16:01"/>
        <d v="2000-01-01T13:33:59"/>
        <d v="2000-01-01T13:41:36"/>
        <d v="2000-01-01T13:44:28"/>
        <d v="2000-01-01T13:53:48"/>
        <d v="2000-01-01T14:22:10"/>
        <d v="2000-01-01T14:32:51"/>
        <d v="2000-01-01T14:40:42"/>
        <d v="2000-01-01T14:48:45"/>
        <d v="2000-01-01T14:49:58"/>
        <d v="2000-01-01T15:09:34"/>
        <d v="2000-01-01T15:09:42"/>
        <d v="2000-01-01T15:16:34"/>
        <d v="2000-01-01T15:22:43"/>
        <d v="2000-01-01T15:28:59"/>
        <d v="2000-01-01T15:42:19"/>
        <d v="2000-01-01T15:43:03"/>
        <d v="2000-01-01T15:54:30"/>
        <d v="2000-01-01T15:59:22"/>
        <d v="2000-01-01T16:35:33"/>
        <d v="2000-01-01T16:43:46"/>
        <d v="2000-01-01T16:51:22"/>
        <d v="2000-01-01T16:54:54"/>
        <d v="2000-01-01T16:56:33"/>
        <d v="2000-01-01T16:57:37"/>
        <d v="2000-01-01T16:58:51"/>
        <d v="2000-01-01T17:00:49"/>
        <d v="2000-01-01T17:02:27"/>
        <d v="2000-01-01T17:15:48"/>
        <d v="2000-01-01T17:21:31"/>
        <d v="2000-01-01T17:23:03"/>
        <d v="2000-01-01T17:29:24"/>
        <d v="2000-01-01T17:35:30"/>
        <d v="2000-01-01T17:37:49"/>
        <d v="2000-01-01T17:50:51"/>
        <d v="2000-01-01T17:51:57"/>
        <d v="2000-01-01T17:54:36"/>
        <d v="2000-01-01T18:15:03"/>
        <d v="2000-01-01T18:20:14"/>
        <d v="2000-01-01T18:33:34"/>
        <d v="2000-01-01T18:49:32"/>
        <d v="2000-01-01T18:50:10"/>
        <d v="2000-01-01T18:54:55"/>
        <d v="2000-01-01T18:59:05"/>
        <d v="2000-01-01T19:08:33"/>
        <d v="2000-01-01T19:36:00"/>
        <d v="2000-01-01T19:37:12"/>
        <d v="2000-01-01T20:08:39"/>
        <d v="2000-01-01T20:12:14"/>
        <d v="2000-01-01T20:14:23"/>
        <d v="2000-01-01T20:24:50"/>
        <d v="2000-01-01T20:30:08"/>
        <d v="2000-01-01T20:55:47"/>
        <d v="2000-01-01T21:21:24"/>
        <d v="2000-01-01T21:25:20"/>
        <d v="2000-01-01T21:40:14"/>
        <d v="2000-01-01T21:47:48"/>
        <d v="2000-01-01T21:55:42"/>
        <d v="2000-01-01T22:10:38"/>
        <d v="2000-01-01T22:24:05"/>
        <d v="2000-01-01T22:29:59"/>
        <d v="2000-01-01T22:50:29"/>
        <d v="2000-01-01T11:30:48"/>
        <d v="2000-01-01T11:36:25"/>
        <d v="2000-01-01T11:43:54"/>
        <d v="2000-01-01T11:45:10"/>
        <d v="2000-01-01T12:03:58"/>
        <d v="2000-01-01T12:12:05"/>
        <d v="2000-01-01T12:29:17"/>
        <d v="2000-01-01T12:34:13"/>
        <d v="2000-01-01T12:54:20"/>
        <d v="2000-01-01T13:16:03"/>
        <d v="2000-01-01T13:20:39"/>
        <d v="2000-01-01T13:39:16"/>
        <d v="2000-01-01T13:44:49"/>
        <d v="2000-01-01T14:31:56"/>
        <d v="2000-01-01T14:35:03"/>
        <d v="2000-01-01T14:35:11"/>
        <d v="2000-01-01T14:42:01"/>
        <d v="2000-01-01T15:31:59"/>
        <d v="2000-01-01T15:33:18"/>
        <d v="2000-01-01T15:46:38"/>
        <d v="2000-01-01T16:08:20"/>
        <d v="2000-01-01T16:39:58"/>
        <d v="2000-01-01T16:41:48"/>
        <d v="2000-01-01T16:59:39"/>
        <d v="2000-01-01T17:24:39"/>
        <d v="2000-01-01T17:31:24"/>
        <d v="2000-01-01T17:37:57"/>
        <d v="2000-01-01T17:58:38"/>
        <d v="2000-01-01T18:04:18"/>
        <d v="2000-01-01T18:21:59"/>
        <d v="2000-01-01T18:26:51"/>
        <d v="2000-01-01T18:36:09"/>
        <d v="2000-01-01T18:51:30"/>
        <d v="2000-01-01T19:21:04"/>
        <d v="2000-01-01T19:27:48"/>
        <d v="2000-01-01T19:45:15"/>
        <d v="2000-01-01T19:57:52"/>
        <d v="2000-01-01T20:10:24"/>
        <d v="2000-01-01T20:11:25"/>
        <d v="2000-01-01T20:15:29"/>
        <d v="2000-01-01T20:26:17"/>
        <d v="2000-01-01T20:26:22"/>
        <d v="2000-01-01T20:28:41"/>
        <d v="2000-01-01T20:30:48"/>
        <d v="2000-01-01T20:55:29"/>
        <d v="2000-01-01T20:58:19"/>
        <d v="2000-01-01T21:06:16"/>
        <d v="2000-01-01T21:07:05"/>
        <d v="2000-01-01T21:10:05"/>
        <d v="2000-01-01T22:13:15"/>
        <d v="2000-01-01T22:16:18"/>
        <d v="2000-01-01T22:22:13"/>
        <d v="2000-01-01T11:23:35"/>
        <d v="2000-01-01T11:56:06"/>
        <d v="2000-01-01T11:59:04"/>
        <d v="2000-01-01T11:59:23"/>
        <d v="2000-01-01T12:04:25"/>
        <d v="2000-01-01T12:06:27"/>
        <d v="2000-01-01T12:38:29"/>
        <d v="2000-01-01T12:42:01"/>
        <d v="2000-01-01T12:57:22"/>
        <d v="2000-01-01T13:03:59"/>
        <d v="2000-01-01T13:04:42"/>
        <d v="2000-01-01T13:09:29"/>
        <d v="2000-01-01T13:37:50"/>
        <d v="2000-01-01T13:40:46"/>
        <d v="2000-01-01T13:49:34"/>
        <d v="2000-01-01T14:09:02"/>
        <d v="2000-01-01T14:22:19"/>
        <d v="2000-01-01T14:24:05"/>
        <d v="2000-01-01T14:28:00"/>
        <d v="2000-01-01T14:36:33"/>
        <d v="2000-01-01T14:38:14"/>
        <d v="2000-01-01T15:18:18"/>
        <d v="2000-01-01T15:41:50"/>
        <d v="2000-01-01T15:49:21"/>
        <d v="2000-01-01T16:07:03"/>
        <d v="2000-01-01T16:20:23"/>
        <d v="2000-01-01T16:33:48"/>
        <d v="2000-01-01T16:49:38"/>
        <d v="2000-01-01T16:51:43"/>
        <d v="2000-01-01T16:58:16"/>
        <d v="2000-01-01T16:58:38"/>
        <d v="2000-01-01T17:01:23"/>
        <d v="2000-01-01T17:30:09"/>
        <d v="2000-01-01T17:32:44"/>
        <d v="2000-01-01T17:36:23"/>
        <d v="2000-01-01T17:41:16"/>
        <d v="2000-01-01T17:44:39"/>
        <d v="2000-01-01T17:48:59"/>
        <d v="2000-01-01T18:16:35"/>
        <d v="2000-01-01T18:20:12"/>
        <d v="2000-01-01T18:46:54"/>
        <d v="2000-01-01T19:02:18"/>
        <d v="2000-01-01T19:10:36"/>
        <d v="2000-01-01T19:34:31"/>
        <d v="2000-01-01T19:42:54"/>
        <d v="2000-01-01T19:45:58"/>
        <d v="2000-01-01T19:57:37"/>
        <d v="2000-01-01T20:02:51"/>
        <d v="2000-01-01T20:07:58"/>
        <d v="2000-01-01T20:35:40"/>
        <d v="2000-01-01T20:37:40"/>
        <d v="2000-01-01T21:45:38"/>
        <d v="2000-01-01T21:59:46"/>
        <d v="2000-01-01T11:39:06"/>
        <d v="2000-01-01T11:40:48"/>
        <d v="2000-01-01T11:57:27"/>
        <d v="2000-01-01T12:05:21"/>
        <d v="2000-01-01T12:09:09"/>
        <d v="2000-01-01T12:11:58"/>
        <d v="2000-01-01T12:17:40"/>
        <d v="2000-01-01T12:29:34"/>
        <d v="2000-01-01T12:31:00"/>
        <d v="2000-01-01T12:45:14"/>
        <d v="2000-01-01T12:46:22"/>
        <d v="2000-01-01T12:46:40"/>
        <d v="2000-01-01T12:56:21"/>
        <d v="2000-01-01T13:02:13"/>
        <d v="2000-01-01T13:05:33"/>
        <d v="2000-01-01T13:06:44"/>
        <d v="2000-01-01T13:07:32"/>
        <d v="2000-01-01T13:10:13"/>
        <d v="2000-01-01T13:10:54"/>
        <d v="2000-01-01T13:16:35"/>
        <d v="2000-01-01T13:22:44"/>
        <d v="2000-01-01T13:27:11"/>
        <d v="2000-01-01T13:43:30"/>
        <d v="2000-01-01T14:12:01"/>
        <d v="2000-01-01T14:16:36"/>
        <d v="2000-01-01T14:24:18"/>
        <d v="2000-01-01T14:24:47"/>
        <d v="2000-01-01T14:51:41"/>
        <d v="2000-01-01T15:03:12"/>
        <d v="2000-01-01T15:18:26"/>
        <d v="2000-01-01T15:25:13"/>
        <d v="2000-01-01T15:35:32"/>
        <d v="2000-01-01T15:35:47"/>
        <d v="2000-01-01T15:44:12"/>
        <d v="2000-01-01T15:45:37"/>
        <d v="2000-01-01T16:01:11"/>
        <d v="2000-01-01T16:01:47"/>
        <d v="2000-01-01T16:30:00"/>
        <d v="2000-01-01T16:37:17"/>
        <d v="2000-01-01T16:49:12"/>
        <d v="2000-01-01T17:25:58"/>
        <d v="2000-01-01T17:37:05"/>
        <d v="2000-01-01T17:37:29"/>
        <d v="2000-01-01T17:45:48"/>
        <d v="2000-01-01T17:59:48"/>
        <d v="2000-01-01T18:01:44"/>
        <d v="2000-01-01T18:14:45"/>
        <d v="2000-01-01T18:16:05"/>
        <d v="2000-01-01T18:27:58"/>
        <d v="2000-01-01T18:30:12"/>
        <d v="2000-01-01T18:33:08"/>
        <d v="2000-01-01T18:50:38"/>
        <d v="2000-01-01T19:12:38"/>
        <d v="2000-01-01T19:13:36"/>
        <d v="2000-01-01T19:20:31"/>
        <d v="2000-01-01T19:27:24"/>
        <d v="2000-01-01T19:37:26"/>
        <d v="2000-01-01T20:04:20"/>
        <d v="2000-01-01T20:05:12"/>
        <d v="2000-01-01T20:28:16"/>
        <d v="2000-01-01T20:30:06"/>
        <d v="2000-01-01T21:02:30"/>
        <d v="2000-01-01T21:15:20"/>
        <d v="2000-01-01T22:26:59"/>
        <d v="2000-01-01T11:45:18"/>
        <d v="2000-01-01T11:55:59"/>
        <d v="2000-01-01T11:58:36"/>
        <d v="2000-01-01T12:01:17"/>
        <d v="2000-01-01T12:03:18"/>
        <d v="2000-01-01T12:19:37"/>
        <d v="2000-01-01T12:25:37"/>
        <d v="2000-01-01T12:32:10"/>
        <d v="2000-01-01T12:33:06"/>
        <d v="2000-01-01T12:33:07"/>
        <d v="2000-01-01T12:43:59"/>
        <d v="2000-01-01T12:51:46"/>
        <d v="2000-01-01T12:54:19"/>
        <d v="2000-01-01T12:58:16"/>
        <d v="2000-01-01T13:03:14"/>
        <d v="2000-01-01T13:04:56"/>
        <d v="2000-01-01T13:10:17"/>
        <d v="2000-01-01T13:15:32"/>
        <d v="2000-01-01T13:25:31"/>
        <d v="2000-01-01T13:36:47"/>
        <d v="2000-01-01T13:48:31"/>
        <d v="2000-01-01T14:02:18"/>
        <d v="2000-01-01T14:11:08"/>
        <d v="2000-01-01T14:12:21"/>
        <d v="2000-01-01T14:31:10"/>
        <d v="2000-01-01T14:56:26"/>
        <d v="2000-01-01T15:47:49"/>
        <d v="2000-01-01T16:03:07"/>
        <d v="2000-01-01T16:08:35"/>
        <d v="2000-01-01T16:24:46"/>
        <d v="2000-01-01T16:26:10"/>
        <d v="2000-01-01T16:39:27"/>
        <d v="2000-01-01T16:44:16"/>
        <d v="2000-01-01T16:50:49"/>
        <d v="2000-01-01T16:56:42"/>
        <d v="2000-01-01T17:09:09"/>
        <d v="2000-01-01T17:15:04"/>
        <d v="2000-01-01T17:33:49"/>
        <d v="2000-01-01T17:58:09"/>
        <d v="2000-01-01T18:07:46"/>
        <d v="2000-01-01T18:11:32"/>
        <d v="2000-01-01T18:13:22"/>
        <d v="2000-01-01T18:16:23"/>
        <d v="2000-01-01T18:17:42"/>
        <d v="2000-01-01T18:24:40"/>
        <d v="2000-01-01T18:40:11"/>
        <d v="2000-01-01T19:02:31"/>
        <d v="2000-01-01T19:04:40"/>
        <d v="2000-01-01T19:21:58"/>
        <d v="2000-01-01T19:30:25"/>
        <d v="2000-01-01T19:45:07"/>
        <d v="2000-01-01T20:01:28"/>
        <d v="2000-01-01T20:21:19"/>
        <d v="2000-01-01T20:25:45"/>
        <d v="2000-01-01T21:49:00"/>
        <d v="2000-01-01T22:05:00"/>
        <d v="2000-01-01T22:16:53"/>
        <d v="2000-01-01T22:46:13"/>
        <d v="2000-01-01T11:17:13"/>
        <d v="2000-01-01T11:39:07"/>
        <d v="2000-01-01T11:49:50"/>
        <d v="2000-01-01T11:54:14"/>
        <d v="2000-01-01T12:06:09"/>
        <d v="2000-01-01T12:07:21"/>
        <d v="2000-01-01T12:07:54"/>
        <d v="2000-01-01T12:08:38"/>
        <d v="2000-01-01T12:13:08"/>
        <d v="2000-01-01T12:16:34"/>
        <d v="2000-01-01T12:16:58"/>
        <d v="2000-01-01T12:28:49"/>
        <d v="2000-01-01T12:34:20"/>
        <d v="2000-01-01T12:40:05"/>
        <d v="2000-01-01T12:57:39"/>
        <d v="2000-01-01T12:58:01"/>
        <d v="2000-01-01T13:02:00"/>
        <d v="2000-01-01T13:03:34"/>
        <d v="2000-01-01T13:04:15"/>
        <d v="2000-01-01T13:07:53"/>
        <d v="2000-01-01T13:19:06"/>
        <d v="2000-01-01T13:24:11"/>
        <d v="2000-01-01T13:27:14"/>
        <d v="2000-01-01T13:31:40"/>
        <d v="2000-01-01T13:39:14"/>
        <d v="2000-01-01T13:47:53"/>
        <d v="2000-01-01T13:59:04"/>
        <d v="2000-01-01T14:00:05"/>
        <d v="2000-01-01T14:14:02"/>
        <d v="2000-01-01T14:19:58"/>
        <d v="2000-01-01T14:21:19"/>
        <d v="2000-01-01T14:38:41"/>
        <d v="2000-01-01T14:40:28"/>
        <d v="2000-01-01T14:49:01"/>
        <d v="2000-01-01T14:55:23"/>
        <d v="2000-01-01T15:30:10"/>
        <d v="2000-01-01T15:33:13"/>
        <d v="2000-01-01T15:36:12"/>
        <d v="2000-01-01T15:37:18"/>
        <d v="2000-01-01T15:49:13"/>
        <d v="2000-01-01T16:20:26"/>
        <d v="2000-01-01T16:29:50"/>
        <d v="2000-01-01T16:41:27"/>
        <d v="2000-01-01T16:47:48"/>
        <d v="2000-01-01T17:15:17"/>
        <d v="2000-01-01T17:27:56"/>
        <d v="2000-01-01T17:30:04"/>
        <d v="2000-01-01T17:35:56"/>
        <d v="2000-01-01T17:37:03"/>
        <d v="2000-01-01T17:41:31"/>
        <d v="2000-01-01T17:41:37"/>
        <d v="2000-01-01T17:52:42"/>
        <d v="2000-01-01T17:54:05"/>
        <d v="2000-01-01T18:02:54"/>
        <d v="2000-01-01T18:07:31"/>
        <d v="2000-01-01T18:15:08"/>
        <d v="2000-01-01T18:30:16"/>
        <d v="2000-01-01T18:46:02"/>
        <d v="2000-01-01T18:48:43"/>
        <d v="2000-01-01T18:49:24"/>
        <d v="2000-01-01T19:01:12"/>
        <d v="2000-01-01T19:06:21"/>
        <d v="2000-01-01T19:31:47"/>
        <d v="2000-01-01T19:38:40"/>
        <d v="2000-01-01T19:42:52"/>
        <d v="2000-01-01T19:46:18"/>
        <d v="2000-01-01T19:49:26"/>
        <d v="2000-01-01T20:02:25"/>
        <d v="2000-01-01T21:10:46"/>
        <d v="2000-01-01T21:46:49"/>
        <d v="2000-01-01T21:51:31"/>
        <d v="2000-01-01T22:26:08"/>
        <d v="2000-01-01T11:16:21"/>
        <d v="2000-01-01T11:48:18"/>
        <d v="2000-01-01T11:55:10"/>
        <d v="2000-01-01T12:02:09"/>
        <d v="2000-01-01T12:06:03"/>
        <d v="2000-01-01T12:13:32"/>
        <d v="2000-01-01T12:13:58"/>
        <d v="2000-01-01T12:15:03"/>
        <d v="2000-01-01T12:18:21"/>
        <d v="2000-01-01T12:19:24"/>
        <d v="2000-01-01T12:22:48"/>
        <d v="2000-01-01T12:26:47"/>
        <d v="2000-01-01T13:07:37"/>
        <d v="2000-01-01T13:09:09"/>
        <d v="2000-01-01T13:09:11"/>
        <d v="2000-01-01T13:11:25"/>
        <d v="2000-01-01T13:15:20"/>
        <d v="2000-01-01T13:22:33"/>
        <d v="2000-01-01T13:43:07"/>
        <d v="2000-01-01T14:09:33"/>
        <d v="2000-01-01T14:42:14"/>
        <d v="2000-01-01T14:51:35"/>
        <d v="2000-01-01T15:08:46"/>
        <d v="2000-01-01T15:10:13"/>
        <d v="2000-01-01T15:23:37"/>
        <d v="2000-01-01T15:27:21"/>
        <d v="2000-01-01T15:31:01"/>
        <d v="2000-01-01T15:43:01"/>
        <d v="2000-01-01T15:58:10"/>
        <d v="2000-01-01T16:14:28"/>
        <d v="2000-01-01T16:28:43"/>
        <d v="2000-01-01T16:43:32"/>
        <d v="2000-01-01T17:08:47"/>
        <d v="2000-01-01T17:18:50"/>
        <d v="2000-01-01T17:23:52"/>
        <d v="2000-01-01T17:44:04"/>
        <d v="2000-01-01T17:51:34"/>
        <d v="2000-01-01T17:52:41"/>
        <d v="2000-01-01T18:07:47"/>
        <d v="2000-01-01T18:08:06"/>
        <d v="2000-01-01T18:23:59"/>
        <d v="2000-01-01T18:31:04"/>
        <d v="2000-01-01T18:46:28"/>
        <d v="2000-01-01T18:47:27"/>
        <d v="2000-01-01T18:49:23"/>
        <d v="2000-01-01T19:06:09"/>
        <d v="2000-01-01T19:06:34"/>
        <d v="2000-01-01T19:12:59"/>
        <d v="2000-01-01T19:26:24"/>
        <d v="2000-01-01T19:31:25"/>
        <d v="2000-01-01T20:14:47"/>
        <d v="2000-01-01T20:15:51"/>
        <d v="2000-01-01T20:18:25"/>
        <d v="2000-01-01T20:23:12"/>
        <d v="2000-01-01T20:51:10"/>
        <d v="2000-01-01T21:10:16"/>
        <d v="2000-01-01T21:13:48"/>
        <d v="2000-01-01T21:47:56"/>
        <d v="2000-01-01T22:04:05"/>
        <d v="2000-01-01T22:19:03"/>
        <d v="2000-01-01T22:32:32"/>
        <d v="2000-01-01T12:11:19"/>
        <d v="2000-01-01T12:21:19"/>
        <d v="2000-01-01T12:27:47"/>
        <d v="2000-01-01T12:28:53"/>
        <d v="2000-01-01T12:37:10"/>
        <d v="2000-01-01T13:13:59"/>
        <d v="2000-01-01T13:14:47"/>
        <d v="2000-01-01T13:39:33"/>
        <d v="2000-01-01T13:40:54"/>
        <d v="2000-01-01T13:41:04"/>
        <d v="2000-01-01T13:44:22"/>
        <d v="2000-01-01T13:45:00"/>
        <d v="2000-01-01T13:48:49"/>
        <d v="2000-01-01T13:51:19"/>
        <d v="2000-01-01T13:56:01"/>
        <d v="2000-01-01T14:13:01"/>
        <d v="2000-01-01T14:24:14"/>
        <d v="2000-01-01T14:33:19"/>
        <d v="2000-01-01T15:05:29"/>
        <d v="2000-01-01T15:58:42"/>
        <d v="2000-01-01T16:09:57"/>
        <d v="2000-01-01T16:32:36"/>
        <d v="2000-01-01T16:33:36"/>
        <d v="2000-01-01T17:12:39"/>
        <d v="2000-01-01T17:23:39"/>
        <d v="2000-01-01T17:32:54"/>
        <d v="2000-01-01T17:41:55"/>
        <d v="2000-01-01T17:48:57"/>
        <d v="2000-01-01T17:50:19"/>
        <d v="2000-01-01T18:12:28"/>
        <d v="2000-01-01T18:24:07"/>
        <d v="2000-01-01T18:32:36"/>
        <d v="2000-01-01T18:34:14"/>
        <d v="2000-01-01T18:34:27"/>
        <d v="2000-01-01T18:53:52"/>
        <d v="2000-01-01T18:58:19"/>
        <d v="2000-01-01T19:02:27"/>
        <d v="2000-01-01T19:03:11"/>
        <d v="2000-01-01T19:13:29"/>
        <d v="2000-01-01T19:23:51"/>
        <d v="2000-01-01T19:27:18"/>
        <d v="2000-01-01T19:36:16"/>
        <d v="2000-01-01T19:36:33"/>
        <d v="2000-01-01T19:39:32"/>
        <d v="2000-01-01T19:51:02"/>
        <d v="2000-01-01T19:58:10"/>
        <d v="2000-01-01T19:58:15"/>
        <d v="2000-01-01T20:10:44"/>
        <d v="2000-01-01T20:12:33"/>
        <d v="2000-01-01T20:14:03"/>
        <d v="2000-01-01T20:20:10"/>
        <d v="2000-01-01T20:27:26"/>
        <d v="2000-01-01T20:31:14"/>
        <d v="2000-01-01T20:41:58"/>
        <d v="2000-01-01T20:45:45"/>
        <d v="2000-01-01T20:49:29"/>
        <d v="2000-01-01T20:57:41"/>
        <d v="2000-01-01T21:21:21"/>
        <d v="2000-01-01T21:22:44"/>
        <d v="2000-01-01T21:50:23"/>
        <d v="2000-01-01T21:55:12"/>
        <d v="2000-01-01T22:18:35"/>
        <d v="2000-01-01T22:47:17"/>
        <d v="2000-01-01T22:48:39"/>
        <d v="2000-01-01T11:42:08"/>
        <d v="2000-01-01T11:44:36"/>
        <d v="2000-01-01T11:44:52"/>
        <d v="2000-01-01T11:51:45"/>
        <d v="2000-01-01T12:14:15"/>
        <d v="2000-01-01T12:18:31"/>
        <d v="2000-01-01T12:34:44"/>
        <d v="2000-01-01T12:44:10"/>
        <d v="2000-01-01T12:49:26"/>
        <d v="2000-01-01T13:23:21"/>
        <d v="2000-01-01T13:28:08"/>
        <d v="2000-01-01T13:37:46"/>
        <d v="2000-01-01T13:40:00"/>
        <d v="2000-01-01T13:43:19"/>
        <d v="2000-01-01T13:52:52"/>
        <d v="2000-01-01T14:03:45"/>
        <d v="2000-01-01T14:07:26"/>
        <d v="2000-01-01T14:07:35"/>
        <d v="2000-01-01T14:17:17"/>
        <d v="2000-01-01T14:29:23"/>
        <d v="2000-01-01T14:34:05"/>
        <d v="2000-01-01T14:49:35"/>
        <d v="2000-01-01T16:03:38"/>
        <d v="2000-01-01T16:18:23"/>
        <d v="2000-01-01T16:34:07"/>
        <d v="2000-01-01T16:43:33"/>
        <d v="2000-01-01T16:44:49"/>
        <d v="2000-01-01T16:45:47"/>
        <d v="2000-01-01T16:55:24"/>
        <d v="2000-01-01T16:56:39"/>
        <d v="2000-01-01T17:09:36"/>
        <d v="2000-01-01T17:18:14"/>
        <d v="2000-01-01T17:21:49"/>
        <d v="2000-01-01T17:29:14"/>
        <d v="2000-01-01T17:35:14"/>
        <d v="2000-01-01T17:42:23"/>
        <d v="2000-01-01T17:42:25"/>
        <d v="2000-01-01T18:13:08"/>
        <d v="2000-01-01T18:13:12"/>
        <d v="2000-01-01T18:40:44"/>
        <d v="2000-01-01T18:46:25"/>
        <d v="2000-01-01T19:18:42"/>
        <d v="2000-01-01T19:18:46"/>
        <d v="2000-01-01T19:28:13"/>
        <d v="2000-01-01T19:33:05"/>
        <d v="2000-01-01T19:33:19"/>
        <d v="2000-01-01T19:44:57"/>
        <d v="2000-01-01T19:51:09"/>
        <d v="2000-01-01T19:52:49"/>
        <d v="2000-01-01T20:31:02"/>
        <d v="2000-01-01T21:07:30"/>
        <d v="2000-01-01T21:29:50"/>
        <d v="2000-01-01T11:38:15"/>
        <d v="2000-01-01T11:39:08"/>
        <d v="2000-01-01T12:01:23"/>
        <d v="2000-01-01T12:11:46"/>
        <d v="2000-01-01T12:13:07"/>
        <d v="2000-01-01T12:21:09"/>
        <d v="2000-01-01T12:26:41"/>
        <d v="2000-01-01T12:33:22"/>
        <d v="2000-01-01T12:42:10"/>
        <d v="2000-01-01T12:45:53"/>
        <d v="2000-01-01T12:53:37"/>
        <d v="2000-01-01T13:04:24"/>
        <d v="2000-01-01T13:30:47"/>
        <d v="2000-01-01T13:33:06"/>
        <d v="2000-01-01T13:49:40"/>
        <d v="2000-01-01T13:58:56"/>
        <d v="2000-01-01T14:08:16"/>
        <d v="2000-01-01T14:27:03"/>
        <d v="2000-01-01T14:31:13"/>
        <d v="2000-01-01T14:33:39"/>
        <d v="2000-01-01T14:38:35"/>
        <d v="2000-01-01T15:08:01"/>
        <d v="2000-01-01T15:28:25"/>
        <d v="2000-01-01T15:31:00"/>
        <d v="2000-01-01T15:39:04"/>
        <d v="2000-01-01T15:41:32"/>
        <d v="2000-01-01T15:52:44"/>
        <d v="2000-01-01T15:53:56"/>
        <d v="2000-01-01T15:59:52"/>
        <d v="2000-01-01T16:21:10"/>
        <d v="2000-01-01T16:22:18"/>
        <d v="2000-01-01T16:31:56"/>
        <d v="2000-01-01T16:55:08"/>
        <d v="2000-01-01T17:05:33"/>
        <d v="2000-01-01T17:06:05"/>
        <d v="2000-01-01T17:24:44"/>
        <d v="2000-01-01T17:46:30"/>
        <d v="2000-01-01T17:52:27"/>
        <d v="2000-01-01T17:53:59"/>
        <d v="2000-01-01T18:17:15"/>
        <d v="2000-01-01T18:20:58"/>
        <d v="2000-01-01T18:21:04"/>
        <d v="2000-01-01T18:24:47"/>
        <d v="2000-01-01T18:33:14"/>
        <d v="2000-01-01T18:34:25"/>
        <d v="2000-01-01T18:44:57"/>
        <d v="2000-01-01T18:53:17"/>
        <d v="2000-01-01T19:20:41"/>
        <d v="2000-01-01T19:22:00"/>
        <d v="2000-01-01T19:27:47"/>
        <d v="2000-01-01T19:30:17"/>
        <d v="2000-01-01T19:57:36"/>
        <d v="2000-01-01T20:00:30"/>
        <d v="2000-01-01T20:35:34"/>
        <d v="2000-01-01T21:35:14"/>
        <d v="2000-01-01T11:31:34"/>
        <d v="2000-01-01T12:16:47"/>
        <d v="2000-01-01T12:19:38"/>
        <d v="2000-01-01T12:29:51"/>
        <d v="2000-01-01T12:49:09"/>
        <d v="2000-01-01T12:53:01"/>
        <d v="2000-01-01T13:08:32"/>
        <d v="2000-01-01T13:34:48"/>
        <d v="2000-01-01T13:36:53"/>
        <d v="2000-01-01T13:41:13"/>
        <d v="2000-01-01T14:15:02"/>
        <d v="2000-01-01T14:27:31"/>
        <d v="2000-01-01T14:48:09"/>
        <d v="2000-01-01T15:07:35"/>
        <d v="2000-01-01T15:19:25"/>
        <d v="2000-01-01T15:22:11"/>
        <d v="2000-01-01T15:47:56"/>
        <d v="2000-01-01T15:50:49"/>
        <d v="2000-01-01T15:55:11"/>
        <d v="2000-01-01T16:10:34"/>
        <d v="2000-01-01T16:14:43"/>
        <d v="2000-01-01T16:14:56"/>
        <d v="2000-01-01T16:27:40"/>
        <d v="2000-01-01T16:30:20"/>
        <d v="2000-01-01T16:36:36"/>
        <d v="2000-01-01T16:38:57"/>
        <d v="2000-01-01T16:39:39"/>
        <d v="2000-01-01T17:11:41"/>
        <d v="2000-01-01T17:21:45"/>
        <d v="2000-01-01T17:21:48"/>
        <d v="2000-01-01T17:23:34"/>
        <d v="2000-01-01T17:43:17"/>
        <d v="2000-01-01T17:44:13"/>
        <d v="2000-01-01T17:59:32"/>
        <d v="2000-01-01T18:07:59"/>
        <d v="2000-01-01T18:18:15"/>
        <d v="2000-01-01T18:31:07"/>
        <d v="2000-01-01T18:42:12"/>
        <d v="2000-01-01T18:50:43"/>
        <d v="2000-01-01T19:10:20"/>
        <d v="2000-01-01T19:18:08"/>
        <d v="2000-01-01T19:19:58"/>
        <d v="2000-01-01T20:12:49"/>
        <d v="2000-01-01T20:31:17"/>
        <d v="2000-01-01T20:36:27"/>
        <d v="2000-01-01T21:17:08"/>
        <d v="2000-01-01T21:39:41"/>
        <d v="2000-01-01T11:28:44"/>
        <d v="2000-01-01T11:35:30"/>
        <d v="2000-01-01T11:45:30"/>
        <d v="2000-01-01T11:46:19"/>
        <d v="2000-01-01T11:51:37"/>
        <d v="2000-01-01T12:07:30"/>
        <d v="2000-01-01T12:23:54"/>
        <d v="2000-01-01T12:37:48"/>
        <d v="2000-01-01T12:38:27"/>
        <d v="2000-01-01T12:39:16"/>
        <d v="2000-01-01T12:42:17"/>
        <d v="2000-01-01T12:43:09"/>
        <d v="2000-01-01T12:50:01"/>
        <d v="2000-01-01T12:50:30"/>
        <d v="2000-01-01T12:51:29"/>
        <d v="2000-01-01T12:54:35"/>
        <d v="2000-01-01T13:10:53"/>
        <d v="2000-01-01T13:23:47"/>
        <d v="2000-01-01T13:37:51"/>
        <d v="2000-01-01T13:42:01"/>
        <d v="2000-01-01T14:07:52"/>
        <d v="2000-01-01T14:12:22"/>
        <d v="2000-01-01T14:15:29"/>
        <d v="2000-01-01T14:15:32"/>
        <d v="2000-01-01T14:26:17"/>
        <d v="2000-01-01T14:48:30"/>
        <d v="2000-01-01T14:48:56"/>
        <d v="2000-01-01T15:37:45"/>
        <d v="2000-01-01T16:09:29"/>
        <d v="2000-01-01T16:21:23"/>
        <d v="2000-01-01T16:38:00"/>
        <d v="2000-01-01T17:04:08"/>
        <d v="2000-01-01T17:10:38"/>
        <d v="2000-01-01T17:15:50"/>
        <d v="2000-01-01T17:21:39"/>
        <d v="2000-01-01T17:24:09"/>
        <d v="2000-01-01T17:37:26"/>
        <d v="2000-01-01T17:38:53"/>
        <d v="2000-01-01T17:42:17"/>
        <d v="2000-01-01T17:53:41"/>
        <d v="2000-01-01T18:06:06"/>
        <d v="2000-01-01T18:06:14"/>
        <d v="2000-01-01T18:09:48"/>
        <d v="2000-01-01T18:23:55"/>
        <d v="2000-01-01T18:27:42"/>
        <d v="2000-01-01T18:38:17"/>
        <d v="2000-01-01T18:38:20"/>
        <d v="2000-01-01T18:47:06"/>
        <d v="2000-01-01T19:07:45"/>
        <d v="2000-01-01T19:25:16"/>
        <d v="2000-01-01T19:56:01"/>
        <d v="2000-01-01T20:08:08"/>
        <d v="2000-01-01T20:12:27"/>
        <d v="2000-01-01T20:33:57"/>
        <d v="2000-01-01T20:40:40"/>
        <d v="2000-01-01T20:46:12"/>
        <d v="2000-01-01T20:57:40"/>
        <d v="2000-01-01T21:09:39"/>
        <d v="2000-01-01T21:32:21"/>
        <d v="2000-01-01T21:36:58"/>
        <d v="2000-01-01T21:42:56"/>
        <d v="2000-01-01T22:16:24"/>
        <d v="2000-01-01T11:37:03"/>
        <d v="2000-01-01T11:56:46"/>
        <d v="2000-01-01T12:08:30"/>
        <d v="2000-01-01T12:15:35"/>
        <d v="2000-01-01T12:20:22"/>
        <d v="2000-01-01T12:33:51"/>
        <d v="2000-01-01T12:36:39"/>
        <d v="2000-01-01T12:51:19"/>
        <d v="2000-01-01T12:56:54"/>
        <d v="2000-01-01T12:59:20"/>
        <d v="2000-01-01T13:01:53"/>
        <d v="2000-01-01T13:03:42"/>
        <d v="2000-01-01T13:05:13"/>
        <d v="2000-01-01T13:08:44"/>
        <d v="2000-01-01T13:10:45"/>
        <d v="2000-01-01T13:12:29"/>
        <d v="2000-01-01T14:04:23"/>
        <d v="2000-01-01T14:10:00"/>
        <d v="2000-01-01T14:18:09"/>
        <d v="2000-01-01T14:19:28"/>
        <d v="2000-01-01T14:27:25"/>
        <d v="2000-01-01T14:31:43"/>
        <d v="2000-01-01T14:38:31"/>
        <d v="2000-01-01T14:45:22"/>
        <d v="2000-01-01T14:48:37"/>
        <d v="2000-01-01T15:06:15"/>
        <d v="2000-01-01T15:20:36"/>
        <d v="2000-01-01T15:23:21"/>
        <d v="2000-01-01T15:27:03"/>
        <d v="2000-01-01T15:32:59"/>
        <d v="2000-01-01T16:05:58"/>
        <d v="2000-01-01T16:12:57"/>
        <d v="2000-01-01T16:19:26"/>
        <d v="2000-01-01T16:40:04"/>
        <d v="2000-01-01T16:44:46"/>
        <d v="2000-01-01T16:56:05"/>
        <d v="2000-01-01T16:57:15"/>
        <d v="2000-01-01T16:57:55"/>
        <d v="2000-01-01T17:05:35"/>
        <d v="2000-01-01T17:13:58"/>
        <d v="2000-01-01T17:14:27"/>
        <d v="2000-01-01T17:27:51"/>
        <d v="2000-01-01T17:32:25"/>
        <d v="2000-01-01T17:43:34"/>
        <d v="2000-01-01T18:04:29"/>
        <d v="2000-01-01T18:15:22"/>
        <d v="2000-01-01T18:17:26"/>
        <d v="2000-01-01T18:18:11"/>
        <d v="2000-01-01T18:27:28"/>
        <d v="2000-01-01T18:53:07"/>
        <d v="2000-01-01T18:56:49"/>
        <d v="2000-01-01T19:06:14"/>
        <d v="2000-01-01T19:09:51"/>
        <d v="2000-01-01T19:16:11"/>
        <d v="2000-01-01T19:21:00"/>
        <d v="2000-01-01T19:27:22"/>
        <d v="2000-01-01T20:07:01"/>
        <d v="2000-01-01T20:12:06"/>
        <d v="2000-01-01T20:51:59"/>
        <d v="2000-01-01T20:54:32"/>
        <d v="2000-01-01T21:42:32"/>
        <d v="2000-01-01T11:19:25"/>
        <d v="2000-01-01T11:25:40"/>
        <d v="2000-01-01T11:36:00"/>
        <d v="2000-01-01T11:39:48"/>
        <d v="2000-01-01T11:55:24"/>
        <d v="2000-01-01T12:14:22"/>
        <d v="2000-01-01T12:30:09"/>
        <d v="2000-01-01T12:34:15"/>
        <d v="2000-01-01T13:06:04"/>
        <d v="2000-01-01T13:11:15"/>
        <d v="2000-01-01T13:16:55"/>
        <d v="2000-01-01T13:18:32"/>
        <d v="2000-01-01T13:19:43"/>
        <d v="2000-01-01T13:23:29"/>
        <d v="2000-01-01T13:27:57"/>
        <d v="2000-01-01T13:42:47"/>
        <d v="2000-01-01T13:51:38"/>
        <d v="2000-01-01T13:59:21"/>
        <d v="2000-01-01T14:14:40"/>
        <d v="2000-01-01T14:24:45"/>
        <d v="2000-01-01T15:00:11"/>
        <d v="2000-01-01T15:27:24"/>
        <d v="2000-01-01T15:33:19"/>
        <d v="2000-01-01T15:49:05"/>
        <d v="2000-01-01T15:55:24"/>
        <d v="2000-01-01T16:14:59"/>
        <d v="2000-01-01T16:19:19"/>
        <d v="2000-01-01T16:20:32"/>
        <d v="2000-01-01T16:43:09"/>
        <d v="2000-01-01T16:59:23"/>
        <d v="2000-01-01T17:05:08"/>
        <d v="2000-01-01T17:09:08"/>
        <d v="2000-01-01T17:18:37"/>
        <d v="2000-01-01T17:22:00"/>
        <d v="2000-01-01T17:54:33"/>
        <d v="2000-01-01T18:00:48"/>
        <d v="2000-01-01T18:13:15"/>
        <d v="2000-01-01T18:42:17"/>
        <d v="2000-01-01T18:52:18"/>
        <d v="2000-01-01T18:57:56"/>
        <d v="2000-01-01T19:03:46"/>
        <d v="2000-01-01T19:05:35"/>
        <d v="2000-01-01T19:12:08"/>
        <d v="2000-01-01T19:14:03"/>
        <d v="2000-01-01T19:24:16"/>
        <d v="2000-01-01T19:24:40"/>
        <d v="2000-01-01T19:32:12"/>
        <d v="2000-01-01T19:33:33"/>
        <d v="2000-01-01T19:34:00"/>
        <d v="2000-01-01T19:35:00"/>
        <d v="2000-01-01T19:42:20"/>
        <d v="2000-01-01T19:55:17"/>
        <d v="2000-01-01T20:06:41"/>
        <d v="2000-01-01T20:24:37"/>
        <d v="2000-01-01T20:41:02"/>
        <d v="2000-01-01T20:59:17"/>
        <d v="2000-01-01T21:03:33"/>
        <d v="2000-01-01T21:23:01"/>
        <d v="2000-01-01T21:36:19"/>
        <d v="2000-01-01T21:44:35"/>
        <d v="2000-01-01T21:46:20"/>
        <d v="2000-01-01T22:03:09"/>
        <d v="2000-01-01T22:06:08"/>
        <d v="2000-01-01T22:06:53"/>
        <d v="2000-01-01T22:10:21"/>
        <d v="2000-01-01T11:53:19"/>
        <d v="2000-01-01T12:01:58"/>
        <d v="2000-01-01T12:24:36"/>
        <d v="2000-01-01T12:57:28"/>
        <d v="2000-01-01T12:58:36"/>
        <d v="2000-01-01T13:56:46"/>
        <d v="2000-01-01T14:12:58"/>
        <d v="2000-01-01T14:29:31"/>
        <d v="2000-01-01T14:33:55"/>
        <d v="2000-01-01T14:34:50"/>
        <d v="2000-01-01T14:35:25"/>
        <d v="2000-01-01T14:41:14"/>
        <d v="2000-01-01T14:44:56"/>
        <d v="2000-01-01T15:08:38"/>
        <d v="2000-01-01T15:43:27"/>
        <d v="2000-01-01T15:49:31"/>
        <d v="2000-01-01T16:16:59"/>
        <d v="2000-01-01T16:19:42"/>
        <d v="2000-01-01T16:57:30"/>
        <d v="2000-01-01T17:11:07"/>
        <d v="2000-01-01T17:16:26"/>
        <d v="2000-01-01T17:19:16"/>
        <d v="2000-01-01T17:21:24"/>
        <d v="2000-01-01T17:24:24"/>
        <d v="2000-01-01T17:28:05"/>
        <d v="2000-01-01T17:29:41"/>
        <d v="2000-01-01T17:31:16"/>
        <d v="2000-01-01T17:44:05"/>
        <d v="2000-01-01T17:49:51"/>
        <d v="2000-01-01T18:28:12"/>
        <d v="2000-01-01T18:35:22"/>
        <d v="2000-01-01T18:49:59"/>
        <d v="2000-01-01T18:58:24"/>
        <d v="2000-01-01T19:15:11"/>
        <d v="2000-01-01T19:20:20"/>
        <d v="2000-01-01T19:25:32"/>
        <d v="2000-01-01T19:26:40"/>
        <d v="2000-01-01T19:38:17"/>
        <d v="2000-01-01T19:42:51"/>
        <d v="2000-01-01T19:44:36"/>
        <d v="2000-01-01T20:13:32"/>
        <d v="2000-01-01T20:38:50"/>
        <d v="2000-01-01T20:50:54"/>
        <d v="2000-01-01T21:04:20"/>
        <d v="2000-01-01T21:11:31"/>
        <d v="2000-01-01T21:16:01"/>
        <d v="2000-01-01T21:20:18"/>
        <d v="2000-01-01T21:21:23"/>
        <d v="2000-01-01T21:55:05"/>
        <d v="2000-01-01T21:57:02"/>
        <d v="2000-01-01T22:02:45"/>
        <d v="2000-01-01T22:06:27"/>
        <d v="2000-01-01T22:13:59"/>
        <d v="2000-01-01T11:39:03"/>
        <d v="2000-01-01T11:45:13"/>
        <d v="2000-01-01T11:54:13"/>
        <d v="2000-01-01T12:07:59"/>
        <d v="2000-01-01T12:13:15"/>
        <d v="2000-01-01T12:49:29"/>
        <d v="2000-01-01T13:04:54"/>
        <d v="2000-01-01T13:14:59"/>
        <d v="2000-01-01T13:33:31"/>
        <d v="2000-01-01T13:56:05"/>
        <d v="2000-01-01T13:59:47"/>
        <d v="2000-01-01T14:06:19"/>
        <d v="2000-01-01T14:07:36"/>
        <d v="2000-01-01T14:20:16"/>
        <d v="2000-01-01T14:22:14"/>
        <d v="2000-01-01T14:39:33"/>
        <d v="2000-01-01T14:50:37"/>
        <d v="2000-01-01T14:53:25"/>
        <d v="2000-01-01T14:57:48"/>
        <d v="2000-01-01T15:05:54"/>
        <d v="2000-01-01T15:08:45"/>
        <d v="2000-01-01T15:28:12"/>
        <d v="2000-01-01T15:43:17"/>
        <d v="2000-01-01T15:56:04"/>
        <d v="2000-01-01T16:07:14"/>
        <d v="2000-01-01T16:12:18"/>
        <d v="2000-01-01T16:18:37"/>
        <d v="2000-01-01T16:30:09"/>
        <d v="2000-01-01T16:30:14"/>
        <d v="2000-01-01T16:39:46"/>
        <d v="2000-01-01T17:17:02"/>
        <d v="2000-01-01T17:21:38"/>
        <d v="2000-01-01T17:28:29"/>
        <d v="2000-01-01T17:30:00"/>
        <d v="2000-01-01T17:48:16"/>
        <d v="2000-01-01T18:10:50"/>
        <d v="2000-01-01T18:13:43"/>
        <d v="2000-01-01T18:16:32"/>
        <d v="2000-01-01T18:19:47"/>
        <d v="2000-01-01T18:21:27"/>
        <d v="2000-01-01T18:27:40"/>
        <d v="2000-01-01T18:32:32"/>
        <d v="2000-01-01T18:42:02"/>
        <d v="2000-01-01T19:01:54"/>
        <d v="2000-01-01T19:15:17"/>
        <d v="2000-01-01T19:36:15"/>
        <d v="2000-01-01T20:13:25"/>
      </sharedItems>
      <fieldGroup par="16"/>
    </cacheField>
    <cacheField name="unit_price" numFmtId="0">
      <sharedItems containsSemiMixedTypes="0" containsString="0" containsNumber="1" minValue="9.75" maxValue="25.5"/>
    </cacheField>
    <cacheField name="total_price" numFmtId="0">
      <sharedItems containsSemiMixedTypes="0" containsString="0" containsNumber="1" minValue="9.75" maxValue="62.25"/>
    </cacheField>
    <cacheField name="pizza_Regularize" numFmtId="0">
      <sharedItems count="4">
        <s v="Medium"/>
        <s v="Large"/>
        <s v="Regular"/>
        <s v="X-Large"/>
      </sharedItems>
    </cacheField>
    <cacheField name="pizza_category" numFmtId="0">
      <sharedItems count="4">
        <s v="Classic"/>
        <s v="Veggie"/>
        <s v="Supreme"/>
        <s v="Chicken"/>
      </sharedItems>
    </cacheField>
    <cacheField name="pizza_ingredients" numFmtId="0">
      <sharedItems/>
    </cacheField>
    <cacheField name="pizza_name" numFmtId="0">
      <sharedItems count="32">
        <s v="The Hawaiian Pizza"/>
        <s v="The Classic Deluxe Pizza"/>
        <s v="The Five Cheese Pizza"/>
        <s v="The Italian Supreme Pizza"/>
        <s v="The Mexicana Pizza"/>
        <s v="The Thai Chicken Pizza"/>
        <s v="The Prosciutto and Arugula Pizza"/>
        <s v="The Barbecue Chicken Pizza"/>
        <s v="The Greek Pizza"/>
        <s v="The Spinach Supreme Pizza"/>
        <s v="The Green Garden Pizza"/>
        <s v="The Italian Capocollo Pizza"/>
        <s v="The Spicy Italian Pizza"/>
        <s v="The Spinach Pesto Pizza"/>
        <s v="The Vegetables + Vegetables Pizza"/>
        <s v="The Southwest Chicken Pizza"/>
        <s v="The California Chicken Pizza"/>
        <s v="The Pepperoni Pizza"/>
        <s v="The Chicken Pesto Pizza"/>
        <s v="The Big Meat Pizza"/>
        <s v="The Soppressata Pizza"/>
        <s v="The Four Cheese Pizza"/>
        <s v="The Napolitana Pizza"/>
        <s v="The Calabrese Pizza"/>
        <s v="The Italian Vegetables Pizza"/>
        <s v="The Mediterranean Pizza"/>
        <s v="The Pepper Salami Pizza"/>
        <s v="The Spinach and Feta Pizza"/>
        <s v="The Sicilian Pizza"/>
        <s v="The Chicken Alfredo Pizza"/>
        <s v="The Pepperoni, Mushroom, and Peppers Pizza"/>
        <s v="The Brie Carre Pizza"/>
      </sharedItems>
    </cacheField>
    <cacheField name="Seconds (order_time)" numFmtId="0" databaseField="0">
      <fieldGroup base="7">
        <rangePr groupBy="seconds" startDate="2000-01-01T11:16:21" endDate="2000-01-01T22:50:29"/>
        <groupItems count="62">
          <s v="&lt;01-01-20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1-01-2000"/>
        </groupItems>
      </fieldGroup>
    </cacheField>
    <cacheField name="Minutes (order_time)" numFmtId="0" databaseField="0">
      <fieldGroup base="7">
        <rangePr groupBy="minutes" startDate="2000-01-01T11:16:21" endDate="2000-01-01T22:50:29"/>
        <groupItems count="62">
          <s v="&lt;01-01-20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1-01-2000"/>
        </groupItems>
      </fieldGroup>
    </cacheField>
    <cacheField name="Hours (order_time)" numFmtId="0" databaseField="0">
      <fieldGroup base="7">
        <rangePr groupBy="hours" startDate="2000-01-01T11:16:21" endDate="2000-01-01T22:50:29"/>
        <groupItems count="26">
          <s v="&lt;01-01-20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1-01-2000"/>
        </groupItems>
      </fieldGroup>
    </cacheField>
  </cacheFields>
  <extLst>
    <ext xmlns:x14="http://schemas.microsoft.com/office/spreadsheetml/2009/9/main" uri="{725AE2AE-9491-48be-B2B4-4EB974FC3084}">
      <x14:pivotCacheDefinition pivotCacheId="7975131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0">
  <r>
    <n v="1"/>
    <n v="1"/>
    <n v="1"/>
    <s v="hawaiian_m"/>
    <n v="1"/>
    <x v="0"/>
    <x v="0"/>
    <x v="0"/>
    <n v="13.25"/>
    <n v="13.25"/>
    <x v="0"/>
    <x v="0"/>
    <s v="Sliced Ham, Pineapple, Mozzarella Cheese"/>
    <x v="0"/>
  </r>
  <r>
    <n v="2"/>
    <n v="2"/>
    <n v="0.2"/>
    <s v="classic_dlx_m"/>
    <n v="1"/>
    <x v="0"/>
    <x v="0"/>
    <x v="1"/>
    <n v="16"/>
    <n v="16"/>
    <x v="0"/>
    <x v="0"/>
    <s v="Pepperoni, Mushrooms, Red Onions, Red Peppers, Bacon"/>
    <x v="1"/>
  </r>
  <r>
    <n v="3"/>
    <n v="2"/>
    <n v="0.2"/>
    <s v="five_cheese_l"/>
    <n v="1"/>
    <x v="0"/>
    <x v="0"/>
    <x v="1"/>
    <n v="18.5"/>
    <n v="18.5"/>
    <x v="1"/>
    <x v="1"/>
    <s v="Mozzarella Cheese, Provolone Cheese, Smoked Gouda Cheese, Romano Cheese, Blue Cheese, Garlic"/>
    <x v="2"/>
  </r>
  <r>
    <n v="4"/>
    <n v="2"/>
    <n v="0.2"/>
    <s v="ital_supr_l"/>
    <n v="1"/>
    <x v="0"/>
    <x v="0"/>
    <x v="1"/>
    <n v="20.75"/>
    <n v="20.75"/>
    <x v="1"/>
    <x v="2"/>
    <s v="Calabrese Salami, Capocollo, Tomatoes, Red Onions, Green Olives, Garlic"/>
    <x v="3"/>
  </r>
  <r>
    <n v="5"/>
    <n v="2"/>
    <n v="0.2"/>
    <s v="mexicana_m"/>
    <n v="1"/>
    <x v="0"/>
    <x v="0"/>
    <x v="1"/>
    <n v="16"/>
    <n v="16"/>
    <x v="0"/>
    <x v="1"/>
    <s v="Tomatoes, Red Peppers, Jalapeno Peppers, Red Onions, Cilantro, Corn, Chipotle Sauce, Garlic"/>
    <x v="4"/>
  </r>
  <r>
    <n v="6"/>
    <n v="2"/>
    <n v="0.2"/>
    <s v="thai_ckn_l"/>
    <n v="1"/>
    <x v="0"/>
    <x v="0"/>
    <x v="1"/>
    <n v="20.75"/>
    <n v="20.75"/>
    <x v="1"/>
    <x v="3"/>
    <s v="Chicken, Pineapple, Tomatoes, Red Peppers, Thai Sweet Chilli Sauce"/>
    <x v="5"/>
  </r>
  <r>
    <n v="7"/>
    <n v="3"/>
    <n v="0.5"/>
    <s v="ital_supr_m"/>
    <n v="1"/>
    <x v="0"/>
    <x v="0"/>
    <x v="2"/>
    <n v="16.5"/>
    <n v="16.5"/>
    <x v="0"/>
    <x v="2"/>
    <s v="Calabrese Salami, Capocollo, Tomatoes, Red Onions, Green Olives, Garlic"/>
    <x v="3"/>
  </r>
  <r>
    <n v="8"/>
    <n v="3"/>
    <n v="0.5"/>
    <s v="prsc_argla_l"/>
    <n v="1"/>
    <x v="0"/>
    <x v="0"/>
    <x v="2"/>
    <n v="20.75"/>
    <n v="20.75"/>
    <x v="1"/>
    <x v="2"/>
    <s v="Prosciutto di San Daniele, Arugula, Mozzarella Cheese"/>
    <x v="6"/>
  </r>
  <r>
    <n v="9"/>
    <n v="4"/>
    <n v="1"/>
    <s v="ital_supr_m"/>
    <n v="1"/>
    <x v="0"/>
    <x v="0"/>
    <x v="3"/>
    <n v="16.5"/>
    <n v="16.5"/>
    <x v="0"/>
    <x v="2"/>
    <s v="Calabrese Salami, Capocollo, Tomatoes, Red Onions, Green Olives, Garlic"/>
    <x v="3"/>
  </r>
  <r>
    <n v="10"/>
    <n v="5"/>
    <n v="1"/>
    <s v="ital_supr_m"/>
    <n v="1"/>
    <x v="0"/>
    <x v="0"/>
    <x v="4"/>
    <n v="16.5"/>
    <n v="16.5"/>
    <x v="0"/>
    <x v="2"/>
    <s v="Calabrese Salami, Capocollo, Tomatoes, Red Onions, Green Olives, Garlic"/>
    <x v="3"/>
  </r>
  <r>
    <n v="11"/>
    <n v="6"/>
    <n v="0.5"/>
    <s v="bbq_ckn_s"/>
    <n v="1"/>
    <x v="0"/>
    <x v="0"/>
    <x v="5"/>
    <n v="12.75"/>
    <n v="12.75"/>
    <x v="2"/>
    <x v="3"/>
    <s v="Barbecued Chicken, Red Peppers, Green Peppers, Tomatoes, Red Onions, Barbecue Sauce"/>
    <x v="7"/>
  </r>
  <r>
    <n v="12"/>
    <n v="6"/>
    <n v="0.5"/>
    <s v="the_greek_s"/>
    <n v="1"/>
    <x v="0"/>
    <x v="0"/>
    <x v="5"/>
    <n v="12"/>
    <n v="12"/>
    <x v="2"/>
    <x v="0"/>
    <s v="Kalamata Olives, Feta Cheese, Tomatoes, Garlic, Beef Chuck Roast, Red Onions"/>
    <x v="8"/>
  </r>
  <r>
    <n v="13"/>
    <n v="7"/>
    <n v="1"/>
    <s v="spinach_supr_s"/>
    <n v="1"/>
    <x v="0"/>
    <x v="0"/>
    <x v="6"/>
    <n v="12.5"/>
    <n v="12.5"/>
    <x v="2"/>
    <x v="2"/>
    <s v="Spinach, Red Onions, Pepperoni, Tomatoes, Artichokes, Kalamata Olives, Garlic, Asiago Cheese"/>
    <x v="9"/>
  </r>
  <r>
    <n v="14"/>
    <n v="8"/>
    <n v="1"/>
    <s v="spinach_supr_s"/>
    <n v="1"/>
    <x v="0"/>
    <x v="0"/>
    <x v="7"/>
    <n v="12.5"/>
    <n v="12.5"/>
    <x v="2"/>
    <x v="2"/>
    <s v="Spinach, Red Onions, Pepperoni, Tomatoes, Artichokes, Kalamata Olives, Garlic, Asiago Cheese"/>
    <x v="9"/>
  </r>
  <r>
    <n v="15"/>
    <n v="9"/>
    <n v="0.1111111111111111"/>
    <s v="classic_dlx_s"/>
    <n v="1"/>
    <x v="0"/>
    <x v="0"/>
    <x v="8"/>
    <n v="12"/>
    <n v="12"/>
    <x v="2"/>
    <x v="0"/>
    <s v="Pepperoni, Mushrooms, Red Onions, Red Peppers, Bacon"/>
    <x v="1"/>
  </r>
  <r>
    <n v="16"/>
    <n v="9"/>
    <n v="0.1111111111111111"/>
    <s v="green_garden_s"/>
    <n v="1"/>
    <x v="0"/>
    <x v="0"/>
    <x v="8"/>
    <n v="12"/>
    <n v="12"/>
    <x v="2"/>
    <x v="1"/>
    <s v="Spinach, Mushrooms, Tomatoes, Green Olives, Feta Cheese"/>
    <x v="10"/>
  </r>
  <r>
    <n v="17"/>
    <n v="9"/>
    <n v="0.1111111111111111"/>
    <s v="ital_cpcllo_l"/>
    <n v="1"/>
    <x v="0"/>
    <x v="0"/>
    <x v="8"/>
    <n v="20.5"/>
    <n v="20.5"/>
    <x v="1"/>
    <x v="0"/>
    <s v="Capocollo, Red Peppers, Tomatoes, Goat Cheese, Garlic, Oregano"/>
    <x v="11"/>
  </r>
  <r>
    <n v="18"/>
    <n v="9"/>
    <n v="0.1111111111111111"/>
    <s v="ital_supr_l"/>
    <n v="1"/>
    <x v="0"/>
    <x v="0"/>
    <x v="8"/>
    <n v="20.75"/>
    <n v="20.75"/>
    <x v="1"/>
    <x v="2"/>
    <s v="Calabrese Salami, Capocollo, Tomatoes, Red Onions, Green Olives, Garlic"/>
    <x v="3"/>
  </r>
  <r>
    <n v="19"/>
    <n v="9"/>
    <n v="0.1111111111111111"/>
    <s v="ital_supr_s"/>
    <n v="1"/>
    <x v="0"/>
    <x v="0"/>
    <x v="8"/>
    <n v="12.5"/>
    <n v="12.5"/>
    <x v="2"/>
    <x v="2"/>
    <s v="Calabrese Salami, Capocollo, Tomatoes, Red Onions, Green Olives, Garlic"/>
    <x v="3"/>
  </r>
  <r>
    <n v="20"/>
    <n v="9"/>
    <n v="0.1111111111111111"/>
    <s v="mexicana_s"/>
    <n v="1"/>
    <x v="0"/>
    <x v="0"/>
    <x v="8"/>
    <n v="12"/>
    <n v="12"/>
    <x v="2"/>
    <x v="1"/>
    <s v="Tomatoes, Red Peppers, Jalapeno Peppers, Red Onions, Cilantro, Corn, Chipotle Sauce, Garlic"/>
    <x v="4"/>
  </r>
  <r>
    <n v="21"/>
    <n v="9"/>
    <n v="0.1111111111111111"/>
    <s v="spicy_ital_l"/>
    <n v="1"/>
    <x v="0"/>
    <x v="0"/>
    <x v="8"/>
    <n v="20.75"/>
    <n v="20.75"/>
    <x v="1"/>
    <x v="2"/>
    <s v="Capocollo, Tomatoes, Goat Cheese, Artichokes, Peperoncini verdi, Garlic"/>
    <x v="12"/>
  </r>
  <r>
    <n v="22"/>
    <n v="9"/>
    <n v="0.1111111111111111"/>
    <s v="spin_pesto_l"/>
    <n v="1"/>
    <x v="0"/>
    <x v="0"/>
    <x v="8"/>
    <n v="20.75"/>
    <n v="20.75"/>
    <x v="1"/>
    <x v="1"/>
    <s v="Spinach, Artichokes, Tomatoes, Sun-dried Tomatoes, Garlic, Pesto Sauce"/>
    <x v="13"/>
  </r>
  <r>
    <n v="23"/>
    <n v="9"/>
    <n v="0.1111111111111111"/>
    <s v="veggie_veg_s"/>
    <n v="1"/>
    <x v="0"/>
    <x v="0"/>
    <x v="8"/>
    <n v="12"/>
    <n v="12"/>
    <x v="2"/>
    <x v="1"/>
    <s v="Mushrooms, Tomatoes, Red Peppers, Green Peppers, Red Onions, Zucchini, Spinach, Garlic"/>
    <x v="14"/>
  </r>
  <r>
    <n v="24"/>
    <n v="10"/>
    <n v="0.5"/>
    <s v="mexicana_l"/>
    <n v="1"/>
    <x v="0"/>
    <x v="0"/>
    <x v="9"/>
    <n v="20.25"/>
    <n v="20.25"/>
    <x v="1"/>
    <x v="1"/>
    <s v="Tomatoes, Red Peppers, Jalapeno Peppers, Red Onions, Cilantro, Corn, Chipotle Sauce, Garlic"/>
    <x v="4"/>
  </r>
  <r>
    <n v="25"/>
    <n v="10"/>
    <n v="0.5"/>
    <s v="southw_ckn_l"/>
    <n v="1"/>
    <x v="0"/>
    <x v="0"/>
    <x v="9"/>
    <n v="20.75"/>
    <n v="20.75"/>
    <x v="1"/>
    <x v="3"/>
    <s v="Chicken, Tomatoes, Red Peppers, Red Onions, Jalapeno Peppers, Corn, Cilantro, Chipotle Sauce"/>
    <x v="15"/>
  </r>
  <r>
    <n v="26"/>
    <n v="11"/>
    <n v="0.25"/>
    <s v="bbq_ckn_l"/>
    <n v="1"/>
    <x v="0"/>
    <x v="0"/>
    <x v="10"/>
    <n v="20.75"/>
    <n v="20.75"/>
    <x v="1"/>
    <x v="3"/>
    <s v="Barbecued Chicken, Red Peppers, Green Peppers, Tomatoes, Red Onions, Barbecue Sauce"/>
    <x v="7"/>
  </r>
  <r>
    <n v="27"/>
    <n v="11"/>
    <n v="0.25"/>
    <s v="cali_ckn_l"/>
    <n v="1"/>
    <x v="0"/>
    <x v="0"/>
    <x v="10"/>
    <n v="20.75"/>
    <n v="20.75"/>
    <x v="1"/>
    <x v="3"/>
    <s v="Chicken, Artichoke, Spinach, Garlic, Jalapeno Peppers, Fontina Cheese, Gouda Cheese"/>
    <x v="16"/>
  </r>
  <r>
    <n v="28"/>
    <n v="11"/>
    <n v="0.25"/>
    <s v="cali_ckn_m"/>
    <n v="1"/>
    <x v="0"/>
    <x v="0"/>
    <x v="10"/>
    <n v="16.75"/>
    <n v="16.75"/>
    <x v="0"/>
    <x v="3"/>
    <s v="Chicken, Artichoke, Spinach, Garlic, Jalapeno Peppers, Fontina Cheese, Gouda Cheese"/>
    <x v="16"/>
  </r>
  <r>
    <n v="29"/>
    <n v="11"/>
    <n v="0.25"/>
    <s v="pepperoni_l"/>
    <n v="1"/>
    <x v="0"/>
    <x v="0"/>
    <x v="10"/>
    <n v="15.25"/>
    <n v="15.25"/>
    <x v="1"/>
    <x v="0"/>
    <s v="Mozzarella Cheese, Pepperoni"/>
    <x v="17"/>
  </r>
  <r>
    <n v="30"/>
    <n v="12"/>
    <n v="0.25"/>
    <s v="cali_ckn_l"/>
    <n v="1"/>
    <x v="0"/>
    <x v="0"/>
    <x v="11"/>
    <n v="20.75"/>
    <n v="20.75"/>
    <x v="1"/>
    <x v="3"/>
    <s v="Chicken, Artichoke, Spinach, Garlic, Jalapeno Peppers, Fontina Cheese, Gouda Cheese"/>
    <x v="16"/>
  </r>
  <r>
    <n v="31"/>
    <n v="12"/>
    <n v="0.25"/>
    <s v="cali_ckn_s"/>
    <n v="1"/>
    <x v="0"/>
    <x v="0"/>
    <x v="11"/>
    <n v="12.75"/>
    <n v="12.75"/>
    <x v="2"/>
    <x v="3"/>
    <s v="Chicken, Artichoke, Spinach, Garlic, Jalapeno Peppers, Fontina Cheese, Gouda Cheese"/>
    <x v="16"/>
  </r>
  <r>
    <n v="32"/>
    <n v="12"/>
    <n v="0.25"/>
    <s v="ckn_pesto_l"/>
    <n v="1"/>
    <x v="0"/>
    <x v="0"/>
    <x v="11"/>
    <n v="20.75"/>
    <n v="20.75"/>
    <x v="1"/>
    <x v="3"/>
    <s v="Chicken, Tomatoes, Red Peppers, Spinach, Garlic, Pesto Sauce"/>
    <x v="18"/>
  </r>
  <r>
    <n v="33"/>
    <n v="12"/>
    <n v="0.25"/>
    <s v="ital_supr_m"/>
    <n v="1"/>
    <x v="0"/>
    <x v="0"/>
    <x v="11"/>
    <n v="16.5"/>
    <n v="16.5"/>
    <x v="0"/>
    <x v="2"/>
    <s v="Calabrese Salami, Capocollo, Tomatoes, Red Onions, Green Olives, Garlic"/>
    <x v="3"/>
  </r>
  <r>
    <n v="34"/>
    <n v="13"/>
    <n v="1"/>
    <s v="mexicana_l"/>
    <n v="1"/>
    <x v="0"/>
    <x v="0"/>
    <x v="12"/>
    <n v="20.25"/>
    <n v="20.25"/>
    <x v="1"/>
    <x v="1"/>
    <s v="Tomatoes, Red Peppers, Jalapeno Peppers, Red Onions, Cilantro, Corn, Chipotle Sauce, Garlic"/>
    <x v="4"/>
  </r>
  <r>
    <n v="35"/>
    <n v="14"/>
    <n v="1"/>
    <s v="the_greek_s"/>
    <n v="1"/>
    <x v="0"/>
    <x v="0"/>
    <x v="13"/>
    <n v="12"/>
    <n v="12"/>
    <x v="2"/>
    <x v="0"/>
    <s v="Kalamata Olives, Feta Cheese, Tomatoes, Garlic, Beef Chuck Roast, Red Onions"/>
    <x v="8"/>
  </r>
  <r>
    <n v="36"/>
    <n v="15"/>
    <n v="0.25"/>
    <s v="big_meat_s"/>
    <n v="1"/>
    <x v="0"/>
    <x v="0"/>
    <x v="14"/>
    <n v="12"/>
    <n v="12"/>
    <x v="2"/>
    <x v="0"/>
    <s v="Bacon, Pepperoni, Italian Sausage, Chorizo Sausage"/>
    <x v="19"/>
  </r>
  <r>
    <n v="37"/>
    <n v="15"/>
    <n v="0.25"/>
    <s v="five_cheese_l"/>
    <n v="1"/>
    <x v="0"/>
    <x v="0"/>
    <x v="14"/>
    <n v="18.5"/>
    <n v="18.5"/>
    <x v="1"/>
    <x v="1"/>
    <s v="Mozzarella Cheese, Provolone Cheese, Smoked Gouda Cheese, Romano Cheese, Blue Cheese, Garlic"/>
    <x v="2"/>
  </r>
  <r>
    <n v="38"/>
    <n v="15"/>
    <n v="0.25"/>
    <s v="soppressata_l"/>
    <n v="1"/>
    <x v="0"/>
    <x v="0"/>
    <x v="14"/>
    <n v="20.75"/>
    <n v="20.75"/>
    <x v="1"/>
    <x v="2"/>
    <s v="Soppressata Salami, Fontina Cheese, Mozzarella Cheese, Mushrooms, Garlic"/>
    <x v="20"/>
  </r>
  <r>
    <n v="39"/>
    <n v="15"/>
    <n v="0.25"/>
    <s v="the_greek_s"/>
    <n v="1"/>
    <x v="0"/>
    <x v="0"/>
    <x v="14"/>
    <n v="12"/>
    <n v="12"/>
    <x v="2"/>
    <x v="0"/>
    <s v="Kalamata Olives, Feta Cheese, Tomatoes, Garlic, Beef Chuck Roast, Red Onions"/>
    <x v="8"/>
  </r>
  <r>
    <n v="40"/>
    <n v="16"/>
    <n v="0.33333333333333331"/>
    <s v="four_cheese_l"/>
    <n v="1"/>
    <x v="0"/>
    <x v="0"/>
    <x v="15"/>
    <n v="17.95"/>
    <n v="17.95"/>
    <x v="1"/>
    <x v="1"/>
    <s v="Ricotta Cheese, Gorgonzola Piccante Cheese, Mozzarella Cheese, Parmigiano Reggiano Cheese, Garlic"/>
    <x v="21"/>
  </r>
  <r>
    <n v="41"/>
    <n v="16"/>
    <n v="0.33333333333333331"/>
    <s v="napolitana_s"/>
    <n v="1"/>
    <x v="0"/>
    <x v="0"/>
    <x v="15"/>
    <n v="12"/>
    <n v="12"/>
    <x v="2"/>
    <x v="0"/>
    <s v="Tomatoes, Anchovies, Green Olives, Red Onions, Garlic"/>
    <x v="22"/>
  </r>
  <r>
    <n v="42"/>
    <n v="16"/>
    <n v="0.33333333333333331"/>
    <s v="thai_ckn_l"/>
    <n v="1"/>
    <x v="0"/>
    <x v="0"/>
    <x v="15"/>
    <n v="20.75"/>
    <n v="20.75"/>
    <x v="1"/>
    <x v="3"/>
    <s v="Chicken, Pineapple, Tomatoes, Red Peppers, Thai Sweet Chilli Sauce"/>
    <x v="5"/>
  </r>
  <r>
    <n v="43"/>
    <n v="17"/>
    <n v="0.1"/>
    <s v="bbq_ckn_l"/>
    <n v="1"/>
    <x v="0"/>
    <x v="0"/>
    <x v="16"/>
    <n v="20.75"/>
    <n v="20.75"/>
    <x v="1"/>
    <x v="3"/>
    <s v="Barbecued Chicken, Red Peppers, Green Peppers, Tomatoes, Red Onions, Barbecue Sauce"/>
    <x v="7"/>
  </r>
  <r>
    <n v="44"/>
    <n v="17"/>
    <n v="0.1"/>
    <s v="calabrese_m"/>
    <n v="1"/>
    <x v="0"/>
    <x v="0"/>
    <x v="16"/>
    <n v="16.25"/>
    <n v="16.25"/>
    <x v="0"/>
    <x v="2"/>
    <s v="?duja Salami, Pancetta, Tomatoes, Red Onions, Friggitello Peppers, Garlic"/>
    <x v="23"/>
  </r>
  <r>
    <n v="45"/>
    <n v="17"/>
    <n v="0.1"/>
    <s v="five_cheese_l"/>
    <n v="1"/>
    <x v="0"/>
    <x v="0"/>
    <x v="16"/>
    <n v="18.5"/>
    <n v="18.5"/>
    <x v="1"/>
    <x v="1"/>
    <s v="Mozzarella Cheese, Provolone Cheese, Smoked Gouda Cheese, Romano Cheese, Blue Cheese, Garlic"/>
    <x v="2"/>
  </r>
  <r>
    <n v="46"/>
    <n v="17"/>
    <n v="0.1"/>
    <s v="four_cheese_m"/>
    <n v="1"/>
    <x v="0"/>
    <x v="0"/>
    <x v="16"/>
    <n v="14.75"/>
    <n v="14.75"/>
    <x v="0"/>
    <x v="1"/>
    <s v="Ricotta Cheese, Gorgonzola Piccante Cheese, Mozzarella Cheese, Parmigiano Reggiano Cheese, Garlic"/>
    <x v="21"/>
  </r>
  <r>
    <n v="47"/>
    <n v="17"/>
    <n v="0.1"/>
    <s v="ital_supr_m"/>
    <n v="1"/>
    <x v="0"/>
    <x v="0"/>
    <x v="16"/>
    <n v="16.5"/>
    <n v="16.5"/>
    <x v="0"/>
    <x v="2"/>
    <s v="Calabrese Salami, Capocollo, Tomatoes, Red Onions, Green Olives, Garlic"/>
    <x v="3"/>
  </r>
  <r>
    <n v="48"/>
    <n v="17"/>
    <n v="0.1"/>
    <s v="ital_veggie_s"/>
    <n v="1"/>
    <x v="0"/>
    <x v="0"/>
    <x v="16"/>
    <n v="12.75"/>
    <n v="12.75"/>
    <x v="2"/>
    <x v="1"/>
    <s v="Eggplant, Artichokes, Tomatoes, Zucchini, Red Peppers, Garlic, Pesto Sauce"/>
    <x v="24"/>
  </r>
  <r>
    <n v="49"/>
    <n v="17"/>
    <n v="0.1"/>
    <s v="mediterraneo_m"/>
    <n v="2"/>
    <x v="0"/>
    <x v="0"/>
    <x v="16"/>
    <n v="16"/>
    <n v="32"/>
    <x v="0"/>
    <x v="1"/>
    <s v="Spinach, Artichokes, Kalamata Olives, Sun-dried Tomatoes, Feta Cheese, Plum Tomatoes, Red Onions"/>
    <x v="25"/>
  </r>
  <r>
    <n v="50"/>
    <n v="17"/>
    <n v="0.1"/>
    <s v="mexicana_l"/>
    <n v="1"/>
    <x v="0"/>
    <x v="0"/>
    <x v="16"/>
    <n v="20.25"/>
    <n v="20.25"/>
    <x v="1"/>
    <x v="1"/>
    <s v="Tomatoes, Red Peppers, Jalapeno Peppers, Red Onions, Cilantro, Corn, Chipotle Sauce, Garlic"/>
    <x v="4"/>
  </r>
  <r>
    <n v="51"/>
    <n v="17"/>
    <n v="0.1"/>
    <s v="peppr_salami_s"/>
    <n v="1"/>
    <x v="0"/>
    <x v="0"/>
    <x v="16"/>
    <n v="12.5"/>
    <n v="12.5"/>
    <x v="2"/>
    <x v="2"/>
    <s v="Genoa Salami, Capocollo, Pepperoni, Tomatoes, Asiago Cheese, Garlic"/>
    <x v="26"/>
  </r>
  <r>
    <n v="52"/>
    <n v="17"/>
    <n v="0.1"/>
    <s v="spinach_fet_l"/>
    <n v="1"/>
    <x v="0"/>
    <x v="0"/>
    <x v="16"/>
    <n v="20.25"/>
    <n v="20.25"/>
    <x v="1"/>
    <x v="1"/>
    <s v="Spinach, Mushrooms, Red Onions, Feta Cheese, Garlic"/>
    <x v="27"/>
  </r>
  <r>
    <n v="53"/>
    <n v="18"/>
    <n v="1"/>
    <s v="napolitana_l"/>
    <n v="1"/>
    <x v="0"/>
    <x v="0"/>
    <x v="17"/>
    <n v="20.5"/>
    <n v="20.5"/>
    <x v="1"/>
    <x v="0"/>
    <s v="Tomatoes, Anchovies, Green Olives, Red Onions, Garlic"/>
    <x v="22"/>
  </r>
  <r>
    <n v="54"/>
    <n v="19"/>
    <n v="0.5"/>
    <s v="ital_cpcllo_l"/>
    <n v="1"/>
    <x v="0"/>
    <x v="0"/>
    <x v="18"/>
    <n v="20.5"/>
    <n v="20.5"/>
    <x v="1"/>
    <x v="0"/>
    <s v="Capocollo, Red Peppers, Tomatoes, Goat Cheese, Garlic, Oregano"/>
    <x v="11"/>
  </r>
  <r>
    <n v="55"/>
    <n v="19"/>
    <n v="0.5"/>
    <s v="sicilian_l"/>
    <n v="1"/>
    <x v="0"/>
    <x v="0"/>
    <x v="18"/>
    <n v="20.25"/>
    <n v="20.25"/>
    <x v="1"/>
    <x v="2"/>
    <s v="Coarse Sicilian Salami, Tomatoes, Green Olives, Luganega Sausage, Onions, Garlic"/>
    <x v="28"/>
  </r>
  <r>
    <n v="56"/>
    <n v="20"/>
    <n v="0.5"/>
    <s v="big_meat_s"/>
    <n v="1"/>
    <x v="0"/>
    <x v="0"/>
    <x v="19"/>
    <n v="12"/>
    <n v="12"/>
    <x v="2"/>
    <x v="0"/>
    <s v="Bacon, Pepperoni, Italian Sausage, Chorizo Sausage"/>
    <x v="19"/>
  </r>
  <r>
    <n v="57"/>
    <n v="20"/>
    <n v="0.5"/>
    <s v="five_cheese_l"/>
    <n v="1"/>
    <x v="0"/>
    <x v="0"/>
    <x v="19"/>
    <n v="18.5"/>
    <n v="18.5"/>
    <x v="1"/>
    <x v="1"/>
    <s v="Mozzarella Cheese, Provolone Cheese, Smoked Gouda Cheese, Romano Cheese, Blue Cheese, Garlic"/>
    <x v="2"/>
  </r>
  <r>
    <n v="58"/>
    <n v="21"/>
    <n v="1"/>
    <s v="ital_cpcllo_l"/>
    <n v="1"/>
    <x v="0"/>
    <x v="0"/>
    <x v="20"/>
    <n v="20.5"/>
    <n v="20.5"/>
    <x v="1"/>
    <x v="0"/>
    <s v="Capocollo, Red Peppers, Tomatoes, Goat Cheese, Garlic, Oregano"/>
    <x v="11"/>
  </r>
  <r>
    <n v="59"/>
    <n v="22"/>
    <n v="0.33333333333333331"/>
    <s v="five_cheese_l"/>
    <n v="1"/>
    <x v="0"/>
    <x v="0"/>
    <x v="21"/>
    <n v="18.5"/>
    <n v="18.5"/>
    <x v="1"/>
    <x v="1"/>
    <s v="Mozzarella Cheese, Provolone Cheese, Smoked Gouda Cheese, Romano Cheese, Blue Cheese, Garlic"/>
    <x v="2"/>
  </r>
  <r>
    <n v="60"/>
    <n v="22"/>
    <n v="0.33333333333333331"/>
    <s v="ital_cpcllo_m"/>
    <n v="1"/>
    <x v="0"/>
    <x v="0"/>
    <x v="21"/>
    <n v="16"/>
    <n v="16"/>
    <x v="0"/>
    <x v="0"/>
    <s v="Capocollo, Red Peppers, Tomatoes, Goat Cheese, Garlic, Oregano"/>
    <x v="11"/>
  </r>
  <r>
    <n v="61"/>
    <n v="22"/>
    <n v="0.33333333333333331"/>
    <s v="southw_ckn_l"/>
    <n v="1"/>
    <x v="0"/>
    <x v="0"/>
    <x v="21"/>
    <n v="20.75"/>
    <n v="20.75"/>
    <x v="1"/>
    <x v="3"/>
    <s v="Chicken, Tomatoes, Red Peppers, Red Onions, Jalapeno Peppers, Corn, Cilantro, Chipotle Sauce"/>
    <x v="15"/>
  </r>
  <r>
    <n v="62"/>
    <n v="23"/>
    <n v="1"/>
    <s v="southw_ckn_s"/>
    <n v="1"/>
    <x v="0"/>
    <x v="0"/>
    <x v="22"/>
    <n v="12.75"/>
    <n v="12.75"/>
    <x v="2"/>
    <x v="3"/>
    <s v="Chicken, Tomatoes, Red Peppers, Red Onions, Jalapeno Peppers, Corn, Cilantro, Chipotle Sauce"/>
    <x v="15"/>
  </r>
  <r>
    <n v="63"/>
    <n v="24"/>
    <n v="0.25"/>
    <s v="bbq_ckn_m"/>
    <n v="1"/>
    <x v="0"/>
    <x v="0"/>
    <x v="23"/>
    <n v="16.75"/>
    <n v="16.75"/>
    <x v="0"/>
    <x v="3"/>
    <s v="Barbecued Chicken, Red Peppers, Green Peppers, Tomatoes, Red Onions, Barbecue Sauce"/>
    <x v="7"/>
  </r>
  <r>
    <n v="64"/>
    <n v="24"/>
    <n v="0.25"/>
    <s v="ital_cpcllo_m"/>
    <n v="1"/>
    <x v="0"/>
    <x v="0"/>
    <x v="23"/>
    <n v="16"/>
    <n v="16"/>
    <x v="0"/>
    <x v="0"/>
    <s v="Capocollo, Red Peppers, Tomatoes, Goat Cheese, Garlic, Oregano"/>
    <x v="11"/>
  </r>
  <r>
    <n v="65"/>
    <n v="24"/>
    <n v="0.25"/>
    <s v="pepperoni_m"/>
    <n v="1"/>
    <x v="0"/>
    <x v="0"/>
    <x v="23"/>
    <n v="12.5"/>
    <n v="12.5"/>
    <x v="0"/>
    <x v="0"/>
    <s v="Mozzarella Cheese, Pepperoni"/>
    <x v="17"/>
  </r>
  <r>
    <n v="66"/>
    <n v="24"/>
    <n v="0.25"/>
    <s v="prsc_argla_s"/>
    <n v="1"/>
    <x v="0"/>
    <x v="0"/>
    <x v="23"/>
    <n v="12.5"/>
    <n v="12.5"/>
    <x v="2"/>
    <x v="2"/>
    <s v="Prosciutto di San Daniele, Arugula, Mozzarella Cheese"/>
    <x v="6"/>
  </r>
  <r>
    <n v="67"/>
    <n v="25"/>
    <n v="0.5"/>
    <s v="sicilian_m"/>
    <n v="1"/>
    <x v="0"/>
    <x v="0"/>
    <x v="24"/>
    <n v="16.25"/>
    <n v="16.25"/>
    <x v="0"/>
    <x v="2"/>
    <s v="Coarse Sicilian Salami, Tomatoes, Green Olives, Luganega Sausage, Onions, Garlic"/>
    <x v="28"/>
  </r>
  <r>
    <n v="68"/>
    <n v="25"/>
    <n v="0.5"/>
    <s v="thai_ckn_l"/>
    <n v="1"/>
    <x v="0"/>
    <x v="0"/>
    <x v="24"/>
    <n v="20.75"/>
    <n v="20.75"/>
    <x v="1"/>
    <x v="3"/>
    <s v="Chicken, Pineapple, Tomatoes, Red Peppers, Thai Sweet Chilli Sauce"/>
    <x v="5"/>
  </r>
  <r>
    <n v="69"/>
    <n v="26"/>
    <n v="0.5"/>
    <s v="classic_dlx_s"/>
    <n v="1"/>
    <x v="0"/>
    <x v="0"/>
    <x v="25"/>
    <n v="12"/>
    <n v="12"/>
    <x v="2"/>
    <x v="0"/>
    <s v="Pepperoni, Mushrooms, Red Onions, Red Peppers, Bacon"/>
    <x v="1"/>
  </r>
  <r>
    <n v="70"/>
    <n v="26"/>
    <n v="0.5"/>
    <s v="veggie_veg_l"/>
    <n v="1"/>
    <x v="0"/>
    <x v="0"/>
    <x v="25"/>
    <n v="20.25"/>
    <n v="20.25"/>
    <x v="1"/>
    <x v="1"/>
    <s v="Mushrooms, Tomatoes, Red Peppers, Green Peppers, Red Onions, Zucchini, Spinach, Garlic"/>
    <x v="14"/>
  </r>
  <r>
    <n v="71"/>
    <n v="27"/>
    <n v="0.33333333333333331"/>
    <s v="bbq_ckn_l"/>
    <n v="1"/>
    <x v="0"/>
    <x v="0"/>
    <x v="26"/>
    <n v="20.75"/>
    <n v="20.75"/>
    <x v="1"/>
    <x v="3"/>
    <s v="Barbecued Chicken, Red Peppers, Green Peppers, Tomatoes, Red Onions, Barbecue Sauce"/>
    <x v="7"/>
  </r>
  <r>
    <n v="72"/>
    <n v="27"/>
    <n v="0.33333333333333331"/>
    <s v="classic_dlx_m"/>
    <n v="1"/>
    <x v="0"/>
    <x v="0"/>
    <x v="26"/>
    <n v="16"/>
    <n v="16"/>
    <x v="0"/>
    <x v="0"/>
    <s v="Pepperoni, Mushrooms, Red Onions, Red Peppers, Bacon"/>
    <x v="1"/>
  </r>
  <r>
    <n v="73"/>
    <n v="27"/>
    <n v="0.33333333333333331"/>
    <s v="spinach_fet_l"/>
    <n v="1"/>
    <x v="0"/>
    <x v="0"/>
    <x v="26"/>
    <n v="20.25"/>
    <n v="20.25"/>
    <x v="1"/>
    <x v="1"/>
    <s v="Spinach, Mushrooms, Red Onions, Feta Cheese, Garlic"/>
    <x v="27"/>
  </r>
  <r>
    <n v="74"/>
    <n v="28"/>
    <n v="1"/>
    <s v="ckn_alfredo_s"/>
    <n v="1"/>
    <x v="0"/>
    <x v="0"/>
    <x v="27"/>
    <n v="12.75"/>
    <n v="12.75"/>
    <x v="2"/>
    <x v="3"/>
    <s v="Chicken, Red Onions, Red Peppers, Mushrooms, Asiago Cheese, Alfredo Sauce"/>
    <x v="29"/>
  </r>
  <r>
    <n v="75"/>
    <n v="29"/>
    <n v="1"/>
    <s v="green_garden_s"/>
    <n v="1"/>
    <x v="0"/>
    <x v="0"/>
    <x v="28"/>
    <n v="12"/>
    <n v="12"/>
    <x v="2"/>
    <x v="1"/>
    <s v="Spinach, Mushrooms, Tomatoes, Green Olives, Feta Cheese"/>
    <x v="10"/>
  </r>
  <r>
    <n v="76"/>
    <n v="30"/>
    <n v="1"/>
    <s v="thai_ckn_l"/>
    <n v="1"/>
    <x v="0"/>
    <x v="0"/>
    <x v="29"/>
    <n v="20.75"/>
    <n v="20.75"/>
    <x v="1"/>
    <x v="3"/>
    <s v="Chicken, Pineapple, Tomatoes, Red Peppers, Thai Sweet Chilli Sauce"/>
    <x v="5"/>
  </r>
  <r>
    <n v="77"/>
    <n v="31"/>
    <n v="0.5"/>
    <s v="mexicana_m"/>
    <n v="1"/>
    <x v="0"/>
    <x v="0"/>
    <x v="30"/>
    <n v="16"/>
    <n v="16"/>
    <x v="0"/>
    <x v="1"/>
    <s v="Tomatoes, Red Peppers, Jalapeno Peppers, Red Onions, Cilantro, Corn, Chipotle Sauce, Garlic"/>
    <x v="4"/>
  </r>
  <r>
    <n v="78"/>
    <n v="31"/>
    <n v="0.5"/>
    <s v="pepperoni_s"/>
    <n v="1"/>
    <x v="0"/>
    <x v="0"/>
    <x v="30"/>
    <n v="9.75"/>
    <n v="9.75"/>
    <x v="2"/>
    <x v="0"/>
    <s v="Mozzarella Cheese, Pepperoni"/>
    <x v="17"/>
  </r>
  <r>
    <n v="79"/>
    <n v="32"/>
    <n v="0.25"/>
    <s v="big_meat_s"/>
    <n v="1"/>
    <x v="0"/>
    <x v="0"/>
    <x v="31"/>
    <n v="12"/>
    <n v="12"/>
    <x v="2"/>
    <x v="0"/>
    <s v="Bacon, Pepperoni, Italian Sausage, Chorizo Sausage"/>
    <x v="19"/>
  </r>
  <r>
    <n v="80"/>
    <n v="32"/>
    <n v="0.25"/>
    <s v="green_garden_l"/>
    <n v="1"/>
    <x v="0"/>
    <x v="0"/>
    <x v="31"/>
    <n v="20.25"/>
    <n v="20.25"/>
    <x v="1"/>
    <x v="1"/>
    <s v="Spinach, Mushrooms, Tomatoes, Green Olives, Feta Cheese"/>
    <x v="10"/>
  </r>
  <r>
    <n v="81"/>
    <n v="32"/>
    <n v="0.25"/>
    <s v="ital_cpcllo_l"/>
    <n v="1"/>
    <x v="0"/>
    <x v="0"/>
    <x v="31"/>
    <n v="20.5"/>
    <n v="20.5"/>
    <x v="1"/>
    <x v="0"/>
    <s v="Capocollo, Red Peppers, Tomatoes, Goat Cheese, Garlic, Oregano"/>
    <x v="11"/>
  </r>
  <r>
    <n v="82"/>
    <n v="32"/>
    <n v="0.25"/>
    <s v="ital_supr_m"/>
    <n v="1"/>
    <x v="0"/>
    <x v="0"/>
    <x v="31"/>
    <n v="16.5"/>
    <n v="16.5"/>
    <x v="0"/>
    <x v="2"/>
    <s v="Calabrese Salami, Capocollo, Tomatoes, Red Onions, Green Olives, Garlic"/>
    <x v="3"/>
  </r>
  <r>
    <n v="83"/>
    <n v="33"/>
    <n v="0.5"/>
    <s v="bbq_ckn_l"/>
    <n v="1"/>
    <x v="0"/>
    <x v="0"/>
    <x v="32"/>
    <n v="20.75"/>
    <n v="20.75"/>
    <x v="1"/>
    <x v="3"/>
    <s v="Barbecued Chicken, Red Peppers, Green Peppers, Tomatoes, Red Onions, Barbecue Sauce"/>
    <x v="7"/>
  </r>
  <r>
    <n v="84"/>
    <n v="33"/>
    <n v="0.5"/>
    <s v="green_garden_s"/>
    <n v="1"/>
    <x v="0"/>
    <x v="0"/>
    <x v="32"/>
    <n v="12"/>
    <n v="12"/>
    <x v="2"/>
    <x v="1"/>
    <s v="Spinach, Mushrooms, Tomatoes, Green Olives, Feta Cheese"/>
    <x v="10"/>
  </r>
  <r>
    <n v="85"/>
    <n v="34"/>
    <n v="1"/>
    <s v="the_greek_s"/>
    <n v="1"/>
    <x v="0"/>
    <x v="0"/>
    <x v="33"/>
    <n v="12"/>
    <n v="12"/>
    <x v="2"/>
    <x v="0"/>
    <s v="Kalamata Olives, Feta Cheese, Tomatoes, Garlic, Beef Chuck Roast, Red Onions"/>
    <x v="8"/>
  </r>
  <r>
    <n v="86"/>
    <n v="35"/>
    <n v="0.25"/>
    <s v="green_garden_m"/>
    <n v="1"/>
    <x v="0"/>
    <x v="0"/>
    <x v="34"/>
    <n v="16"/>
    <n v="16"/>
    <x v="0"/>
    <x v="1"/>
    <s v="Spinach, Mushrooms, Tomatoes, Green Olives, Feta Cheese"/>
    <x v="10"/>
  </r>
  <r>
    <n v="87"/>
    <n v="35"/>
    <n v="0.25"/>
    <s v="pep_msh_pep_l"/>
    <n v="1"/>
    <x v="0"/>
    <x v="0"/>
    <x v="34"/>
    <n v="17.5"/>
    <n v="17.5"/>
    <x v="1"/>
    <x v="0"/>
    <s v="Pepperoni, Mushrooms, Green Peppers"/>
    <x v="30"/>
  </r>
  <r>
    <n v="88"/>
    <n v="35"/>
    <n v="0.25"/>
    <s v="pepperoni_m"/>
    <n v="1"/>
    <x v="0"/>
    <x v="0"/>
    <x v="34"/>
    <n v="12.5"/>
    <n v="12.5"/>
    <x v="0"/>
    <x v="0"/>
    <s v="Mozzarella Cheese, Pepperoni"/>
    <x v="17"/>
  </r>
  <r>
    <n v="89"/>
    <n v="35"/>
    <n v="0.25"/>
    <s v="thai_ckn_l"/>
    <n v="1"/>
    <x v="0"/>
    <x v="0"/>
    <x v="34"/>
    <n v="20.75"/>
    <n v="20.75"/>
    <x v="1"/>
    <x v="3"/>
    <s v="Chicken, Pineapple, Tomatoes, Red Peppers, Thai Sweet Chilli Sauce"/>
    <x v="5"/>
  </r>
  <r>
    <n v="90"/>
    <n v="36"/>
    <n v="0.5"/>
    <s v="bbq_ckn_m"/>
    <n v="1"/>
    <x v="0"/>
    <x v="0"/>
    <x v="35"/>
    <n v="16.75"/>
    <n v="16.75"/>
    <x v="0"/>
    <x v="3"/>
    <s v="Barbecued Chicken, Red Peppers, Green Peppers, Tomatoes, Red Onions, Barbecue Sauce"/>
    <x v="7"/>
  </r>
  <r>
    <n v="91"/>
    <n v="36"/>
    <n v="0.5"/>
    <s v="classic_dlx_m"/>
    <n v="1"/>
    <x v="0"/>
    <x v="0"/>
    <x v="35"/>
    <n v="16"/>
    <n v="16"/>
    <x v="0"/>
    <x v="0"/>
    <s v="Pepperoni, Mushrooms, Red Onions, Red Peppers, Bacon"/>
    <x v="1"/>
  </r>
  <r>
    <n v="92"/>
    <n v="37"/>
    <n v="0.5"/>
    <s v="ital_supr_l"/>
    <n v="1"/>
    <x v="0"/>
    <x v="0"/>
    <x v="36"/>
    <n v="20.75"/>
    <n v="20.75"/>
    <x v="1"/>
    <x v="2"/>
    <s v="Calabrese Salami, Capocollo, Tomatoes, Red Onions, Green Olives, Garlic"/>
    <x v="3"/>
  </r>
  <r>
    <n v="93"/>
    <n v="37"/>
    <n v="0.5"/>
    <s v="mexicana_l"/>
    <n v="1"/>
    <x v="0"/>
    <x v="0"/>
    <x v="36"/>
    <n v="20.25"/>
    <n v="20.25"/>
    <x v="1"/>
    <x v="1"/>
    <s v="Tomatoes, Red Peppers, Jalapeno Peppers, Red Onions, Cilantro, Corn, Chipotle Sauce, Garlic"/>
    <x v="4"/>
  </r>
  <r>
    <n v="94"/>
    <n v="38"/>
    <n v="0.5"/>
    <s v="hawaiian_s"/>
    <n v="1"/>
    <x v="0"/>
    <x v="0"/>
    <x v="37"/>
    <n v="10.5"/>
    <n v="10.5"/>
    <x v="2"/>
    <x v="0"/>
    <s v="Sliced Ham, Pineapple, Mozzarella Cheese"/>
    <x v="0"/>
  </r>
  <r>
    <n v="95"/>
    <n v="38"/>
    <n v="0.5"/>
    <s v="ital_cpcllo_l"/>
    <n v="1"/>
    <x v="0"/>
    <x v="0"/>
    <x v="37"/>
    <n v="20.5"/>
    <n v="20.5"/>
    <x v="1"/>
    <x v="0"/>
    <s v="Capocollo, Red Peppers, Tomatoes, Goat Cheese, Garlic, Oregano"/>
    <x v="11"/>
  </r>
  <r>
    <n v="96"/>
    <n v="39"/>
    <n v="1"/>
    <s v="ital_supr_l"/>
    <n v="1"/>
    <x v="0"/>
    <x v="0"/>
    <x v="38"/>
    <n v="20.75"/>
    <n v="20.75"/>
    <x v="1"/>
    <x v="2"/>
    <s v="Calabrese Salami, Capocollo, Tomatoes, Red Onions, Green Olives, Garlic"/>
    <x v="3"/>
  </r>
  <r>
    <n v="97"/>
    <n v="40"/>
    <n v="0.5"/>
    <s v="four_cheese_l"/>
    <n v="1"/>
    <x v="0"/>
    <x v="0"/>
    <x v="39"/>
    <n v="17.95"/>
    <n v="17.95"/>
    <x v="1"/>
    <x v="1"/>
    <s v="Ricotta Cheese, Gorgonzola Piccante Cheese, Mozzarella Cheese, Parmigiano Reggiano Cheese, Garlic"/>
    <x v="21"/>
  </r>
  <r>
    <n v="98"/>
    <n v="40"/>
    <n v="0.5"/>
    <s v="southw_ckn_s"/>
    <n v="1"/>
    <x v="0"/>
    <x v="0"/>
    <x v="39"/>
    <n v="12.75"/>
    <n v="12.75"/>
    <x v="2"/>
    <x v="3"/>
    <s v="Chicken, Tomatoes, Red Peppers, Red Onions, Jalapeno Peppers, Corn, Cilantro, Chipotle Sauce"/>
    <x v="15"/>
  </r>
  <r>
    <n v="99"/>
    <n v="41"/>
    <n v="0.5"/>
    <s v="four_cheese_m"/>
    <n v="1"/>
    <x v="0"/>
    <x v="0"/>
    <x v="40"/>
    <n v="14.75"/>
    <n v="14.75"/>
    <x v="0"/>
    <x v="1"/>
    <s v="Ricotta Cheese, Gorgonzola Piccante Cheese, Mozzarella Cheese, Parmigiano Reggiano Cheese, Garlic"/>
    <x v="21"/>
  </r>
  <r>
    <n v="100"/>
    <n v="41"/>
    <n v="0.5"/>
    <s v="green_garden_s"/>
    <n v="1"/>
    <x v="0"/>
    <x v="0"/>
    <x v="40"/>
    <n v="12"/>
    <n v="12"/>
    <x v="2"/>
    <x v="1"/>
    <s v="Spinach, Mushrooms, Tomatoes, Green Olives, Feta Cheese"/>
    <x v="10"/>
  </r>
  <r>
    <n v="101"/>
    <n v="42"/>
    <n v="0.25"/>
    <s v="big_meat_s"/>
    <n v="1"/>
    <x v="0"/>
    <x v="0"/>
    <x v="41"/>
    <n v="12"/>
    <n v="12"/>
    <x v="2"/>
    <x v="0"/>
    <s v="Bacon, Pepperoni, Italian Sausage, Chorizo Sausage"/>
    <x v="19"/>
  </r>
  <r>
    <n v="102"/>
    <n v="42"/>
    <n v="0.25"/>
    <s v="five_cheese_l"/>
    <n v="1"/>
    <x v="0"/>
    <x v="0"/>
    <x v="41"/>
    <n v="18.5"/>
    <n v="18.5"/>
    <x v="1"/>
    <x v="1"/>
    <s v="Mozzarella Cheese, Provolone Cheese, Smoked Gouda Cheese, Romano Cheese, Blue Cheese, Garlic"/>
    <x v="2"/>
  </r>
  <r>
    <n v="103"/>
    <n v="42"/>
    <n v="0.25"/>
    <s v="mexicana_l"/>
    <n v="1"/>
    <x v="0"/>
    <x v="0"/>
    <x v="41"/>
    <n v="20.25"/>
    <n v="20.25"/>
    <x v="1"/>
    <x v="1"/>
    <s v="Tomatoes, Red Peppers, Jalapeno Peppers, Red Onions, Cilantro, Corn, Chipotle Sauce, Garlic"/>
    <x v="4"/>
  </r>
  <r>
    <n v="104"/>
    <n v="42"/>
    <n v="0.25"/>
    <s v="peppr_salami_m"/>
    <n v="1"/>
    <x v="0"/>
    <x v="0"/>
    <x v="41"/>
    <n v="16.5"/>
    <n v="16.5"/>
    <x v="0"/>
    <x v="2"/>
    <s v="Genoa Salami, Capocollo, Pepperoni, Tomatoes, Asiago Cheese, Garlic"/>
    <x v="26"/>
  </r>
  <r>
    <n v="105"/>
    <n v="43"/>
    <n v="0.33333333333333331"/>
    <s v="ckn_alfredo_m"/>
    <n v="1"/>
    <x v="0"/>
    <x v="0"/>
    <x v="42"/>
    <n v="16.75"/>
    <n v="16.75"/>
    <x v="0"/>
    <x v="3"/>
    <s v="Chicken, Red Onions, Red Peppers, Mushrooms, Asiago Cheese, Alfredo Sauce"/>
    <x v="29"/>
  </r>
  <r>
    <n v="106"/>
    <n v="43"/>
    <n v="0.33333333333333331"/>
    <s v="ital_supr_m"/>
    <n v="1"/>
    <x v="0"/>
    <x v="0"/>
    <x v="42"/>
    <n v="16.5"/>
    <n v="16.5"/>
    <x v="0"/>
    <x v="2"/>
    <s v="Calabrese Salami, Capocollo, Tomatoes, Red Onions, Green Olives, Garlic"/>
    <x v="3"/>
  </r>
  <r>
    <n v="107"/>
    <n v="43"/>
    <n v="0.33333333333333331"/>
    <s v="peppr_salami_l"/>
    <n v="1"/>
    <x v="0"/>
    <x v="0"/>
    <x v="42"/>
    <n v="20.75"/>
    <n v="20.75"/>
    <x v="1"/>
    <x v="2"/>
    <s v="Genoa Salami, Capocollo, Pepperoni, Tomatoes, Asiago Cheese, Garlic"/>
    <x v="26"/>
  </r>
  <r>
    <n v="108"/>
    <n v="44"/>
    <n v="1"/>
    <s v="spin_pesto_s"/>
    <n v="1"/>
    <x v="0"/>
    <x v="0"/>
    <x v="43"/>
    <n v="12.5"/>
    <n v="12.5"/>
    <x v="2"/>
    <x v="1"/>
    <s v="Spinach, Artichokes, Tomatoes, Sun-dried Tomatoes, Garlic, Pesto Sauce"/>
    <x v="13"/>
  </r>
  <r>
    <n v="109"/>
    <n v="45"/>
    <n v="0.33333333333333331"/>
    <s v="four_cheese_l"/>
    <n v="1"/>
    <x v="0"/>
    <x v="0"/>
    <x v="44"/>
    <n v="17.95"/>
    <n v="17.95"/>
    <x v="1"/>
    <x v="1"/>
    <s v="Ricotta Cheese, Gorgonzola Piccante Cheese, Mozzarella Cheese, Parmigiano Reggiano Cheese, Garlic"/>
    <x v="21"/>
  </r>
  <r>
    <n v="110"/>
    <n v="45"/>
    <n v="0.33333333333333331"/>
    <s v="hawaiian_s"/>
    <n v="1"/>
    <x v="0"/>
    <x v="0"/>
    <x v="44"/>
    <n v="10.5"/>
    <n v="10.5"/>
    <x v="2"/>
    <x v="0"/>
    <s v="Sliced Ham, Pineapple, Mozzarella Cheese"/>
    <x v="0"/>
  </r>
  <r>
    <n v="111"/>
    <n v="45"/>
    <n v="0.33333333333333331"/>
    <s v="thai_ckn_m"/>
    <n v="1"/>
    <x v="0"/>
    <x v="0"/>
    <x v="44"/>
    <n v="16.75"/>
    <n v="16.75"/>
    <x v="0"/>
    <x v="3"/>
    <s v="Chicken, Pineapple, Tomatoes, Red Peppers, Thai Sweet Chilli Sauce"/>
    <x v="5"/>
  </r>
  <r>
    <n v="112"/>
    <n v="46"/>
    <n v="0.33333333333333331"/>
    <s v="ckn_pesto_l"/>
    <n v="1"/>
    <x v="0"/>
    <x v="0"/>
    <x v="45"/>
    <n v="20.75"/>
    <n v="20.75"/>
    <x v="1"/>
    <x v="3"/>
    <s v="Chicken, Tomatoes, Red Peppers, Spinach, Garlic, Pesto Sauce"/>
    <x v="18"/>
  </r>
  <r>
    <n v="113"/>
    <n v="46"/>
    <n v="0.33333333333333331"/>
    <s v="classic_dlx_l"/>
    <n v="1"/>
    <x v="0"/>
    <x v="0"/>
    <x v="45"/>
    <n v="20.5"/>
    <n v="20.5"/>
    <x v="1"/>
    <x v="0"/>
    <s v="Pepperoni, Mushrooms, Red Onions, Red Peppers, Bacon"/>
    <x v="1"/>
  </r>
  <r>
    <n v="114"/>
    <n v="46"/>
    <n v="0.33333333333333331"/>
    <s v="thai_ckn_m"/>
    <n v="1"/>
    <x v="0"/>
    <x v="0"/>
    <x v="45"/>
    <n v="16.75"/>
    <n v="16.75"/>
    <x v="0"/>
    <x v="3"/>
    <s v="Chicken, Pineapple, Tomatoes, Red Peppers, Thai Sweet Chilli Sauce"/>
    <x v="5"/>
  </r>
  <r>
    <n v="115"/>
    <n v="47"/>
    <n v="0.5"/>
    <s v="southw_ckn_l"/>
    <n v="1"/>
    <x v="0"/>
    <x v="0"/>
    <x v="46"/>
    <n v="20.75"/>
    <n v="20.75"/>
    <x v="1"/>
    <x v="3"/>
    <s v="Chicken, Tomatoes, Red Peppers, Red Onions, Jalapeno Peppers, Corn, Cilantro, Chipotle Sauce"/>
    <x v="15"/>
  </r>
  <r>
    <n v="116"/>
    <n v="47"/>
    <n v="0.5"/>
    <s v="veggie_veg_s"/>
    <n v="1"/>
    <x v="0"/>
    <x v="0"/>
    <x v="46"/>
    <n v="12"/>
    <n v="12"/>
    <x v="2"/>
    <x v="1"/>
    <s v="Mushrooms, Tomatoes, Red Peppers, Green Peppers, Red Onions, Zucchini, Spinach, Garlic"/>
    <x v="14"/>
  </r>
  <r>
    <n v="117"/>
    <n v="48"/>
    <n v="0.25"/>
    <s v="ckn_pesto_m"/>
    <n v="1"/>
    <x v="0"/>
    <x v="0"/>
    <x v="47"/>
    <n v="16.75"/>
    <n v="16.75"/>
    <x v="0"/>
    <x v="3"/>
    <s v="Chicken, Tomatoes, Red Peppers, Spinach, Garlic, Pesto Sauce"/>
    <x v="18"/>
  </r>
  <r>
    <n v="118"/>
    <n v="48"/>
    <n v="0.25"/>
    <s v="green_garden_s"/>
    <n v="1"/>
    <x v="0"/>
    <x v="0"/>
    <x v="47"/>
    <n v="12"/>
    <n v="12"/>
    <x v="2"/>
    <x v="1"/>
    <s v="Spinach, Mushrooms, Tomatoes, Green Olives, Feta Cheese"/>
    <x v="10"/>
  </r>
  <r>
    <n v="119"/>
    <n v="48"/>
    <n v="0.25"/>
    <s v="prsc_argla_l"/>
    <n v="1"/>
    <x v="0"/>
    <x v="0"/>
    <x v="47"/>
    <n v="20.75"/>
    <n v="20.75"/>
    <x v="1"/>
    <x v="2"/>
    <s v="Prosciutto di San Daniele, Arugula, Mozzarella Cheese"/>
    <x v="6"/>
  </r>
  <r>
    <n v="120"/>
    <n v="48"/>
    <n v="0.25"/>
    <s v="spicy_ital_l"/>
    <n v="1"/>
    <x v="0"/>
    <x v="0"/>
    <x v="47"/>
    <n v="20.75"/>
    <n v="20.75"/>
    <x v="1"/>
    <x v="2"/>
    <s v="Capocollo, Tomatoes, Goat Cheese, Artichokes, Peperoncini verdi, Garlic"/>
    <x v="12"/>
  </r>
  <r>
    <n v="121"/>
    <n v="49"/>
    <n v="1"/>
    <s v="sicilian_l"/>
    <n v="1"/>
    <x v="0"/>
    <x v="0"/>
    <x v="48"/>
    <n v="20.25"/>
    <n v="20.25"/>
    <x v="1"/>
    <x v="2"/>
    <s v="Coarse Sicilian Salami, Tomatoes, Green Olives, Luganega Sausage, Onions, Garlic"/>
    <x v="28"/>
  </r>
  <r>
    <n v="122"/>
    <n v="50"/>
    <n v="1"/>
    <s v="the_greek_xl"/>
    <n v="1"/>
    <x v="0"/>
    <x v="0"/>
    <x v="49"/>
    <n v="25.5"/>
    <n v="25.5"/>
    <x v="3"/>
    <x v="0"/>
    <s v="Kalamata Olives, Feta Cheese, Tomatoes, Garlic, Beef Chuck Roast, Red Onions"/>
    <x v="8"/>
  </r>
  <r>
    <n v="123"/>
    <n v="51"/>
    <n v="0.5"/>
    <s v="bbq_ckn_l"/>
    <n v="1"/>
    <x v="0"/>
    <x v="0"/>
    <x v="50"/>
    <n v="20.75"/>
    <n v="20.75"/>
    <x v="1"/>
    <x v="3"/>
    <s v="Barbecued Chicken, Red Peppers, Green Peppers, Tomatoes, Red Onions, Barbecue Sauce"/>
    <x v="7"/>
  </r>
  <r>
    <n v="124"/>
    <n v="51"/>
    <n v="0.5"/>
    <s v="pep_msh_pep_l"/>
    <n v="1"/>
    <x v="0"/>
    <x v="0"/>
    <x v="50"/>
    <n v="17.5"/>
    <n v="17.5"/>
    <x v="1"/>
    <x v="0"/>
    <s v="Pepperoni, Mushrooms, Green Peppers"/>
    <x v="30"/>
  </r>
  <r>
    <n v="125"/>
    <n v="52"/>
    <n v="0.33333333333333331"/>
    <s v="hawaiian_l"/>
    <n v="1"/>
    <x v="0"/>
    <x v="0"/>
    <x v="51"/>
    <n v="16.5"/>
    <n v="16.5"/>
    <x v="1"/>
    <x v="0"/>
    <s v="Sliced Ham, Pineapple, Mozzarella Cheese"/>
    <x v="0"/>
  </r>
  <r>
    <n v="126"/>
    <n v="52"/>
    <n v="0.33333333333333331"/>
    <s v="mexicana_l"/>
    <n v="1"/>
    <x v="0"/>
    <x v="0"/>
    <x v="51"/>
    <n v="20.25"/>
    <n v="20.25"/>
    <x v="1"/>
    <x v="1"/>
    <s v="Tomatoes, Red Peppers, Jalapeno Peppers, Red Onions, Cilantro, Corn, Chipotle Sauce, Garlic"/>
    <x v="4"/>
  </r>
  <r>
    <n v="127"/>
    <n v="52"/>
    <n v="0.33333333333333331"/>
    <s v="spicy_ital_l"/>
    <n v="1"/>
    <x v="0"/>
    <x v="0"/>
    <x v="51"/>
    <n v="20.75"/>
    <n v="20.75"/>
    <x v="1"/>
    <x v="2"/>
    <s v="Capocollo, Tomatoes, Goat Cheese, Artichokes, Peperoncini verdi, Garlic"/>
    <x v="12"/>
  </r>
  <r>
    <n v="128"/>
    <n v="53"/>
    <n v="0.5"/>
    <s v="pep_msh_pep_s"/>
    <n v="1"/>
    <x v="0"/>
    <x v="0"/>
    <x v="52"/>
    <n v="11"/>
    <n v="11"/>
    <x v="2"/>
    <x v="0"/>
    <s v="Pepperoni, Mushrooms, Green Peppers"/>
    <x v="30"/>
  </r>
  <r>
    <n v="129"/>
    <n v="53"/>
    <n v="0.5"/>
    <s v="spinach_supr_m"/>
    <n v="1"/>
    <x v="0"/>
    <x v="0"/>
    <x v="52"/>
    <n v="16.5"/>
    <n v="16.5"/>
    <x v="0"/>
    <x v="2"/>
    <s v="Spinach, Red Onions, Pepperoni, Tomatoes, Artichokes, Kalamata Olives, Garlic, Asiago Cheese"/>
    <x v="9"/>
  </r>
  <r>
    <n v="130"/>
    <n v="54"/>
    <n v="0.5"/>
    <s v="prsc_argla_m"/>
    <n v="1"/>
    <x v="0"/>
    <x v="0"/>
    <x v="53"/>
    <n v="16.5"/>
    <n v="16.5"/>
    <x v="0"/>
    <x v="2"/>
    <s v="Prosciutto di San Daniele, Arugula, Mozzarella Cheese"/>
    <x v="6"/>
  </r>
  <r>
    <n v="131"/>
    <n v="54"/>
    <n v="0.5"/>
    <s v="thai_ckn_l"/>
    <n v="1"/>
    <x v="0"/>
    <x v="0"/>
    <x v="53"/>
    <n v="20.75"/>
    <n v="20.75"/>
    <x v="1"/>
    <x v="3"/>
    <s v="Chicken, Pineapple, Tomatoes, Red Peppers, Thai Sweet Chilli Sauce"/>
    <x v="5"/>
  </r>
  <r>
    <n v="132"/>
    <n v="55"/>
    <n v="0.5"/>
    <s v="peppr_salami_s"/>
    <n v="1"/>
    <x v="0"/>
    <x v="0"/>
    <x v="54"/>
    <n v="12.5"/>
    <n v="12.5"/>
    <x v="2"/>
    <x v="2"/>
    <s v="Genoa Salami, Capocollo, Pepperoni, Tomatoes, Asiago Cheese, Garlic"/>
    <x v="26"/>
  </r>
  <r>
    <n v="133"/>
    <n v="55"/>
    <n v="0.5"/>
    <s v="spicy_ital_l"/>
    <n v="1"/>
    <x v="0"/>
    <x v="0"/>
    <x v="54"/>
    <n v="20.75"/>
    <n v="20.75"/>
    <x v="1"/>
    <x v="2"/>
    <s v="Capocollo, Tomatoes, Goat Cheese, Artichokes, Peperoncini verdi, Garlic"/>
    <x v="12"/>
  </r>
  <r>
    <n v="134"/>
    <n v="56"/>
    <n v="0.33333333333333331"/>
    <s v="classic_dlx_m"/>
    <n v="1"/>
    <x v="0"/>
    <x v="0"/>
    <x v="55"/>
    <n v="16"/>
    <n v="16"/>
    <x v="0"/>
    <x v="0"/>
    <s v="Pepperoni, Mushrooms, Red Onions, Red Peppers, Bacon"/>
    <x v="1"/>
  </r>
  <r>
    <n v="135"/>
    <n v="56"/>
    <n v="0.33333333333333331"/>
    <s v="mediterraneo_l"/>
    <n v="1"/>
    <x v="0"/>
    <x v="0"/>
    <x v="55"/>
    <n v="20.25"/>
    <n v="20.25"/>
    <x v="1"/>
    <x v="1"/>
    <s v="Spinach, Artichokes, Kalamata Olives, Sun-dried Tomatoes, Feta Cheese, Plum Tomatoes, Red Onions"/>
    <x v="25"/>
  </r>
  <r>
    <n v="136"/>
    <n v="56"/>
    <n v="0.33333333333333331"/>
    <s v="southw_ckn_m"/>
    <n v="1"/>
    <x v="0"/>
    <x v="0"/>
    <x v="55"/>
    <n v="16.75"/>
    <n v="16.75"/>
    <x v="0"/>
    <x v="3"/>
    <s v="Chicken, Tomatoes, Red Peppers, Red Onions, Jalapeno Peppers, Corn, Cilantro, Chipotle Sauce"/>
    <x v="15"/>
  </r>
  <r>
    <n v="137"/>
    <n v="57"/>
    <n v="1"/>
    <s v="classic_dlx_m"/>
    <n v="1"/>
    <x v="0"/>
    <x v="0"/>
    <x v="56"/>
    <n v="16"/>
    <n v="16"/>
    <x v="0"/>
    <x v="0"/>
    <s v="Pepperoni, Mushrooms, Red Onions, Red Peppers, Bacon"/>
    <x v="1"/>
  </r>
  <r>
    <n v="138"/>
    <n v="58"/>
    <n v="0.5"/>
    <s v="five_cheese_l"/>
    <n v="1"/>
    <x v="0"/>
    <x v="0"/>
    <x v="57"/>
    <n v="18.5"/>
    <n v="18.5"/>
    <x v="1"/>
    <x v="1"/>
    <s v="Mozzarella Cheese, Provolone Cheese, Smoked Gouda Cheese, Romano Cheese, Blue Cheese, Garlic"/>
    <x v="2"/>
  </r>
  <r>
    <n v="139"/>
    <n v="58"/>
    <n v="0.5"/>
    <s v="pepperoni_m"/>
    <n v="1"/>
    <x v="0"/>
    <x v="0"/>
    <x v="57"/>
    <n v="12.5"/>
    <n v="12.5"/>
    <x v="0"/>
    <x v="0"/>
    <s v="Mozzarella Cheese, Pepperoni"/>
    <x v="17"/>
  </r>
  <r>
    <n v="140"/>
    <n v="59"/>
    <n v="0.33333333333333331"/>
    <s v="ital_veggie_s"/>
    <n v="1"/>
    <x v="0"/>
    <x v="0"/>
    <x v="58"/>
    <n v="12.75"/>
    <n v="12.75"/>
    <x v="2"/>
    <x v="1"/>
    <s v="Eggplant, Artichokes, Tomatoes, Zucchini, Red Peppers, Garlic, Pesto Sauce"/>
    <x v="24"/>
  </r>
  <r>
    <n v="141"/>
    <n v="59"/>
    <n v="0.33333333333333331"/>
    <s v="pep_msh_pep_s"/>
    <n v="1"/>
    <x v="0"/>
    <x v="0"/>
    <x v="58"/>
    <n v="11"/>
    <n v="11"/>
    <x v="2"/>
    <x v="0"/>
    <s v="Pepperoni, Mushrooms, Green Peppers"/>
    <x v="30"/>
  </r>
  <r>
    <n v="142"/>
    <n v="59"/>
    <n v="0.33333333333333331"/>
    <s v="pepperoni_l"/>
    <n v="1"/>
    <x v="0"/>
    <x v="0"/>
    <x v="58"/>
    <n v="15.25"/>
    <n v="15.25"/>
    <x v="1"/>
    <x v="0"/>
    <s v="Mozzarella Cheese, Pepperoni"/>
    <x v="17"/>
  </r>
  <r>
    <n v="143"/>
    <n v="60"/>
    <n v="0.5"/>
    <s v="ckn_pesto_l"/>
    <n v="1"/>
    <x v="0"/>
    <x v="0"/>
    <x v="59"/>
    <n v="20.75"/>
    <n v="20.75"/>
    <x v="1"/>
    <x v="3"/>
    <s v="Chicken, Tomatoes, Red Peppers, Spinach, Garlic, Pesto Sauce"/>
    <x v="18"/>
  </r>
  <r>
    <n v="144"/>
    <n v="60"/>
    <n v="0.5"/>
    <s v="four_cheese_m"/>
    <n v="1"/>
    <x v="0"/>
    <x v="0"/>
    <x v="59"/>
    <n v="14.75"/>
    <n v="14.75"/>
    <x v="0"/>
    <x v="1"/>
    <s v="Ricotta Cheese, Gorgonzola Piccante Cheese, Mozzarella Cheese, Parmigiano Reggiano Cheese, Garlic"/>
    <x v="21"/>
  </r>
  <r>
    <n v="145"/>
    <n v="61"/>
    <n v="0.5"/>
    <s v="bbq_ckn_m"/>
    <n v="1"/>
    <x v="0"/>
    <x v="0"/>
    <x v="60"/>
    <n v="16.75"/>
    <n v="16.75"/>
    <x v="0"/>
    <x v="3"/>
    <s v="Barbecued Chicken, Red Peppers, Green Peppers, Tomatoes, Red Onions, Barbecue Sauce"/>
    <x v="7"/>
  </r>
  <r>
    <n v="146"/>
    <n v="61"/>
    <n v="0.5"/>
    <s v="ital_supr_l"/>
    <n v="1"/>
    <x v="0"/>
    <x v="0"/>
    <x v="60"/>
    <n v="20.75"/>
    <n v="20.75"/>
    <x v="1"/>
    <x v="2"/>
    <s v="Calabrese Salami, Capocollo, Tomatoes, Red Onions, Green Olives, Garlic"/>
    <x v="3"/>
  </r>
  <r>
    <n v="147"/>
    <n v="62"/>
    <n v="0.5"/>
    <s v="bbq_ckn_m"/>
    <n v="1"/>
    <x v="0"/>
    <x v="0"/>
    <x v="61"/>
    <n v="16.75"/>
    <n v="16.75"/>
    <x v="0"/>
    <x v="3"/>
    <s v="Barbecued Chicken, Red Peppers, Green Peppers, Tomatoes, Red Onions, Barbecue Sauce"/>
    <x v="7"/>
  </r>
  <r>
    <n v="148"/>
    <n v="62"/>
    <n v="0.5"/>
    <s v="spinach_supr_m"/>
    <n v="1"/>
    <x v="0"/>
    <x v="0"/>
    <x v="61"/>
    <n v="16.5"/>
    <n v="16.5"/>
    <x v="0"/>
    <x v="2"/>
    <s v="Spinach, Red Onions, Pepperoni, Tomatoes, Artichokes, Kalamata Olives, Garlic, Asiago Cheese"/>
    <x v="9"/>
  </r>
  <r>
    <n v="149"/>
    <n v="63"/>
    <n v="1"/>
    <s v="pep_msh_pep_m"/>
    <n v="1"/>
    <x v="0"/>
    <x v="0"/>
    <x v="62"/>
    <n v="14.5"/>
    <n v="14.5"/>
    <x v="0"/>
    <x v="0"/>
    <s v="Pepperoni, Mushrooms, Green Peppers"/>
    <x v="30"/>
  </r>
  <r>
    <n v="150"/>
    <n v="64"/>
    <n v="1"/>
    <s v="big_meat_s"/>
    <n v="1"/>
    <x v="0"/>
    <x v="0"/>
    <x v="63"/>
    <n v="12"/>
    <n v="12"/>
    <x v="2"/>
    <x v="0"/>
    <s v="Bacon, Pepperoni, Italian Sausage, Chorizo Sausage"/>
    <x v="19"/>
  </r>
  <r>
    <n v="151"/>
    <n v="65"/>
    <n v="0.25"/>
    <s v="pep_msh_pep_s"/>
    <n v="1"/>
    <x v="0"/>
    <x v="0"/>
    <x v="64"/>
    <n v="11"/>
    <n v="11"/>
    <x v="2"/>
    <x v="0"/>
    <s v="Pepperoni, Mushrooms, Green Peppers"/>
    <x v="30"/>
  </r>
  <r>
    <n v="152"/>
    <n v="65"/>
    <n v="0.25"/>
    <s v="sicilian_s"/>
    <n v="1"/>
    <x v="0"/>
    <x v="0"/>
    <x v="64"/>
    <n v="12.25"/>
    <n v="12.25"/>
    <x v="2"/>
    <x v="2"/>
    <s v="Coarse Sicilian Salami, Tomatoes, Green Olives, Luganega Sausage, Onions, Garlic"/>
    <x v="28"/>
  </r>
  <r>
    <n v="153"/>
    <n v="65"/>
    <n v="0.25"/>
    <s v="spicy_ital_s"/>
    <n v="1"/>
    <x v="0"/>
    <x v="0"/>
    <x v="64"/>
    <n v="12.5"/>
    <n v="12.5"/>
    <x v="2"/>
    <x v="2"/>
    <s v="Capocollo, Tomatoes, Goat Cheese, Artichokes, Peperoncini verdi, Garlic"/>
    <x v="12"/>
  </r>
  <r>
    <n v="154"/>
    <n v="65"/>
    <n v="0.25"/>
    <s v="spinach_supr_m"/>
    <n v="1"/>
    <x v="0"/>
    <x v="0"/>
    <x v="64"/>
    <n v="16.5"/>
    <n v="16.5"/>
    <x v="0"/>
    <x v="2"/>
    <s v="Spinach, Red Onions, Pepperoni, Tomatoes, Artichokes, Kalamata Olives, Garlic, Asiago Cheese"/>
    <x v="9"/>
  </r>
  <r>
    <n v="155"/>
    <n v="66"/>
    <n v="0.5"/>
    <s v="classic_dlx_m"/>
    <n v="1"/>
    <x v="0"/>
    <x v="0"/>
    <x v="65"/>
    <n v="16"/>
    <n v="16"/>
    <x v="0"/>
    <x v="0"/>
    <s v="Pepperoni, Mushrooms, Red Onions, Red Peppers, Bacon"/>
    <x v="1"/>
  </r>
  <r>
    <n v="156"/>
    <n v="66"/>
    <n v="0.5"/>
    <s v="ital_cpcllo_m"/>
    <n v="1"/>
    <x v="0"/>
    <x v="0"/>
    <x v="65"/>
    <n v="16"/>
    <n v="16"/>
    <x v="0"/>
    <x v="0"/>
    <s v="Capocollo, Red Peppers, Tomatoes, Goat Cheese, Garlic, Oregano"/>
    <x v="11"/>
  </r>
  <r>
    <n v="157"/>
    <n v="67"/>
    <n v="1"/>
    <s v="southw_ckn_l"/>
    <n v="1"/>
    <x v="0"/>
    <x v="0"/>
    <x v="66"/>
    <n v="20.75"/>
    <n v="20.75"/>
    <x v="1"/>
    <x v="3"/>
    <s v="Chicken, Tomatoes, Red Peppers, Red Onions, Jalapeno Peppers, Corn, Cilantro, Chipotle Sauce"/>
    <x v="15"/>
  </r>
  <r>
    <n v="158"/>
    <n v="68"/>
    <n v="0.33333333333333331"/>
    <s v="classic_dlx_m"/>
    <n v="1"/>
    <x v="0"/>
    <x v="0"/>
    <x v="67"/>
    <n v="16"/>
    <n v="16"/>
    <x v="0"/>
    <x v="0"/>
    <s v="Pepperoni, Mushrooms, Red Onions, Red Peppers, Bacon"/>
    <x v="1"/>
  </r>
  <r>
    <n v="159"/>
    <n v="68"/>
    <n v="0.33333333333333331"/>
    <s v="ital_supr_l"/>
    <n v="1"/>
    <x v="0"/>
    <x v="0"/>
    <x v="67"/>
    <n v="20.75"/>
    <n v="20.75"/>
    <x v="1"/>
    <x v="2"/>
    <s v="Calabrese Salami, Capocollo, Tomatoes, Red Onions, Green Olives, Garlic"/>
    <x v="3"/>
  </r>
  <r>
    <n v="160"/>
    <n v="68"/>
    <n v="0.33333333333333331"/>
    <s v="ital_supr_m"/>
    <n v="1"/>
    <x v="0"/>
    <x v="0"/>
    <x v="67"/>
    <n v="16.5"/>
    <n v="16.5"/>
    <x v="0"/>
    <x v="2"/>
    <s v="Calabrese Salami, Capocollo, Tomatoes, Red Onions, Green Olives, Garlic"/>
    <x v="3"/>
  </r>
  <r>
    <n v="161"/>
    <n v="69"/>
    <n v="1"/>
    <s v="bbq_ckn_l"/>
    <n v="1"/>
    <x v="0"/>
    <x v="0"/>
    <x v="68"/>
    <n v="20.75"/>
    <n v="20.75"/>
    <x v="1"/>
    <x v="3"/>
    <s v="Barbecued Chicken, Red Peppers, Green Peppers, Tomatoes, Red Onions, Barbecue Sauce"/>
    <x v="7"/>
  </r>
  <r>
    <n v="162"/>
    <n v="70"/>
    <n v="0.5"/>
    <s v="ital_veggie_s"/>
    <n v="1"/>
    <x v="1"/>
    <x v="1"/>
    <x v="69"/>
    <n v="12.75"/>
    <n v="12.75"/>
    <x v="2"/>
    <x v="1"/>
    <s v="Eggplant, Artichokes, Tomatoes, Zucchini, Red Peppers, Garlic, Pesto Sauce"/>
    <x v="24"/>
  </r>
  <r>
    <n v="163"/>
    <n v="70"/>
    <n v="0.5"/>
    <s v="soppressata_l"/>
    <n v="1"/>
    <x v="1"/>
    <x v="1"/>
    <x v="69"/>
    <n v="20.75"/>
    <n v="20.75"/>
    <x v="1"/>
    <x v="2"/>
    <s v="Soppressata Salami, Fontina Cheese, Mozzarella Cheese, Mushrooms, Garlic"/>
    <x v="20"/>
  </r>
  <r>
    <n v="164"/>
    <n v="71"/>
    <n v="1"/>
    <s v="thai_ckn_l"/>
    <n v="1"/>
    <x v="1"/>
    <x v="1"/>
    <x v="70"/>
    <n v="20.75"/>
    <n v="20.75"/>
    <x v="1"/>
    <x v="3"/>
    <s v="Chicken, Pineapple, Tomatoes, Red Peppers, Thai Sweet Chilli Sauce"/>
    <x v="5"/>
  </r>
  <r>
    <n v="165"/>
    <n v="72"/>
    <n v="1"/>
    <s v="spinach_fet_l"/>
    <n v="1"/>
    <x v="1"/>
    <x v="1"/>
    <x v="71"/>
    <n v="20.25"/>
    <n v="20.25"/>
    <x v="1"/>
    <x v="1"/>
    <s v="Spinach, Mushrooms, Red Onions, Feta Cheese, Garlic"/>
    <x v="27"/>
  </r>
  <r>
    <n v="166"/>
    <n v="73"/>
    <n v="1"/>
    <s v="thai_ckn_s"/>
    <n v="1"/>
    <x v="1"/>
    <x v="1"/>
    <x v="72"/>
    <n v="12.75"/>
    <n v="12.75"/>
    <x v="2"/>
    <x v="3"/>
    <s v="Chicken, Pineapple, Tomatoes, Red Peppers, Thai Sweet Chilli Sauce"/>
    <x v="5"/>
  </r>
  <r>
    <n v="167"/>
    <n v="74"/>
    <n v="0.25"/>
    <s v="five_cheese_l"/>
    <n v="1"/>
    <x v="1"/>
    <x v="1"/>
    <x v="73"/>
    <n v="18.5"/>
    <n v="18.5"/>
    <x v="1"/>
    <x v="1"/>
    <s v="Mozzarella Cheese, Provolone Cheese, Smoked Gouda Cheese, Romano Cheese, Blue Cheese, Garlic"/>
    <x v="2"/>
  </r>
  <r>
    <n v="168"/>
    <n v="74"/>
    <n v="0.25"/>
    <s v="mexicana_l"/>
    <n v="1"/>
    <x v="1"/>
    <x v="1"/>
    <x v="73"/>
    <n v="20.25"/>
    <n v="20.25"/>
    <x v="1"/>
    <x v="1"/>
    <s v="Tomatoes, Red Peppers, Jalapeno Peppers, Red Onions, Cilantro, Corn, Chipotle Sauce, Garlic"/>
    <x v="4"/>
  </r>
  <r>
    <n v="169"/>
    <n v="74"/>
    <n v="0.25"/>
    <s v="spin_pesto_s"/>
    <n v="1"/>
    <x v="1"/>
    <x v="1"/>
    <x v="73"/>
    <n v="12.5"/>
    <n v="12.5"/>
    <x v="2"/>
    <x v="1"/>
    <s v="Spinach, Artichokes, Tomatoes, Sun-dried Tomatoes, Garlic, Pesto Sauce"/>
    <x v="13"/>
  </r>
  <r>
    <n v="170"/>
    <n v="74"/>
    <n v="0.25"/>
    <s v="spinach_supr_l"/>
    <n v="1"/>
    <x v="1"/>
    <x v="1"/>
    <x v="73"/>
    <n v="20.75"/>
    <n v="20.75"/>
    <x v="1"/>
    <x v="2"/>
    <s v="Spinach, Red Onions, Pepperoni, Tomatoes, Artichokes, Kalamata Olives, Garlic, Asiago Cheese"/>
    <x v="9"/>
  </r>
  <r>
    <n v="171"/>
    <n v="75"/>
    <n v="0.33333333333333331"/>
    <s v="ital_supr_s"/>
    <n v="1"/>
    <x v="1"/>
    <x v="1"/>
    <x v="74"/>
    <n v="12.5"/>
    <n v="12.5"/>
    <x v="2"/>
    <x v="2"/>
    <s v="Calabrese Salami, Capocollo, Tomatoes, Red Onions, Green Olives, Garlic"/>
    <x v="3"/>
  </r>
  <r>
    <n v="172"/>
    <n v="75"/>
    <n v="0.33333333333333331"/>
    <s v="mediterraneo_l"/>
    <n v="1"/>
    <x v="1"/>
    <x v="1"/>
    <x v="74"/>
    <n v="20.25"/>
    <n v="20.25"/>
    <x v="1"/>
    <x v="1"/>
    <s v="Spinach, Artichokes, Kalamata Olives, Sun-dried Tomatoes, Feta Cheese, Plum Tomatoes, Red Onions"/>
    <x v="25"/>
  </r>
  <r>
    <n v="173"/>
    <n v="75"/>
    <n v="0.33333333333333331"/>
    <s v="napolitana_l"/>
    <n v="1"/>
    <x v="1"/>
    <x v="1"/>
    <x v="74"/>
    <n v="20.5"/>
    <n v="20.5"/>
    <x v="1"/>
    <x v="0"/>
    <s v="Tomatoes, Anchovies, Green Olives, Red Onions, Garlic"/>
    <x v="22"/>
  </r>
  <r>
    <n v="174"/>
    <n v="76"/>
    <n v="0.25"/>
    <s v="big_meat_s"/>
    <n v="1"/>
    <x v="1"/>
    <x v="1"/>
    <x v="75"/>
    <n v="12"/>
    <n v="12"/>
    <x v="2"/>
    <x v="0"/>
    <s v="Bacon, Pepperoni, Italian Sausage, Chorizo Sausage"/>
    <x v="19"/>
  </r>
  <r>
    <n v="175"/>
    <n v="76"/>
    <n v="0.25"/>
    <s v="hawaiian_l"/>
    <n v="1"/>
    <x v="1"/>
    <x v="1"/>
    <x v="75"/>
    <n v="16.5"/>
    <n v="16.5"/>
    <x v="1"/>
    <x v="0"/>
    <s v="Sliced Ham, Pineapple, Mozzarella Cheese"/>
    <x v="0"/>
  </r>
  <r>
    <n v="176"/>
    <n v="76"/>
    <n v="0.25"/>
    <s v="ital_veggie_l"/>
    <n v="1"/>
    <x v="1"/>
    <x v="1"/>
    <x v="75"/>
    <n v="21"/>
    <n v="21"/>
    <x v="1"/>
    <x v="1"/>
    <s v="Eggplant, Artichokes, Tomatoes, Zucchini, Red Peppers, Garlic, Pesto Sauce"/>
    <x v="24"/>
  </r>
  <r>
    <n v="177"/>
    <n v="76"/>
    <n v="0.25"/>
    <s v="spicy_ital_l"/>
    <n v="1"/>
    <x v="1"/>
    <x v="1"/>
    <x v="75"/>
    <n v="20.75"/>
    <n v="20.75"/>
    <x v="1"/>
    <x v="2"/>
    <s v="Capocollo, Tomatoes, Goat Cheese, Artichokes, Peperoncini verdi, Garlic"/>
    <x v="12"/>
  </r>
  <r>
    <n v="178"/>
    <n v="77"/>
    <n v="0.5"/>
    <s v="bbq_ckn_m"/>
    <n v="1"/>
    <x v="1"/>
    <x v="1"/>
    <x v="76"/>
    <n v="16.75"/>
    <n v="16.75"/>
    <x v="0"/>
    <x v="3"/>
    <s v="Barbecued Chicken, Red Peppers, Green Peppers, Tomatoes, Red Onions, Barbecue Sauce"/>
    <x v="7"/>
  </r>
  <r>
    <n v="179"/>
    <n v="77"/>
    <n v="0.5"/>
    <s v="hawaiian_m"/>
    <n v="1"/>
    <x v="1"/>
    <x v="1"/>
    <x v="76"/>
    <n v="13.25"/>
    <n v="13.25"/>
    <x v="0"/>
    <x v="0"/>
    <s v="Sliced Ham, Pineapple, Mozzarella Cheese"/>
    <x v="0"/>
  </r>
  <r>
    <n v="180"/>
    <n v="78"/>
    <n v="0.16666666666666666"/>
    <s v="big_meat_s"/>
    <n v="1"/>
    <x v="1"/>
    <x v="1"/>
    <x v="77"/>
    <n v="12"/>
    <n v="12"/>
    <x v="2"/>
    <x v="0"/>
    <s v="Bacon, Pepperoni, Italian Sausage, Chorizo Sausage"/>
    <x v="19"/>
  </r>
  <r>
    <n v="181"/>
    <n v="78"/>
    <n v="0.16666666666666666"/>
    <s v="classic_dlx_s"/>
    <n v="1"/>
    <x v="1"/>
    <x v="1"/>
    <x v="77"/>
    <n v="12"/>
    <n v="12"/>
    <x v="2"/>
    <x v="0"/>
    <s v="Pepperoni, Mushrooms, Red Onions, Red Peppers, Bacon"/>
    <x v="1"/>
  </r>
  <r>
    <n v="182"/>
    <n v="78"/>
    <n v="0.16666666666666666"/>
    <s v="four_cheese_l"/>
    <n v="1"/>
    <x v="1"/>
    <x v="1"/>
    <x v="77"/>
    <n v="17.95"/>
    <n v="17.95"/>
    <x v="1"/>
    <x v="1"/>
    <s v="Ricotta Cheese, Gorgonzola Piccante Cheese, Mozzarella Cheese, Parmigiano Reggiano Cheese, Garlic"/>
    <x v="21"/>
  </r>
  <r>
    <n v="183"/>
    <n v="78"/>
    <n v="0.16666666666666666"/>
    <s v="ital_cpcllo_m"/>
    <n v="1"/>
    <x v="1"/>
    <x v="1"/>
    <x v="77"/>
    <n v="16"/>
    <n v="16"/>
    <x v="0"/>
    <x v="0"/>
    <s v="Capocollo, Red Peppers, Tomatoes, Goat Cheese, Garlic, Oregano"/>
    <x v="11"/>
  </r>
  <r>
    <n v="184"/>
    <n v="78"/>
    <n v="0.16666666666666666"/>
    <s v="spicy_ital_l"/>
    <n v="3"/>
    <x v="1"/>
    <x v="1"/>
    <x v="77"/>
    <n v="20.75"/>
    <n v="62.25"/>
    <x v="1"/>
    <x v="2"/>
    <s v="Capocollo, Tomatoes, Goat Cheese, Artichokes, Peperoncini verdi, Garlic"/>
    <x v="12"/>
  </r>
  <r>
    <n v="185"/>
    <n v="78"/>
    <n v="0.16666666666666666"/>
    <s v="thai_ckn_s"/>
    <n v="1"/>
    <x v="1"/>
    <x v="1"/>
    <x v="77"/>
    <n v="12.75"/>
    <n v="12.75"/>
    <x v="2"/>
    <x v="3"/>
    <s v="Chicken, Pineapple, Tomatoes, Red Peppers, Thai Sweet Chilli Sauce"/>
    <x v="5"/>
  </r>
  <r>
    <n v="186"/>
    <n v="79"/>
    <n v="0.33333333333333331"/>
    <s v="ital_cpcllo_l"/>
    <n v="1"/>
    <x v="1"/>
    <x v="1"/>
    <x v="78"/>
    <n v="20.5"/>
    <n v="20.5"/>
    <x v="1"/>
    <x v="0"/>
    <s v="Capocollo, Red Peppers, Tomatoes, Goat Cheese, Garlic, Oregano"/>
    <x v="11"/>
  </r>
  <r>
    <n v="187"/>
    <n v="79"/>
    <n v="0.33333333333333331"/>
    <s v="pep_msh_pep_s"/>
    <n v="1"/>
    <x v="1"/>
    <x v="1"/>
    <x v="78"/>
    <n v="11"/>
    <n v="11"/>
    <x v="2"/>
    <x v="0"/>
    <s v="Pepperoni, Mushrooms, Green Peppers"/>
    <x v="30"/>
  </r>
  <r>
    <n v="188"/>
    <n v="79"/>
    <n v="0.33333333333333331"/>
    <s v="thai_ckn_l"/>
    <n v="1"/>
    <x v="1"/>
    <x v="1"/>
    <x v="78"/>
    <n v="20.75"/>
    <n v="20.75"/>
    <x v="1"/>
    <x v="3"/>
    <s v="Chicken, Pineapple, Tomatoes, Red Peppers, Thai Sweet Chilli Sauce"/>
    <x v="5"/>
  </r>
  <r>
    <n v="189"/>
    <n v="80"/>
    <n v="0.5"/>
    <s v="pepperoni_s"/>
    <n v="1"/>
    <x v="1"/>
    <x v="1"/>
    <x v="79"/>
    <n v="9.75"/>
    <n v="9.75"/>
    <x v="2"/>
    <x v="0"/>
    <s v="Mozzarella Cheese, Pepperoni"/>
    <x v="17"/>
  </r>
  <r>
    <n v="190"/>
    <n v="80"/>
    <n v="0.5"/>
    <s v="thai_ckn_m"/>
    <n v="1"/>
    <x v="1"/>
    <x v="1"/>
    <x v="79"/>
    <n v="16.75"/>
    <n v="16.75"/>
    <x v="0"/>
    <x v="3"/>
    <s v="Chicken, Pineapple, Tomatoes, Red Peppers, Thai Sweet Chilli Sauce"/>
    <x v="5"/>
  </r>
  <r>
    <n v="191"/>
    <n v="81"/>
    <n v="1"/>
    <s v="thai_ckn_l"/>
    <n v="1"/>
    <x v="1"/>
    <x v="1"/>
    <x v="80"/>
    <n v="20.75"/>
    <n v="20.75"/>
    <x v="1"/>
    <x v="3"/>
    <s v="Chicken, Pineapple, Tomatoes, Red Peppers, Thai Sweet Chilli Sauce"/>
    <x v="5"/>
  </r>
  <r>
    <n v="192"/>
    <n v="82"/>
    <n v="0.25"/>
    <s v="big_meat_s"/>
    <n v="1"/>
    <x v="1"/>
    <x v="1"/>
    <x v="81"/>
    <n v="12"/>
    <n v="12"/>
    <x v="2"/>
    <x v="0"/>
    <s v="Bacon, Pepperoni, Italian Sausage, Chorizo Sausage"/>
    <x v="19"/>
  </r>
  <r>
    <n v="193"/>
    <n v="82"/>
    <n v="0.25"/>
    <s v="cali_ckn_m"/>
    <n v="1"/>
    <x v="1"/>
    <x v="1"/>
    <x v="81"/>
    <n v="16.75"/>
    <n v="16.75"/>
    <x v="0"/>
    <x v="3"/>
    <s v="Chicken, Artichoke, Spinach, Garlic, Jalapeno Peppers, Fontina Cheese, Gouda Cheese"/>
    <x v="16"/>
  </r>
  <r>
    <n v="194"/>
    <n v="82"/>
    <n v="0.25"/>
    <s v="spicy_ital_l"/>
    <n v="1"/>
    <x v="1"/>
    <x v="1"/>
    <x v="81"/>
    <n v="20.75"/>
    <n v="20.75"/>
    <x v="1"/>
    <x v="2"/>
    <s v="Capocollo, Tomatoes, Goat Cheese, Artichokes, Peperoncini verdi, Garlic"/>
    <x v="12"/>
  </r>
  <r>
    <n v="195"/>
    <n v="82"/>
    <n v="0.25"/>
    <s v="veggie_veg_m"/>
    <n v="1"/>
    <x v="1"/>
    <x v="1"/>
    <x v="81"/>
    <n v="16"/>
    <n v="16"/>
    <x v="0"/>
    <x v="1"/>
    <s v="Mushrooms, Tomatoes, Red Peppers, Green Peppers, Red Onions, Zucchini, Spinach, Garlic"/>
    <x v="14"/>
  </r>
  <r>
    <n v="196"/>
    <n v="83"/>
    <n v="1"/>
    <s v="southw_ckn_s"/>
    <n v="1"/>
    <x v="1"/>
    <x v="1"/>
    <x v="82"/>
    <n v="12.75"/>
    <n v="12.75"/>
    <x v="2"/>
    <x v="3"/>
    <s v="Chicken, Tomatoes, Red Peppers, Red Onions, Jalapeno Peppers, Corn, Cilantro, Chipotle Sauce"/>
    <x v="15"/>
  </r>
  <r>
    <n v="197"/>
    <n v="84"/>
    <n v="1"/>
    <s v="pepperoni_l"/>
    <n v="1"/>
    <x v="1"/>
    <x v="1"/>
    <x v="83"/>
    <n v="15.25"/>
    <n v="15.25"/>
    <x v="1"/>
    <x v="0"/>
    <s v="Mozzarella Cheese, Pepperoni"/>
    <x v="17"/>
  </r>
  <r>
    <n v="198"/>
    <n v="85"/>
    <n v="0.25"/>
    <s v="classic_dlx_m"/>
    <n v="1"/>
    <x v="1"/>
    <x v="1"/>
    <x v="84"/>
    <n v="16"/>
    <n v="16"/>
    <x v="0"/>
    <x v="0"/>
    <s v="Pepperoni, Mushrooms, Red Onions, Red Peppers, Bacon"/>
    <x v="1"/>
  </r>
  <r>
    <n v="199"/>
    <n v="85"/>
    <n v="0.25"/>
    <s v="classic_dlx_s"/>
    <n v="1"/>
    <x v="1"/>
    <x v="1"/>
    <x v="84"/>
    <n v="12"/>
    <n v="12"/>
    <x v="2"/>
    <x v="0"/>
    <s v="Pepperoni, Mushrooms, Red Onions, Red Peppers, Bacon"/>
    <x v="1"/>
  </r>
  <r>
    <n v="200"/>
    <n v="85"/>
    <n v="0.25"/>
    <s v="ital_supr_l"/>
    <n v="1"/>
    <x v="1"/>
    <x v="1"/>
    <x v="84"/>
    <n v="20.75"/>
    <n v="20.75"/>
    <x v="1"/>
    <x v="2"/>
    <s v="Calabrese Salami, Capocollo, Tomatoes, Red Onions, Green Olives, Garlic"/>
    <x v="3"/>
  </r>
  <r>
    <n v="201"/>
    <n v="85"/>
    <n v="0.25"/>
    <s v="the_greek_m"/>
    <n v="1"/>
    <x v="1"/>
    <x v="1"/>
    <x v="84"/>
    <n v="16"/>
    <n v="16"/>
    <x v="0"/>
    <x v="0"/>
    <s v="Kalamata Olives, Feta Cheese, Tomatoes, Garlic, Beef Chuck Roast, Red Onions"/>
    <x v="8"/>
  </r>
  <r>
    <n v="202"/>
    <n v="86"/>
    <n v="1"/>
    <s v="hawaiian_l"/>
    <n v="1"/>
    <x v="1"/>
    <x v="1"/>
    <x v="85"/>
    <n v="16.5"/>
    <n v="16.5"/>
    <x v="1"/>
    <x v="0"/>
    <s v="Sliced Ham, Pineapple, Mozzarella Cheese"/>
    <x v="0"/>
  </r>
  <r>
    <n v="203"/>
    <n v="87"/>
    <n v="0.25"/>
    <s v="ital_cpcllo_m"/>
    <n v="1"/>
    <x v="1"/>
    <x v="1"/>
    <x v="86"/>
    <n v="16"/>
    <n v="16"/>
    <x v="0"/>
    <x v="0"/>
    <s v="Capocollo, Red Peppers, Tomatoes, Goat Cheese, Garlic, Oregano"/>
    <x v="11"/>
  </r>
  <r>
    <n v="204"/>
    <n v="87"/>
    <n v="0.25"/>
    <s v="mexicana_m"/>
    <n v="1"/>
    <x v="1"/>
    <x v="1"/>
    <x v="86"/>
    <n v="16"/>
    <n v="16"/>
    <x v="0"/>
    <x v="1"/>
    <s v="Tomatoes, Red Peppers, Jalapeno Peppers, Red Onions, Cilantro, Corn, Chipotle Sauce, Garlic"/>
    <x v="4"/>
  </r>
  <r>
    <n v="205"/>
    <n v="87"/>
    <n v="0.25"/>
    <s v="spinach_supr_l"/>
    <n v="1"/>
    <x v="1"/>
    <x v="1"/>
    <x v="86"/>
    <n v="20.75"/>
    <n v="20.75"/>
    <x v="1"/>
    <x v="2"/>
    <s v="Spinach, Red Onions, Pepperoni, Tomatoes, Artichokes, Kalamata Olives, Garlic, Asiago Cheese"/>
    <x v="9"/>
  </r>
  <r>
    <n v="206"/>
    <n v="87"/>
    <n v="0.25"/>
    <s v="spinach_supr_s"/>
    <n v="1"/>
    <x v="1"/>
    <x v="1"/>
    <x v="86"/>
    <n v="12.5"/>
    <n v="12.5"/>
    <x v="2"/>
    <x v="2"/>
    <s v="Spinach, Red Onions, Pepperoni, Tomatoes, Artichokes, Kalamata Olives, Garlic, Asiago Cheese"/>
    <x v="9"/>
  </r>
  <r>
    <n v="207"/>
    <n v="88"/>
    <n v="1"/>
    <s v="five_cheese_l"/>
    <n v="1"/>
    <x v="1"/>
    <x v="1"/>
    <x v="87"/>
    <n v="18.5"/>
    <n v="18.5"/>
    <x v="1"/>
    <x v="1"/>
    <s v="Mozzarella Cheese, Provolone Cheese, Smoked Gouda Cheese, Romano Cheese, Blue Cheese, Garlic"/>
    <x v="2"/>
  </r>
  <r>
    <n v="208"/>
    <n v="89"/>
    <n v="0.5"/>
    <s v="soppressata_l"/>
    <n v="1"/>
    <x v="1"/>
    <x v="1"/>
    <x v="88"/>
    <n v="20.75"/>
    <n v="20.75"/>
    <x v="1"/>
    <x v="2"/>
    <s v="Soppressata Salami, Fontina Cheese, Mozzarella Cheese, Mushrooms, Garlic"/>
    <x v="20"/>
  </r>
  <r>
    <n v="209"/>
    <n v="89"/>
    <n v="0.5"/>
    <s v="thai_ckn_l"/>
    <n v="1"/>
    <x v="1"/>
    <x v="1"/>
    <x v="88"/>
    <n v="20.75"/>
    <n v="20.75"/>
    <x v="1"/>
    <x v="3"/>
    <s v="Chicken, Pineapple, Tomatoes, Red Peppers, Thai Sweet Chilli Sauce"/>
    <x v="5"/>
  </r>
  <r>
    <n v="210"/>
    <n v="90"/>
    <n v="0.5"/>
    <s v="sicilian_l"/>
    <n v="1"/>
    <x v="1"/>
    <x v="1"/>
    <x v="89"/>
    <n v="20.25"/>
    <n v="20.25"/>
    <x v="1"/>
    <x v="2"/>
    <s v="Coarse Sicilian Salami, Tomatoes, Green Olives, Luganega Sausage, Onions, Garlic"/>
    <x v="28"/>
  </r>
  <r>
    <n v="211"/>
    <n v="90"/>
    <n v="0.5"/>
    <s v="thai_ckn_s"/>
    <n v="1"/>
    <x v="1"/>
    <x v="1"/>
    <x v="89"/>
    <n v="12.75"/>
    <n v="12.75"/>
    <x v="2"/>
    <x v="3"/>
    <s v="Chicken, Pineapple, Tomatoes, Red Peppers, Thai Sweet Chilli Sauce"/>
    <x v="5"/>
  </r>
  <r>
    <n v="212"/>
    <n v="91"/>
    <n v="0.33333333333333331"/>
    <s v="bbq_ckn_l"/>
    <n v="2"/>
    <x v="1"/>
    <x v="1"/>
    <x v="90"/>
    <n v="20.75"/>
    <n v="41.5"/>
    <x v="1"/>
    <x v="3"/>
    <s v="Barbecued Chicken, Red Peppers, Green Peppers, Tomatoes, Red Onions, Barbecue Sauce"/>
    <x v="7"/>
  </r>
  <r>
    <n v="213"/>
    <n v="91"/>
    <n v="0.33333333333333331"/>
    <s v="ckn_pesto_s"/>
    <n v="1"/>
    <x v="1"/>
    <x v="1"/>
    <x v="90"/>
    <n v="12.75"/>
    <n v="12.75"/>
    <x v="2"/>
    <x v="3"/>
    <s v="Chicken, Tomatoes, Red Peppers, Spinach, Garlic, Pesto Sauce"/>
    <x v="18"/>
  </r>
  <r>
    <n v="214"/>
    <n v="91"/>
    <n v="0.33333333333333331"/>
    <s v="pepperoni_s"/>
    <n v="1"/>
    <x v="1"/>
    <x v="1"/>
    <x v="90"/>
    <n v="9.75"/>
    <n v="9.75"/>
    <x v="2"/>
    <x v="0"/>
    <s v="Mozzarella Cheese, Pepperoni"/>
    <x v="17"/>
  </r>
  <r>
    <n v="215"/>
    <n v="92"/>
    <n v="0.1111111111111111"/>
    <s v="bbq_ckn_m"/>
    <n v="1"/>
    <x v="1"/>
    <x v="1"/>
    <x v="91"/>
    <n v="16.75"/>
    <n v="16.75"/>
    <x v="0"/>
    <x v="3"/>
    <s v="Barbecued Chicken, Red Peppers, Green Peppers, Tomatoes, Red Onions, Barbecue Sauce"/>
    <x v="7"/>
  </r>
  <r>
    <n v="216"/>
    <n v="92"/>
    <n v="0.1111111111111111"/>
    <s v="ital_supr_l"/>
    <n v="1"/>
    <x v="1"/>
    <x v="1"/>
    <x v="91"/>
    <n v="20.75"/>
    <n v="20.75"/>
    <x v="1"/>
    <x v="2"/>
    <s v="Calabrese Salami, Capocollo, Tomatoes, Red Onions, Green Olives, Garlic"/>
    <x v="3"/>
  </r>
  <r>
    <n v="217"/>
    <n v="92"/>
    <n v="0.1111111111111111"/>
    <s v="ital_supr_m"/>
    <n v="1"/>
    <x v="1"/>
    <x v="1"/>
    <x v="91"/>
    <n v="16.5"/>
    <n v="16.5"/>
    <x v="0"/>
    <x v="2"/>
    <s v="Calabrese Salami, Capocollo, Tomatoes, Red Onions, Green Olives, Garlic"/>
    <x v="3"/>
  </r>
  <r>
    <n v="218"/>
    <n v="92"/>
    <n v="0.1111111111111111"/>
    <s v="ital_veggie_s"/>
    <n v="1"/>
    <x v="1"/>
    <x v="1"/>
    <x v="91"/>
    <n v="12.75"/>
    <n v="12.75"/>
    <x v="2"/>
    <x v="1"/>
    <s v="Eggplant, Artichokes, Tomatoes, Zucchini, Red Peppers, Garlic, Pesto Sauce"/>
    <x v="24"/>
  </r>
  <r>
    <n v="219"/>
    <n v="92"/>
    <n v="0.1111111111111111"/>
    <s v="pepperoni_m"/>
    <n v="1"/>
    <x v="1"/>
    <x v="1"/>
    <x v="91"/>
    <n v="12.5"/>
    <n v="12.5"/>
    <x v="0"/>
    <x v="0"/>
    <s v="Mozzarella Cheese, Pepperoni"/>
    <x v="17"/>
  </r>
  <r>
    <n v="220"/>
    <n v="92"/>
    <n v="0.1111111111111111"/>
    <s v="peppr_salami_m"/>
    <n v="1"/>
    <x v="1"/>
    <x v="1"/>
    <x v="91"/>
    <n v="16.5"/>
    <n v="16.5"/>
    <x v="0"/>
    <x v="2"/>
    <s v="Genoa Salami, Capocollo, Pepperoni, Tomatoes, Asiago Cheese, Garlic"/>
    <x v="26"/>
  </r>
  <r>
    <n v="221"/>
    <n v="92"/>
    <n v="0.1111111111111111"/>
    <s v="spinach_fet_s"/>
    <n v="1"/>
    <x v="1"/>
    <x v="1"/>
    <x v="91"/>
    <n v="12"/>
    <n v="12"/>
    <x v="2"/>
    <x v="1"/>
    <s v="Spinach, Mushrooms, Red Onions, Feta Cheese, Garlic"/>
    <x v="27"/>
  </r>
  <r>
    <n v="222"/>
    <n v="92"/>
    <n v="0.1111111111111111"/>
    <s v="spinach_supr_s"/>
    <n v="1"/>
    <x v="1"/>
    <x v="1"/>
    <x v="91"/>
    <n v="12.5"/>
    <n v="12.5"/>
    <x v="2"/>
    <x v="2"/>
    <s v="Spinach, Red Onions, Pepperoni, Tomatoes, Artichokes, Kalamata Olives, Garlic, Asiago Cheese"/>
    <x v="9"/>
  </r>
  <r>
    <n v="223"/>
    <n v="92"/>
    <n v="0.1111111111111111"/>
    <s v="the_greek_m"/>
    <n v="2"/>
    <x v="1"/>
    <x v="1"/>
    <x v="91"/>
    <n v="16"/>
    <n v="32"/>
    <x v="0"/>
    <x v="0"/>
    <s v="Kalamata Olives, Feta Cheese, Tomatoes, Garlic, Beef Chuck Roast, Red Onions"/>
    <x v="8"/>
  </r>
  <r>
    <n v="224"/>
    <n v="93"/>
    <n v="1"/>
    <s v="sicilian_m"/>
    <n v="1"/>
    <x v="1"/>
    <x v="1"/>
    <x v="92"/>
    <n v="16.25"/>
    <n v="16.25"/>
    <x v="0"/>
    <x v="2"/>
    <s v="Coarse Sicilian Salami, Tomatoes, Green Olives, Luganega Sausage, Onions, Garlic"/>
    <x v="28"/>
  </r>
  <r>
    <n v="225"/>
    <n v="94"/>
    <n v="0.5"/>
    <s v="ital_cpcllo_m"/>
    <n v="1"/>
    <x v="1"/>
    <x v="1"/>
    <x v="93"/>
    <n v="16"/>
    <n v="16"/>
    <x v="0"/>
    <x v="0"/>
    <s v="Capocollo, Red Peppers, Tomatoes, Goat Cheese, Garlic, Oregano"/>
    <x v="11"/>
  </r>
  <r>
    <n v="226"/>
    <n v="94"/>
    <n v="0.5"/>
    <s v="southw_ckn_s"/>
    <n v="1"/>
    <x v="1"/>
    <x v="1"/>
    <x v="93"/>
    <n v="12.75"/>
    <n v="12.75"/>
    <x v="2"/>
    <x v="3"/>
    <s v="Chicken, Tomatoes, Red Peppers, Red Onions, Jalapeno Peppers, Corn, Cilantro, Chipotle Sauce"/>
    <x v="15"/>
  </r>
  <r>
    <n v="227"/>
    <n v="95"/>
    <n v="0.5"/>
    <s v="napolitana_s"/>
    <n v="1"/>
    <x v="1"/>
    <x v="1"/>
    <x v="94"/>
    <n v="12"/>
    <n v="12"/>
    <x v="2"/>
    <x v="0"/>
    <s v="Tomatoes, Anchovies, Green Olives, Red Onions, Garlic"/>
    <x v="22"/>
  </r>
  <r>
    <n v="228"/>
    <n v="95"/>
    <n v="0.5"/>
    <s v="peppr_salami_l"/>
    <n v="1"/>
    <x v="1"/>
    <x v="1"/>
    <x v="94"/>
    <n v="20.75"/>
    <n v="20.75"/>
    <x v="1"/>
    <x v="2"/>
    <s v="Genoa Salami, Capocollo, Pepperoni, Tomatoes, Asiago Cheese, Garlic"/>
    <x v="26"/>
  </r>
  <r>
    <n v="229"/>
    <n v="96"/>
    <n v="1"/>
    <s v="napolitana_s"/>
    <n v="1"/>
    <x v="1"/>
    <x v="1"/>
    <x v="95"/>
    <n v="12"/>
    <n v="12"/>
    <x v="2"/>
    <x v="0"/>
    <s v="Tomatoes, Anchovies, Green Olives, Red Onions, Garlic"/>
    <x v="22"/>
  </r>
  <r>
    <n v="230"/>
    <n v="97"/>
    <n v="1"/>
    <s v="big_meat_s"/>
    <n v="1"/>
    <x v="1"/>
    <x v="1"/>
    <x v="96"/>
    <n v="12"/>
    <n v="12"/>
    <x v="2"/>
    <x v="0"/>
    <s v="Bacon, Pepperoni, Italian Sausage, Chorizo Sausage"/>
    <x v="19"/>
  </r>
  <r>
    <n v="231"/>
    <n v="98"/>
    <n v="0.5"/>
    <s v="classic_dlx_l"/>
    <n v="1"/>
    <x v="1"/>
    <x v="1"/>
    <x v="97"/>
    <n v="20.5"/>
    <n v="20.5"/>
    <x v="1"/>
    <x v="0"/>
    <s v="Pepperoni, Mushrooms, Red Onions, Red Peppers, Bacon"/>
    <x v="1"/>
  </r>
  <r>
    <n v="232"/>
    <n v="98"/>
    <n v="0.5"/>
    <s v="napolitana_l"/>
    <n v="1"/>
    <x v="1"/>
    <x v="1"/>
    <x v="97"/>
    <n v="20.5"/>
    <n v="20.5"/>
    <x v="1"/>
    <x v="0"/>
    <s v="Tomatoes, Anchovies, Green Olives, Red Onions, Garlic"/>
    <x v="22"/>
  </r>
  <r>
    <n v="233"/>
    <n v="99"/>
    <n v="1"/>
    <s v="ital_supr_l"/>
    <n v="1"/>
    <x v="1"/>
    <x v="1"/>
    <x v="98"/>
    <n v="20.75"/>
    <n v="20.75"/>
    <x v="1"/>
    <x v="2"/>
    <s v="Calabrese Salami, Capocollo, Tomatoes, Red Onions, Green Olives, Garlic"/>
    <x v="3"/>
  </r>
  <r>
    <n v="234"/>
    <n v="100"/>
    <n v="1"/>
    <s v="hawaiian_l"/>
    <n v="1"/>
    <x v="1"/>
    <x v="1"/>
    <x v="99"/>
    <n v="16.5"/>
    <n v="16.5"/>
    <x v="1"/>
    <x v="0"/>
    <s v="Sliced Ham, Pineapple, Mozzarella Cheese"/>
    <x v="0"/>
  </r>
  <r>
    <n v="235"/>
    <n v="101"/>
    <n v="0.25"/>
    <s v="cali_ckn_l"/>
    <n v="1"/>
    <x v="1"/>
    <x v="1"/>
    <x v="100"/>
    <n v="20.75"/>
    <n v="20.75"/>
    <x v="1"/>
    <x v="3"/>
    <s v="Chicken, Artichoke, Spinach, Garlic, Jalapeno Peppers, Fontina Cheese, Gouda Cheese"/>
    <x v="16"/>
  </r>
  <r>
    <n v="236"/>
    <n v="101"/>
    <n v="0.25"/>
    <s v="pepperoni_l"/>
    <n v="1"/>
    <x v="1"/>
    <x v="1"/>
    <x v="100"/>
    <n v="15.25"/>
    <n v="15.25"/>
    <x v="1"/>
    <x v="0"/>
    <s v="Mozzarella Cheese, Pepperoni"/>
    <x v="17"/>
  </r>
  <r>
    <n v="237"/>
    <n v="101"/>
    <n v="0.25"/>
    <s v="soppressata_l"/>
    <n v="1"/>
    <x v="1"/>
    <x v="1"/>
    <x v="100"/>
    <n v="20.75"/>
    <n v="20.75"/>
    <x v="1"/>
    <x v="2"/>
    <s v="Soppressata Salami, Fontina Cheese, Mozzarella Cheese, Mushrooms, Garlic"/>
    <x v="20"/>
  </r>
  <r>
    <n v="238"/>
    <n v="101"/>
    <n v="0.25"/>
    <s v="spicy_ital_m"/>
    <n v="1"/>
    <x v="1"/>
    <x v="1"/>
    <x v="100"/>
    <n v="16.5"/>
    <n v="16.5"/>
    <x v="0"/>
    <x v="2"/>
    <s v="Capocollo, Tomatoes, Goat Cheese, Artichokes, Peperoncini verdi, Garlic"/>
    <x v="12"/>
  </r>
  <r>
    <n v="239"/>
    <n v="102"/>
    <n v="0.5"/>
    <s v="bbq_ckn_s"/>
    <n v="1"/>
    <x v="1"/>
    <x v="1"/>
    <x v="101"/>
    <n v="12.75"/>
    <n v="12.75"/>
    <x v="2"/>
    <x v="3"/>
    <s v="Barbecued Chicken, Red Peppers, Green Peppers, Tomatoes, Red Onions, Barbecue Sauce"/>
    <x v="7"/>
  </r>
  <r>
    <n v="240"/>
    <n v="102"/>
    <n v="0.5"/>
    <s v="prsc_argla_s"/>
    <n v="1"/>
    <x v="1"/>
    <x v="1"/>
    <x v="101"/>
    <n v="12.5"/>
    <n v="12.5"/>
    <x v="2"/>
    <x v="2"/>
    <s v="Prosciutto di San Daniele, Arugula, Mozzarella Cheese"/>
    <x v="6"/>
  </r>
  <r>
    <n v="241"/>
    <n v="103"/>
    <n v="1"/>
    <s v="spinach_supr_s"/>
    <n v="1"/>
    <x v="1"/>
    <x v="1"/>
    <x v="102"/>
    <n v="12.5"/>
    <n v="12.5"/>
    <x v="2"/>
    <x v="2"/>
    <s v="Spinach, Red Onions, Pepperoni, Tomatoes, Artichokes, Kalamata Olives, Garlic, Asiago Cheese"/>
    <x v="9"/>
  </r>
  <r>
    <n v="242"/>
    <n v="104"/>
    <n v="0.25"/>
    <s v="bbq_ckn_m"/>
    <n v="1"/>
    <x v="1"/>
    <x v="1"/>
    <x v="103"/>
    <n v="16.75"/>
    <n v="16.75"/>
    <x v="0"/>
    <x v="3"/>
    <s v="Barbecued Chicken, Red Peppers, Green Peppers, Tomatoes, Red Onions, Barbecue Sauce"/>
    <x v="7"/>
  </r>
  <r>
    <n v="243"/>
    <n v="104"/>
    <n v="0.25"/>
    <s v="ckn_alfredo_m"/>
    <n v="1"/>
    <x v="1"/>
    <x v="1"/>
    <x v="103"/>
    <n v="16.75"/>
    <n v="16.75"/>
    <x v="0"/>
    <x v="3"/>
    <s v="Chicken, Red Onions, Red Peppers, Mushrooms, Asiago Cheese, Alfredo Sauce"/>
    <x v="29"/>
  </r>
  <r>
    <n v="244"/>
    <n v="104"/>
    <n v="0.25"/>
    <s v="ital_veggie_m"/>
    <n v="1"/>
    <x v="1"/>
    <x v="1"/>
    <x v="103"/>
    <n v="16.75"/>
    <n v="16.75"/>
    <x v="0"/>
    <x v="1"/>
    <s v="Eggplant, Artichokes, Tomatoes, Zucchini, Red Peppers, Garlic, Pesto Sauce"/>
    <x v="24"/>
  </r>
  <r>
    <n v="245"/>
    <n v="104"/>
    <n v="0.25"/>
    <s v="veggie_veg_l"/>
    <n v="1"/>
    <x v="1"/>
    <x v="1"/>
    <x v="103"/>
    <n v="20.25"/>
    <n v="20.25"/>
    <x v="1"/>
    <x v="1"/>
    <s v="Mushrooms, Tomatoes, Red Peppers, Green Peppers, Red Onions, Zucchini, Spinach, Garlic"/>
    <x v="14"/>
  </r>
  <r>
    <n v="246"/>
    <n v="105"/>
    <n v="0.33333333333333331"/>
    <s v="hawaiian_s"/>
    <n v="2"/>
    <x v="1"/>
    <x v="1"/>
    <x v="104"/>
    <n v="10.5"/>
    <n v="21"/>
    <x v="2"/>
    <x v="0"/>
    <s v="Sliced Ham, Pineapple, Mozzarella Cheese"/>
    <x v="0"/>
  </r>
  <r>
    <n v="247"/>
    <n v="105"/>
    <n v="0.33333333333333331"/>
    <s v="pepperoni_l"/>
    <n v="1"/>
    <x v="1"/>
    <x v="1"/>
    <x v="104"/>
    <n v="15.25"/>
    <n v="15.25"/>
    <x v="1"/>
    <x v="0"/>
    <s v="Mozzarella Cheese, Pepperoni"/>
    <x v="17"/>
  </r>
  <r>
    <n v="248"/>
    <n v="105"/>
    <n v="0.33333333333333331"/>
    <s v="prsc_argla_m"/>
    <n v="1"/>
    <x v="1"/>
    <x v="1"/>
    <x v="104"/>
    <n v="16.5"/>
    <n v="16.5"/>
    <x v="0"/>
    <x v="2"/>
    <s v="Prosciutto di San Daniele, Arugula, Mozzarella Cheese"/>
    <x v="6"/>
  </r>
  <r>
    <n v="249"/>
    <n v="106"/>
    <n v="0.5"/>
    <s v="mexicana_l"/>
    <n v="1"/>
    <x v="1"/>
    <x v="1"/>
    <x v="105"/>
    <n v="20.25"/>
    <n v="20.25"/>
    <x v="1"/>
    <x v="1"/>
    <s v="Tomatoes, Red Peppers, Jalapeno Peppers, Red Onions, Cilantro, Corn, Chipotle Sauce, Garlic"/>
    <x v="4"/>
  </r>
  <r>
    <n v="250"/>
    <n v="106"/>
    <n v="0.5"/>
    <s v="spicy_ital_l"/>
    <n v="1"/>
    <x v="1"/>
    <x v="1"/>
    <x v="105"/>
    <n v="20.75"/>
    <n v="20.75"/>
    <x v="1"/>
    <x v="2"/>
    <s v="Capocollo, Tomatoes, Goat Cheese, Artichokes, Peperoncini verdi, Garlic"/>
    <x v="12"/>
  </r>
  <r>
    <n v="251"/>
    <n v="107"/>
    <n v="0.25"/>
    <s v="cali_ckn_l"/>
    <n v="1"/>
    <x v="1"/>
    <x v="1"/>
    <x v="106"/>
    <n v="20.75"/>
    <n v="20.75"/>
    <x v="1"/>
    <x v="3"/>
    <s v="Chicken, Artichoke, Spinach, Garlic, Jalapeno Peppers, Fontina Cheese, Gouda Cheese"/>
    <x v="16"/>
  </r>
  <r>
    <n v="252"/>
    <n v="107"/>
    <n v="0.25"/>
    <s v="ital_supr_m"/>
    <n v="1"/>
    <x v="1"/>
    <x v="1"/>
    <x v="106"/>
    <n v="16.5"/>
    <n v="16.5"/>
    <x v="0"/>
    <x v="2"/>
    <s v="Calabrese Salami, Capocollo, Tomatoes, Red Onions, Green Olives, Garlic"/>
    <x v="3"/>
  </r>
  <r>
    <n v="253"/>
    <n v="107"/>
    <n v="0.25"/>
    <s v="spicy_ital_l"/>
    <n v="1"/>
    <x v="1"/>
    <x v="1"/>
    <x v="106"/>
    <n v="20.75"/>
    <n v="20.75"/>
    <x v="1"/>
    <x v="2"/>
    <s v="Capocollo, Tomatoes, Goat Cheese, Artichokes, Peperoncini verdi, Garlic"/>
    <x v="12"/>
  </r>
  <r>
    <n v="254"/>
    <n v="107"/>
    <n v="0.25"/>
    <s v="veggie_veg_l"/>
    <n v="1"/>
    <x v="1"/>
    <x v="1"/>
    <x v="106"/>
    <n v="20.25"/>
    <n v="20.25"/>
    <x v="1"/>
    <x v="1"/>
    <s v="Mushrooms, Tomatoes, Red Peppers, Green Peppers, Red Onions, Zucchini, Spinach, Garlic"/>
    <x v="14"/>
  </r>
  <r>
    <n v="255"/>
    <n v="108"/>
    <n v="0.33333333333333331"/>
    <s v="classic_dlx_l"/>
    <n v="1"/>
    <x v="1"/>
    <x v="1"/>
    <x v="107"/>
    <n v="20.5"/>
    <n v="20.5"/>
    <x v="1"/>
    <x v="0"/>
    <s v="Pepperoni, Mushrooms, Red Onions, Red Peppers, Bacon"/>
    <x v="1"/>
  </r>
  <r>
    <n v="256"/>
    <n v="108"/>
    <n v="0.33333333333333331"/>
    <s v="hawaiian_l"/>
    <n v="1"/>
    <x v="1"/>
    <x v="1"/>
    <x v="107"/>
    <n v="16.5"/>
    <n v="16.5"/>
    <x v="1"/>
    <x v="0"/>
    <s v="Sliced Ham, Pineapple, Mozzarella Cheese"/>
    <x v="0"/>
  </r>
  <r>
    <n v="257"/>
    <n v="108"/>
    <n v="0.33333333333333331"/>
    <s v="spinach_supr_l"/>
    <n v="1"/>
    <x v="1"/>
    <x v="1"/>
    <x v="107"/>
    <n v="20.75"/>
    <n v="20.75"/>
    <x v="1"/>
    <x v="2"/>
    <s v="Spinach, Red Onions, Pepperoni, Tomatoes, Artichokes, Kalamata Olives, Garlic, Asiago Cheese"/>
    <x v="9"/>
  </r>
  <r>
    <n v="258"/>
    <n v="109"/>
    <n v="0.25"/>
    <s v="ital_cpcllo_l"/>
    <n v="1"/>
    <x v="1"/>
    <x v="1"/>
    <x v="108"/>
    <n v="20.5"/>
    <n v="20.5"/>
    <x v="1"/>
    <x v="0"/>
    <s v="Capocollo, Red Peppers, Tomatoes, Goat Cheese, Garlic, Oregano"/>
    <x v="11"/>
  </r>
  <r>
    <n v="259"/>
    <n v="109"/>
    <n v="0.25"/>
    <s v="ital_supr_l"/>
    <n v="1"/>
    <x v="1"/>
    <x v="1"/>
    <x v="108"/>
    <n v="20.75"/>
    <n v="20.75"/>
    <x v="1"/>
    <x v="2"/>
    <s v="Calabrese Salami, Capocollo, Tomatoes, Red Onions, Green Olives, Garlic"/>
    <x v="3"/>
  </r>
  <r>
    <n v="260"/>
    <n v="109"/>
    <n v="0.25"/>
    <s v="pepperoni_m"/>
    <n v="1"/>
    <x v="1"/>
    <x v="1"/>
    <x v="108"/>
    <n v="12.5"/>
    <n v="12.5"/>
    <x v="0"/>
    <x v="0"/>
    <s v="Mozzarella Cheese, Pepperoni"/>
    <x v="17"/>
  </r>
  <r>
    <n v="261"/>
    <n v="109"/>
    <n v="0.25"/>
    <s v="prsc_argla_l"/>
    <n v="1"/>
    <x v="1"/>
    <x v="1"/>
    <x v="108"/>
    <n v="20.75"/>
    <n v="20.75"/>
    <x v="1"/>
    <x v="2"/>
    <s v="Prosciutto di San Daniele, Arugula, Mozzarella Cheese"/>
    <x v="6"/>
  </r>
  <r>
    <n v="262"/>
    <n v="110"/>
    <n v="0.25"/>
    <s v="big_meat_s"/>
    <n v="1"/>
    <x v="1"/>
    <x v="1"/>
    <x v="109"/>
    <n v="12"/>
    <n v="12"/>
    <x v="2"/>
    <x v="0"/>
    <s v="Bacon, Pepperoni, Italian Sausage, Chorizo Sausage"/>
    <x v="19"/>
  </r>
  <r>
    <n v="263"/>
    <n v="110"/>
    <n v="0.25"/>
    <s v="napolitana_l"/>
    <n v="1"/>
    <x v="1"/>
    <x v="1"/>
    <x v="109"/>
    <n v="20.5"/>
    <n v="20.5"/>
    <x v="1"/>
    <x v="0"/>
    <s v="Tomatoes, Anchovies, Green Olives, Red Onions, Garlic"/>
    <x v="22"/>
  </r>
  <r>
    <n v="264"/>
    <n v="110"/>
    <n v="0.25"/>
    <s v="soppressata_l"/>
    <n v="1"/>
    <x v="1"/>
    <x v="1"/>
    <x v="109"/>
    <n v="20.75"/>
    <n v="20.75"/>
    <x v="1"/>
    <x v="2"/>
    <s v="Soppressata Salami, Fontina Cheese, Mozzarella Cheese, Mushrooms, Garlic"/>
    <x v="20"/>
  </r>
  <r>
    <n v="265"/>
    <n v="110"/>
    <n v="0.25"/>
    <s v="spicy_ital_s"/>
    <n v="1"/>
    <x v="1"/>
    <x v="1"/>
    <x v="109"/>
    <n v="12.5"/>
    <n v="12.5"/>
    <x v="2"/>
    <x v="2"/>
    <s v="Capocollo, Tomatoes, Goat Cheese, Artichokes, Peperoncini verdi, Garlic"/>
    <x v="12"/>
  </r>
  <r>
    <n v="266"/>
    <n v="111"/>
    <n v="0.25"/>
    <s v="cali_ckn_m"/>
    <n v="1"/>
    <x v="1"/>
    <x v="1"/>
    <x v="110"/>
    <n v="16.75"/>
    <n v="16.75"/>
    <x v="0"/>
    <x v="3"/>
    <s v="Chicken, Artichoke, Spinach, Garlic, Jalapeno Peppers, Fontina Cheese, Gouda Cheese"/>
    <x v="16"/>
  </r>
  <r>
    <n v="267"/>
    <n v="111"/>
    <n v="0.25"/>
    <s v="five_cheese_l"/>
    <n v="1"/>
    <x v="1"/>
    <x v="1"/>
    <x v="110"/>
    <n v="18.5"/>
    <n v="18.5"/>
    <x v="1"/>
    <x v="1"/>
    <s v="Mozzarella Cheese, Provolone Cheese, Smoked Gouda Cheese, Romano Cheese, Blue Cheese, Garlic"/>
    <x v="2"/>
  </r>
  <r>
    <n v="268"/>
    <n v="111"/>
    <n v="0.25"/>
    <s v="pepperoni_m"/>
    <n v="1"/>
    <x v="1"/>
    <x v="1"/>
    <x v="110"/>
    <n v="12.5"/>
    <n v="12.5"/>
    <x v="0"/>
    <x v="0"/>
    <s v="Mozzarella Cheese, Pepperoni"/>
    <x v="17"/>
  </r>
  <r>
    <n v="269"/>
    <n v="111"/>
    <n v="0.25"/>
    <s v="spin_pesto_l"/>
    <n v="1"/>
    <x v="1"/>
    <x v="1"/>
    <x v="110"/>
    <n v="20.75"/>
    <n v="20.75"/>
    <x v="1"/>
    <x v="1"/>
    <s v="Spinach, Artichokes, Tomatoes, Sun-dried Tomatoes, Garlic, Pesto Sauce"/>
    <x v="13"/>
  </r>
  <r>
    <n v="270"/>
    <n v="112"/>
    <n v="1"/>
    <s v="pepperoni_s"/>
    <n v="1"/>
    <x v="1"/>
    <x v="1"/>
    <x v="111"/>
    <n v="9.75"/>
    <n v="9.75"/>
    <x v="2"/>
    <x v="0"/>
    <s v="Mozzarella Cheese, Pepperoni"/>
    <x v="17"/>
  </r>
  <r>
    <n v="271"/>
    <n v="113"/>
    <n v="0.33333333333333331"/>
    <s v="cali_ckn_l"/>
    <n v="1"/>
    <x v="1"/>
    <x v="1"/>
    <x v="112"/>
    <n v="20.75"/>
    <n v="20.75"/>
    <x v="1"/>
    <x v="3"/>
    <s v="Chicken, Artichoke, Spinach, Garlic, Jalapeno Peppers, Fontina Cheese, Gouda Cheese"/>
    <x v="16"/>
  </r>
  <r>
    <n v="272"/>
    <n v="113"/>
    <n v="0.33333333333333331"/>
    <s v="mexicana_l"/>
    <n v="1"/>
    <x v="1"/>
    <x v="1"/>
    <x v="112"/>
    <n v="20.25"/>
    <n v="20.25"/>
    <x v="1"/>
    <x v="1"/>
    <s v="Tomatoes, Red Peppers, Jalapeno Peppers, Red Onions, Cilantro, Corn, Chipotle Sauce, Garlic"/>
    <x v="4"/>
  </r>
  <r>
    <n v="273"/>
    <n v="113"/>
    <n v="0.33333333333333331"/>
    <s v="southw_ckn_m"/>
    <n v="1"/>
    <x v="1"/>
    <x v="1"/>
    <x v="112"/>
    <n v="16.75"/>
    <n v="16.75"/>
    <x v="0"/>
    <x v="3"/>
    <s v="Chicken, Tomatoes, Red Peppers, Red Onions, Jalapeno Peppers, Corn, Cilantro, Chipotle Sauce"/>
    <x v="15"/>
  </r>
  <r>
    <n v="274"/>
    <n v="114"/>
    <n v="0.5"/>
    <s v="pepperoni_l"/>
    <n v="1"/>
    <x v="1"/>
    <x v="1"/>
    <x v="113"/>
    <n v="15.25"/>
    <n v="15.25"/>
    <x v="1"/>
    <x v="0"/>
    <s v="Mozzarella Cheese, Pepperoni"/>
    <x v="17"/>
  </r>
  <r>
    <n v="275"/>
    <n v="114"/>
    <n v="0.5"/>
    <s v="sicilian_s"/>
    <n v="1"/>
    <x v="1"/>
    <x v="1"/>
    <x v="113"/>
    <n v="12.25"/>
    <n v="12.25"/>
    <x v="2"/>
    <x v="2"/>
    <s v="Coarse Sicilian Salami, Tomatoes, Green Olives, Luganega Sausage, Onions, Garlic"/>
    <x v="28"/>
  </r>
  <r>
    <n v="276"/>
    <n v="115"/>
    <n v="0.33333333333333331"/>
    <s v="big_meat_s"/>
    <n v="1"/>
    <x v="1"/>
    <x v="1"/>
    <x v="114"/>
    <n v="12"/>
    <n v="12"/>
    <x v="2"/>
    <x v="0"/>
    <s v="Bacon, Pepperoni, Italian Sausage, Chorizo Sausage"/>
    <x v="19"/>
  </r>
  <r>
    <n v="277"/>
    <n v="115"/>
    <n v="0.33333333333333331"/>
    <s v="napolitana_l"/>
    <n v="1"/>
    <x v="1"/>
    <x v="1"/>
    <x v="114"/>
    <n v="20.5"/>
    <n v="20.5"/>
    <x v="1"/>
    <x v="0"/>
    <s v="Tomatoes, Anchovies, Green Olives, Red Onions, Garlic"/>
    <x v="22"/>
  </r>
  <r>
    <n v="278"/>
    <n v="115"/>
    <n v="0.33333333333333331"/>
    <s v="thai_ckn_m"/>
    <n v="1"/>
    <x v="1"/>
    <x v="1"/>
    <x v="114"/>
    <n v="16.75"/>
    <n v="16.75"/>
    <x v="0"/>
    <x v="3"/>
    <s v="Chicken, Pineapple, Tomatoes, Red Peppers, Thai Sweet Chilli Sauce"/>
    <x v="5"/>
  </r>
  <r>
    <n v="279"/>
    <n v="116"/>
    <n v="1"/>
    <s v="five_cheese_l"/>
    <n v="1"/>
    <x v="1"/>
    <x v="1"/>
    <x v="115"/>
    <n v="18.5"/>
    <n v="18.5"/>
    <x v="1"/>
    <x v="1"/>
    <s v="Mozzarella Cheese, Provolone Cheese, Smoked Gouda Cheese, Romano Cheese, Blue Cheese, Garlic"/>
    <x v="2"/>
  </r>
  <r>
    <n v="280"/>
    <n v="117"/>
    <n v="0.5"/>
    <s v="peppr_salami_m"/>
    <n v="1"/>
    <x v="1"/>
    <x v="1"/>
    <x v="116"/>
    <n v="16.5"/>
    <n v="16.5"/>
    <x v="0"/>
    <x v="2"/>
    <s v="Genoa Salami, Capocollo, Pepperoni, Tomatoes, Asiago Cheese, Garlic"/>
    <x v="26"/>
  </r>
  <r>
    <n v="281"/>
    <n v="117"/>
    <n v="0.5"/>
    <s v="sicilian_l"/>
    <n v="1"/>
    <x v="1"/>
    <x v="1"/>
    <x v="116"/>
    <n v="20.25"/>
    <n v="20.25"/>
    <x v="1"/>
    <x v="2"/>
    <s v="Coarse Sicilian Salami, Tomatoes, Green Olives, Luganega Sausage, Onions, Garlic"/>
    <x v="28"/>
  </r>
  <r>
    <n v="282"/>
    <n v="118"/>
    <n v="0.5"/>
    <s v="prsc_argla_l"/>
    <n v="1"/>
    <x v="1"/>
    <x v="1"/>
    <x v="117"/>
    <n v="20.75"/>
    <n v="20.75"/>
    <x v="1"/>
    <x v="2"/>
    <s v="Prosciutto di San Daniele, Arugula, Mozzarella Cheese"/>
    <x v="6"/>
  </r>
  <r>
    <n v="283"/>
    <n v="118"/>
    <n v="0.5"/>
    <s v="spinach_fet_s"/>
    <n v="1"/>
    <x v="1"/>
    <x v="1"/>
    <x v="117"/>
    <n v="12"/>
    <n v="12"/>
    <x v="2"/>
    <x v="1"/>
    <s v="Spinach, Mushrooms, Red Onions, Feta Cheese, Garlic"/>
    <x v="27"/>
  </r>
  <r>
    <n v="284"/>
    <n v="119"/>
    <n v="1"/>
    <s v="four_cheese_m"/>
    <n v="1"/>
    <x v="1"/>
    <x v="1"/>
    <x v="118"/>
    <n v="14.75"/>
    <n v="14.75"/>
    <x v="0"/>
    <x v="1"/>
    <s v="Ricotta Cheese, Gorgonzola Piccante Cheese, Mozzarella Cheese, Parmigiano Reggiano Cheese, Garlic"/>
    <x v="21"/>
  </r>
  <r>
    <n v="285"/>
    <n v="120"/>
    <n v="0.33333333333333331"/>
    <s v="classic_dlx_s"/>
    <n v="1"/>
    <x v="1"/>
    <x v="1"/>
    <x v="119"/>
    <n v="12"/>
    <n v="12"/>
    <x v="2"/>
    <x v="0"/>
    <s v="Pepperoni, Mushrooms, Red Onions, Red Peppers, Bacon"/>
    <x v="1"/>
  </r>
  <r>
    <n v="286"/>
    <n v="120"/>
    <n v="0.33333333333333331"/>
    <s v="hawaiian_s"/>
    <n v="1"/>
    <x v="1"/>
    <x v="1"/>
    <x v="119"/>
    <n v="10.5"/>
    <n v="10.5"/>
    <x v="2"/>
    <x v="0"/>
    <s v="Sliced Ham, Pineapple, Mozzarella Cheese"/>
    <x v="0"/>
  </r>
  <r>
    <n v="287"/>
    <n v="120"/>
    <n v="0.33333333333333331"/>
    <s v="spinach_fet_l"/>
    <n v="1"/>
    <x v="1"/>
    <x v="1"/>
    <x v="119"/>
    <n v="20.25"/>
    <n v="20.25"/>
    <x v="1"/>
    <x v="1"/>
    <s v="Spinach, Mushrooms, Red Onions, Feta Cheese, Garlic"/>
    <x v="27"/>
  </r>
  <r>
    <n v="288"/>
    <n v="121"/>
    <n v="0.25"/>
    <s v="bbq_ckn_m"/>
    <n v="1"/>
    <x v="1"/>
    <x v="1"/>
    <x v="120"/>
    <n v="16.75"/>
    <n v="16.75"/>
    <x v="0"/>
    <x v="3"/>
    <s v="Barbecued Chicken, Red Peppers, Green Peppers, Tomatoes, Red Onions, Barbecue Sauce"/>
    <x v="7"/>
  </r>
  <r>
    <n v="289"/>
    <n v="121"/>
    <n v="0.25"/>
    <s v="four_cheese_l"/>
    <n v="1"/>
    <x v="1"/>
    <x v="1"/>
    <x v="120"/>
    <n v="17.95"/>
    <n v="17.95"/>
    <x v="1"/>
    <x v="1"/>
    <s v="Ricotta Cheese, Gorgonzola Piccante Cheese, Mozzarella Cheese, Parmigiano Reggiano Cheese, Garlic"/>
    <x v="21"/>
  </r>
  <r>
    <n v="290"/>
    <n v="121"/>
    <n v="0.25"/>
    <s v="sicilian_l"/>
    <n v="1"/>
    <x v="1"/>
    <x v="1"/>
    <x v="120"/>
    <n v="20.25"/>
    <n v="20.25"/>
    <x v="1"/>
    <x v="2"/>
    <s v="Coarse Sicilian Salami, Tomatoes, Green Olives, Luganega Sausage, Onions, Garlic"/>
    <x v="28"/>
  </r>
  <r>
    <n v="291"/>
    <n v="121"/>
    <n v="0.25"/>
    <s v="southw_ckn_l"/>
    <n v="1"/>
    <x v="1"/>
    <x v="1"/>
    <x v="120"/>
    <n v="20.75"/>
    <n v="20.75"/>
    <x v="1"/>
    <x v="3"/>
    <s v="Chicken, Tomatoes, Red Peppers, Red Onions, Jalapeno Peppers, Corn, Cilantro, Chipotle Sauce"/>
    <x v="15"/>
  </r>
  <r>
    <n v="292"/>
    <n v="122"/>
    <n v="1"/>
    <s v="ital_supr_m"/>
    <n v="1"/>
    <x v="1"/>
    <x v="1"/>
    <x v="121"/>
    <n v="16.5"/>
    <n v="16.5"/>
    <x v="0"/>
    <x v="2"/>
    <s v="Calabrese Salami, Capocollo, Tomatoes, Red Onions, Green Olives, Garlic"/>
    <x v="3"/>
  </r>
  <r>
    <n v="293"/>
    <n v="123"/>
    <n v="1"/>
    <s v="ital_cpcllo_s"/>
    <n v="1"/>
    <x v="1"/>
    <x v="1"/>
    <x v="122"/>
    <n v="12"/>
    <n v="12"/>
    <x v="2"/>
    <x v="0"/>
    <s v="Capocollo, Red Peppers, Tomatoes, Goat Cheese, Garlic, Oregano"/>
    <x v="11"/>
  </r>
  <r>
    <n v="294"/>
    <n v="124"/>
    <n v="0.25"/>
    <s v="bbq_ckn_s"/>
    <n v="1"/>
    <x v="1"/>
    <x v="1"/>
    <x v="123"/>
    <n v="12.75"/>
    <n v="12.75"/>
    <x v="2"/>
    <x v="3"/>
    <s v="Barbecued Chicken, Red Peppers, Green Peppers, Tomatoes, Red Onions, Barbecue Sauce"/>
    <x v="7"/>
  </r>
  <r>
    <n v="295"/>
    <n v="124"/>
    <n v="0.25"/>
    <s v="sicilian_l"/>
    <n v="1"/>
    <x v="1"/>
    <x v="1"/>
    <x v="123"/>
    <n v="20.25"/>
    <n v="20.25"/>
    <x v="1"/>
    <x v="2"/>
    <s v="Coarse Sicilian Salami, Tomatoes, Green Olives, Luganega Sausage, Onions, Garlic"/>
    <x v="28"/>
  </r>
  <r>
    <n v="296"/>
    <n v="124"/>
    <n v="0.25"/>
    <s v="spicy_ital_l"/>
    <n v="1"/>
    <x v="1"/>
    <x v="1"/>
    <x v="123"/>
    <n v="20.75"/>
    <n v="20.75"/>
    <x v="1"/>
    <x v="2"/>
    <s v="Capocollo, Tomatoes, Goat Cheese, Artichokes, Peperoncini verdi, Garlic"/>
    <x v="12"/>
  </r>
  <r>
    <n v="297"/>
    <n v="124"/>
    <n v="0.25"/>
    <s v="the_greek_s"/>
    <n v="1"/>
    <x v="1"/>
    <x v="1"/>
    <x v="123"/>
    <n v="12"/>
    <n v="12"/>
    <x v="2"/>
    <x v="0"/>
    <s v="Kalamata Olives, Feta Cheese, Tomatoes, Garlic, Beef Chuck Roast, Red Onions"/>
    <x v="8"/>
  </r>
  <r>
    <n v="298"/>
    <n v="125"/>
    <n v="1"/>
    <s v="the_greek_xl"/>
    <n v="1"/>
    <x v="1"/>
    <x v="1"/>
    <x v="124"/>
    <n v="25.5"/>
    <n v="25.5"/>
    <x v="3"/>
    <x v="0"/>
    <s v="Kalamata Olives, Feta Cheese, Tomatoes, Garlic, Beef Chuck Roast, Red Onions"/>
    <x v="8"/>
  </r>
  <r>
    <n v="299"/>
    <n v="126"/>
    <n v="1"/>
    <s v="veggie_veg_l"/>
    <n v="1"/>
    <x v="1"/>
    <x v="1"/>
    <x v="125"/>
    <n v="20.25"/>
    <n v="20.25"/>
    <x v="1"/>
    <x v="1"/>
    <s v="Mushrooms, Tomatoes, Red Peppers, Green Peppers, Red Onions, Zucchini, Spinach, Garlic"/>
    <x v="14"/>
  </r>
  <r>
    <n v="300"/>
    <n v="127"/>
    <n v="1"/>
    <s v="pepperoni_m"/>
    <n v="1"/>
    <x v="1"/>
    <x v="1"/>
    <x v="126"/>
    <n v="12.5"/>
    <n v="12.5"/>
    <x v="0"/>
    <x v="0"/>
    <s v="Mozzarella Cheese, Pepperoni"/>
    <x v="17"/>
  </r>
  <r>
    <n v="301"/>
    <n v="128"/>
    <n v="1"/>
    <s v="spicy_ital_s"/>
    <n v="1"/>
    <x v="1"/>
    <x v="1"/>
    <x v="127"/>
    <n v="12.5"/>
    <n v="12.5"/>
    <x v="2"/>
    <x v="2"/>
    <s v="Capocollo, Tomatoes, Goat Cheese, Artichokes, Peperoncini verdi, Garlic"/>
    <x v="12"/>
  </r>
  <r>
    <n v="302"/>
    <n v="129"/>
    <n v="0.5"/>
    <s v="big_meat_s"/>
    <n v="1"/>
    <x v="1"/>
    <x v="1"/>
    <x v="128"/>
    <n v="12"/>
    <n v="12"/>
    <x v="2"/>
    <x v="0"/>
    <s v="Bacon, Pepperoni, Italian Sausage, Chorizo Sausage"/>
    <x v="19"/>
  </r>
  <r>
    <n v="303"/>
    <n v="129"/>
    <n v="0.5"/>
    <s v="the_greek_m"/>
    <n v="1"/>
    <x v="1"/>
    <x v="1"/>
    <x v="128"/>
    <n v="16"/>
    <n v="16"/>
    <x v="0"/>
    <x v="0"/>
    <s v="Kalamata Olives, Feta Cheese, Tomatoes, Garlic, Beef Chuck Roast, Red Onions"/>
    <x v="8"/>
  </r>
  <r>
    <n v="304"/>
    <n v="130"/>
    <n v="0.25"/>
    <s v="hawaiian_s"/>
    <n v="1"/>
    <x v="1"/>
    <x v="1"/>
    <x v="129"/>
    <n v="10.5"/>
    <n v="10.5"/>
    <x v="2"/>
    <x v="0"/>
    <s v="Sliced Ham, Pineapple, Mozzarella Cheese"/>
    <x v="0"/>
  </r>
  <r>
    <n v="305"/>
    <n v="130"/>
    <n v="0.25"/>
    <s v="ital_cpcllo_l"/>
    <n v="1"/>
    <x v="1"/>
    <x v="1"/>
    <x v="129"/>
    <n v="20.5"/>
    <n v="20.5"/>
    <x v="1"/>
    <x v="0"/>
    <s v="Capocollo, Red Peppers, Tomatoes, Goat Cheese, Garlic, Oregano"/>
    <x v="11"/>
  </r>
  <r>
    <n v="306"/>
    <n v="130"/>
    <n v="0.25"/>
    <s v="mexicana_m"/>
    <n v="1"/>
    <x v="1"/>
    <x v="1"/>
    <x v="129"/>
    <n v="16"/>
    <n v="16"/>
    <x v="0"/>
    <x v="1"/>
    <s v="Tomatoes, Red Peppers, Jalapeno Peppers, Red Onions, Cilantro, Corn, Chipotle Sauce, Garlic"/>
    <x v="4"/>
  </r>
  <r>
    <n v="307"/>
    <n v="130"/>
    <n v="0.25"/>
    <s v="southw_ckn_s"/>
    <n v="1"/>
    <x v="1"/>
    <x v="1"/>
    <x v="129"/>
    <n v="12.75"/>
    <n v="12.75"/>
    <x v="2"/>
    <x v="3"/>
    <s v="Chicken, Tomatoes, Red Peppers, Red Onions, Jalapeno Peppers, Corn, Cilantro, Chipotle Sauce"/>
    <x v="15"/>
  </r>
  <r>
    <n v="308"/>
    <n v="131"/>
    <n v="0.25"/>
    <s v="ckn_pesto_l"/>
    <n v="1"/>
    <x v="1"/>
    <x v="1"/>
    <x v="130"/>
    <n v="20.75"/>
    <n v="20.75"/>
    <x v="1"/>
    <x v="3"/>
    <s v="Chicken, Tomatoes, Red Peppers, Spinach, Garlic, Pesto Sauce"/>
    <x v="18"/>
  </r>
  <r>
    <n v="309"/>
    <n v="131"/>
    <n v="0.25"/>
    <s v="five_cheese_l"/>
    <n v="1"/>
    <x v="1"/>
    <x v="1"/>
    <x v="130"/>
    <n v="18.5"/>
    <n v="18.5"/>
    <x v="1"/>
    <x v="1"/>
    <s v="Mozzarella Cheese, Provolone Cheese, Smoked Gouda Cheese, Romano Cheese, Blue Cheese, Garlic"/>
    <x v="2"/>
  </r>
  <r>
    <n v="310"/>
    <n v="131"/>
    <n v="0.25"/>
    <s v="green_garden_s"/>
    <n v="1"/>
    <x v="1"/>
    <x v="1"/>
    <x v="130"/>
    <n v="12"/>
    <n v="12"/>
    <x v="2"/>
    <x v="1"/>
    <s v="Spinach, Mushrooms, Tomatoes, Green Olives, Feta Cheese"/>
    <x v="10"/>
  </r>
  <r>
    <n v="311"/>
    <n v="131"/>
    <n v="0.25"/>
    <s v="spinach_supr_s"/>
    <n v="1"/>
    <x v="1"/>
    <x v="1"/>
    <x v="130"/>
    <n v="12.5"/>
    <n v="12.5"/>
    <x v="2"/>
    <x v="2"/>
    <s v="Spinach, Red Onions, Pepperoni, Tomatoes, Artichokes, Kalamata Olives, Garlic, Asiago Cheese"/>
    <x v="9"/>
  </r>
  <r>
    <n v="312"/>
    <n v="132"/>
    <n v="1"/>
    <s v="pepperoni_s"/>
    <n v="1"/>
    <x v="1"/>
    <x v="1"/>
    <x v="131"/>
    <n v="9.75"/>
    <n v="9.75"/>
    <x v="2"/>
    <x v="0"/>
    <s v="Mozzarella Cheese, Pepperoni"/>
    <x v="17"/>
  </r>
  <r>
    <n v="313"/>
    <n v="133"/>
    <n v="0.33333333333333331"/>
    <s v="bbq_ckn_l"/>
    <n v="1"/>
    <x v="1"/>
    <x v="1"/>
    <x v="132"/>
    <n v="20.75"/>
    <n v="20.75"/>
    <x v="1"/>
    <x v="3"/>
    <s v="Barbecued Chicken, Red Peppers, Green Peppers, Tomatoes, Red Onions, Barbecue Sauce"/>
    <x v="7"/>
  </r>
  <r>
    <n v="314"/>
    <n v="133"/>
    <n v="0.33333333333333331"/>
    <s v="hawaiian_l"/>
    <n v="1"/>
    <x v="1"/>
    <x v="1"/>
    <x v="132"/>
    <n v="16.5"/>
    <n v="16.5"/>
    <x v="1"/>
    <x v="0"/>
    <s v="Sliced Ham, Pineapple, Mozzarella Cheese"/>
    <x v="0"/>
  </r>
  <r>
    <n v="315"/>
    <n v="133"/>
    <n v="0.33333333333333331"/>
    <s v="the_greek_s"/>
    <n v="1"/>
    <x v="1"/>
    <x v="1"/>
    <x v="132"/>
    <n v="12"/>
    <n v="12"/>
    <x v="2"/>
    <x v="0"/>
    <s v="Kalamata Olives, Feta Cheese, Tomatoes, Garlic, Beef Chuck Roast, Red Onions"/>
    <x v="8"/>
  </r>
  <r>
    <n v="316"/>
    <n v="134"/>
    <n v="0.33333333333333331"/>
    <s v="big_meat_s"/>
    <n v="1"/>
    <x v="1"/>
    <x v="1"/>
    <x v="133"/>
    <n v="12"/>
    <n v="12"/>
    <x v="2"/>
    <x v="0"/>
    <s v="Bacon, Pepperoni, Italian Sausage, Chorizo Sausage"/>
    <x v="19"/>
  </r>
  <r>
    <n v="317"/>
    <n v="134"/>
    <n v="0.33333333333333331"/>
    <s v="southw_ckn_l"/>
    <n v="1"/>
    <x v="1"/>
    <x v="1"/>
    <x v="133"/>
    <n v="20.75"/>
    <n v="20.75"/>
    <x v="1"/>
    <x v="3"/>
    <s v="Chicken, Tomatoes, Red Peppers, Red Onions, Jalapeno Peppers, Corn, Cilantro, Chipotle Sauce"/>
    <x v="15"/>
  </r>
  <r>
    <n v="318"/>
    <n v="134"/>
    <n v="0.33333333333333331"/>
    <s v="spinach_supr_s"/>
    <n v="1"/>
    <x v="1"/>
    <x v="1"/>
    <x v="133"/>
    <n v="12.5"/>
    <n v="12.5"/>
    <x v="2"/>
    <x v="2"/>
    <s v="Spinach, Red Onions, Pepperoni, Tomatoes, Artichokes, Kalamata Olives, Garlic, Asiago Cheese"/>
    <x v="9"/>
  </r>
  <r>
    <n v="319"/>
    <n v="135"/>
    <n v="1"/>
    <s v="veggie_veg_l"/>
    <n v="1"/>
    <x v="1"/>
    <x v="1"/>
    <x v="134"/>
    <n v="20.25"/>
    <n v="20.25"/>
    <x v="1"/>
    <x v="1"/>
    <s v="Mushrooms, Tomatoes, Red Peppers, Green Peppers, Red Onions, Zucchini, Spinach, Garlic"/>
    <x v="14"/>
  </r>
  <r>
    <n v="320"/>
    <n v="136"/>
    <n v="0.5"/>
    <s v="five_cheese_l"/>
    <n v="1"/>
    <x v="1"/>
    <x v="1"/>
    <x v="135"/>
    <n v="18.5"/>
    <n v="18.5"/>
    <x v="1"/>
    <x v="1"/>
    <s v="Mozzarella Cheese, Provolone Cheese, Smoked Gouda Cheese, Romano Cheese, Blue Cheese, Garlic"/>
    <x v="2"/>
  </r>
  <r>
    <n v="321"/>
    <n v="136"/>
    <n v="0.5"/>
    <s v="peppr_salami_s"/>
    <n v="1"/>
    <x v="1"/>
    <x v="1"/>
    <x v="135"/>
    <n v="12.5"/>
    <n v="12.5"/>
    <x v="2"/>
    <x v="2"/>
    <s v="Genoa Salami, Capocollo, Pepperoni, Tomatoes, Asiago Cheese, Garlic"/>
    <x v="26"/>
  </r>
  <r>
    <n v="322"/>
    <n v="137"/>
    <n v="0.33333333333333331"/>
    <s v="mediterraneo_l"/>
    <n v="1"/>
    <x v="2"/>
    <x v="2"/>
    <x v="136"/>
    <n v="20.25"/>
    <n v="20.25"/>
    <x v="1"/>
    <x v="1"/>
    <s v="Spinach, Artichokes, Kalamata Olives, Sun-dried Tomatoes, Feta Cheese, Plum Tomatoes, Red Onions"/>
    <x v="25"/>
  </r>
  <r>
    <n v="323"/>
    <n v="137"/>
    <n v="0.33333333333333331"/>
    <s v="pepperoni_s"/>
    <n v="1"/>
    <x v="2"/>
    <x v="2"/>
    <x v="136"/>
    <n v="9.75"/>
    <n v="9.75"/>
    <x v="2"/>
    <x v="0"/>
    <s v="Mozzarella Cheese, Pepperoni"/>
    <x v="17"/>
  </r>
  <r>
    <n v="324"/>
    <n v="137"/>
    <n v="0.33333333333333331"/>
    <s v="spicy_ital_m"/>
    <n v="1"/>
    <x v="2"/>
    <x v="2"/>
    <x v="136"/>
    <n v="16.5"/>
    <n v="16.5"/>
    <x v="0"/>
    <x v="2"/>
    <s v="Capocollo, Tomatoes, Goat Cheese, Artichokes, Peperoncini verdi, Garlic"/>
    <x v="12"/>
  </r>
  <r>
    <n v="325"/>
    <n v="138"/>
    <n v="0.25"/>
    <s v="cali_ckn_m"/>
    <n v="1"/>
    <x v="2"/>
    <x v="2"/>
    <x v="137"/>
    <n v="16.75"/>
    <n v="16.75"/>
    <x v="0"/>
    <x v="3"/>
    <s v="Chicken, Artichoke, Spinach, Garlic, Jalapeno Peppers, Fontina Cheese, Gouda Cheese"/>
    <x v="16"/>
  </r>
  <r>
    <n v="326"/>
    <n v="138"/>
    <n v="0.25"/>
    <s v="four_cheese_l"/>
    <n v="1"/>
    <x v="2"/>
    <x v="2"/>
    <x v="137"/>
    <n v="17.95"/>
    <n v="17.95"/>
    <x v="1"/>
    <x v="1"/>
    <s v="Ricotta Cheese, Gorgonzola Piccante Cheese, Mozzarella Cheese, Parmigiano Reggiano Cheese, Garlic"/>
    <x v="21"/>
  </r>
  <r>
    <n v="327"/>
    <n v="138"/>
    <n v="0.25"/>
    <s v="ital_veggie_l"/>
    <n v="1"/>
    <x v="2"/>
    <x v="2"/>
    <x v="137"/>
    <n v="21"/>
    <n v="21"/>
    <x v="1"/>
    <x v="1"/>
    <s v="Eggplant, Artichokes, Tomatoes, Zucchini, Red Peppers, Garlic, Pesto Sauce"/>
    <x v="24"/>
  </r>
  <r>
    <n v="328"/>
    <n v="138"/>
    <n v="0.25"/>
    <s v="sicilian_m"/>
    <n v="1"/>
    <x v="2"/>
    <x v="2"/>
    <x v="137"/>
    <n v="16.25"/>
    <n v="16.25"/>
    <x v="0"/>
    <x v="2"/>
    <s v="Coarse Sicilian Salami, Tomatoes, Green Olives, Luganega Sausage, Onions, Garlic"/>
    <x v="28"/>
  </r>
  <r>
    <n v="329"/>
    <n v="139"/>
    <n v="1"/>
    <s v="five_cheese_l"/>
    <n v="1"/>
    <x v="2"/>
    <x v="2"/>
    <x v="138"/>
    <n v="18.5"/>
    <n v="18.5"/>
    <x v="1"/>
    <x v="1"/>
    <s v="Mozzarella Cheese, Provolone Cheese, Smoked Gouda Cheese, Romano Cheese, Blue Cheese, Garlic"/>
    <x v="2"/>
  </r>
  <r>
    <n v="330"/>
    <n v="140"/>
    <n v="0.5"/>
    <s v="prsc_argla_s"/>
    <n v="1"/>
    <x v="2"/>
    <x v="2"/>
    <x v="139"/>
    <n v="12.5"/>
    <n v="12.5"/>
    <x v="2"/>
    <x v="2"/>
    <s v="Prosciutto di San Daniele, Arugula, Mozzarella Cheese"/>
    <x v="6"/>
  </r>
  <r>
    <n v="331"/>
    <n v="140"/>
    <n v="0.5"/>
    <s v="veggie_veg_m"/>
    <n v="1"/>
    <x v="2"/>
    <x v="2"/>
    <x v="139"/>
    <n v="16"/>
    <n v="16"/>
    <x v="0"/>
    <x v="1"/>
    <s v="Mushrooms, Tomatoes, Red Peppers, Green Peppers, Red Onions, Zucchini, Spinach, Garlic"/>
    <x v="14"/>
  </r>
  <r>
    <n v="332"/>
    <n v="141"/>
    <n v="1"/>
    <s v="classic_dlx_m"/>
    <n v="1"/>
    <x v="2"/>
    <x v="2"/>
    <x v="140"/>
    <n v="16"/>
    <n v="16"/>
    <x v="0"/>
    <x v="0"/>
    <s v="Pepperoni, Mushrooms, Red Onions, Red Peppers, Bacon"/>
    <x v="1"/>
  </r>
  <r>
    <n v="333"/>
    <n v="142"/>
    <n v="1"/>
    <s v="green_garden_m"/>
    <n v="1"/>
    <x v="2"/>
    <x v="2"/>
    <x v="141"/>
    <n v="16"/>
    <n v="16"/>
    <x v="0"/>
    <x v="1"/>
    <s v="Spinach, Mushrooms, Tomatoes, Green Olives, Feta Cheese"/>
    <x v="10"/>
  </r>
  <r>
    <n v="334"/>
    <n v="143"/>
    <n v="0.125"/>
    <s v="cali_ckn_s"/>
    <n v="1"/>
    <x v="2"/>
    <x v="2"/>
    <x v="142"/>
    <n v="12.75"/>
    <n v="12.75"/>
    <x v="2"/>
    <x v="3"/>
    <s v="Chicken, Artichoke, Spinach, Garlic, Jalapeno Peppers, Fontina Cheese, Gouda Cheese"/>
    <x v="16"/>
  </r>
  <r>
    <n v="335"/>
    <n v="143"/>
    <n v="0.125"/>
    <s v="classic_dlx_s"/>
    <n v="1"/>
    <x v="2"/>
    <x v="2"/>
    <x v="142"/>
    <n v="12"/>
    <n v="12"/>
    <x v="2"/>
    <x v="0"/>
    <s v="Pepperoni, Mushrooms, Red Onions, Red Peppers, Bacon"/>
    <x v="1"/>
  </r>
  <r>
    <n v="336"/>
    <n v="143"/>
    <n v="0.125"/>
    <s v="hawaiian_l"/>
    <n v="1"/>
    <x v="2"/>
    <x v="2"/>
    <x v="142"/>
    <n v="16.5"/>
    <n v="16.5"/>
    <x v="1"/>
    <x v="0"/>
    <s v="Sliced Ham, Pineapple, Mozzarella Cheese"/>
    <x v="0"/>
  </r>
  <r>
    <n v="337"/>
    <n v="143"/>
    <n v="0.125"/>
    <s v="mexicana_m"/>
    <n v="1"/>
    <x v="2"/>
    <x v="2"/>
    <x v="142"/>
    <n v="16"/>
    <n v="16"/>
    <x v="0"/>
    <x v="1"/>
    <s v="Tomatoes, Red Peppers, Jalapeno Peppers, Red Onions, Cilantro, Corn, Chipotle Sauce, Garlic"/>
    <x v="4"/>
  </r>
  <r>
    <n v="338"/>
    <n v="143"/>
    <n v="0.125"/>
    <s v="pepperoni_l"/>
    <n v="1"/>
    <x v="2"/>
    <x v="2"/>
    <x v="142"/>
    <n v="15.25"/>
    <n v="15.25"/>
    <x v="1"/>
    <x v="0"/>
    <s v="Mozzarella Cheese, Pepperoni"/>
    <x v="17"/>
  </r>
  <r>
    <n v="339"/>
    <n v="143"/>
    <n v="0.125"/>
    <s v="prsc_argla_s"/>
    <n v="1"/>
    <x v="2"/>
    <x v="2"/>
    <x v="142"/>
    <n v="12.5"/>
    <n v="12.5"/>
    <x v="2"/>
    <x v="2"/>
    <s v="Prosciutto di San Daniele, Arugula, Mozzarella Cheese"/>
    <x v="6"/>
  </r>
  <r>
    <n v="340"/>
    <n v="143"/>
    <n v="0.125"/>
    <s v="thai_ckn_l"/>
    <n v="1"/>
    <x v="2"/>
    <x v="2"/>
    <x v="142"/>
    <n v="20.75"/>
    <n v="20.75"/>
    <x v="1"/>
    <x v="3"/>
    <s v="Chicken, Pineapple, Tomatoes, Red Peppers, Thai Sweet Chilli Sauce"/>
    <x v="5"/>
  </r>
  <r>
    <n v="341"/>
    <n v="143"/>
    <n v="0.125"/>
    <s v="veggie_veg_m"/>
    <n v="1"/>
    <x v="2"/>
    <x v="2"/>
    <x v="142"/>
    <n v="16"/>
    <n v="16"/>
    <x v="0"/>
    <x v="1"/>
    <s v="Mushrooms, Tomatoes, Red Peppers, Green Peppers, Red Onions, Zucchini, Spinach, Garlic"/>
    <x v="14"/>
  </r>
  <r>
    <n v="342"/>
    <n v="144"/>
    <n v="8.3333333333333329E-2"/>
    <s v="bbq_ckn_m"/>
    <n v="3"/>
    <x v="2"/>
    <x v="2"/>
    <x v="143"/>
    <n v="16.75"/>
    <n v="50.25"/>
    <x v="0"/>
    <x v="3"/>
    <s v="Barbecued Chicken, Red Peppers, Green Peppers, Tomatoes, Red Onions, Barbecue Sauce"/>
    <x v="7"/>
  </r>
  <r>
    <n v="343"/>
    <n v="144"/>
    <n v="8.3333333333333329E-2"/>
    <s v="big_meat_s"/>
    <n v="1"/>
    <x v="2"/>
    <x v="2"/>
    <x v="143"/>
    <n v="12"/>
    <n v="12"/>
    <x v="2"/>
    <x v="0"/>
    <s v="Bacon, Pepperoni, Italian Sausage, Chorizo Sausage"/>
    <x v="19"/>
  </r>
  <r>
    <n v="344"/>
    <n v="144"/>
    <n v="8.3333333333333329E-2"/>
    <s v="cali_ckn_l"/>
    <n v="1"/>
    <x v="2"/>
    <x v="2"/>
    <x v="143"/>
    <n v="20.75"/>
    <n v="20.75"/>
    <x v="1"/>
    <x v="3"/>
    <s v="Chicken, Artichoke, Spinach, Garlic, Jalapeno Peppers, Fontina Cheese, Gouda Cheese"/>
    <x v="16"/>
  </r>
  <r>
    <n v="345"/>
    <n v="144"/>
    <n v="8.3333333333333329E-2"/>
    <s v="ckn_pesto_m"/>
    <n v="1"/>
    <x v="2"/>
    <x v="2"/>
    <x v="143"/>
    <n v="16.75"/>
    <n v="16.75"/>
    <x v="0"/>
    <x v="3"/>
    <s v="Chicken, Tomatoes, Red Peppers, Spinach, Garlic, Pesto Sauce"/>
    <x v="18"/>
  </r>
  <r>
    <n v="346"/>
    <n v="144"/>
    <n v="8.3333333333333329E-2"/>
    <s v="five_cheese_l"/>
    <n v="1"/>
    <x v="2"/>
    <x v="2"/>
    <x v="143"/>
    <n v="18.5"/>
    <n v="18.5"/>
    <x v="1"/>
    <x v="1"/>
    <s v="Mozzarella Cheese, Provolone Cheese, Smoked Gouda Cheese, Romano Cheese, Blue Cheese, Garlic"/>
    <x v="2"/>
  </r>
  <r>
    <n v="347"/>
    <n v="144"/>
    <n v="8.3333333333333329E-2"/>
    <s v="four_cheese_l"/>
    <n v="1"/>
    <x v="2"/>
    <x v="2"/>
    <x v="143"/>
    <n v="17.95"/>
    <n v="17.95"/>
    <x v="1"/>
    <x v="1"/>
    <s v="Ricotta Cheese, Gorgonzola Piccante Cheese, Mozzarella Cheese, Parmigiano Reggiano Cheese, Garlic"/>
    <x v="21"/>
  </r>
  <r>
    <n v="348"/>
    <n v="144"/>
    <n v="8.3333333333333329E-2"/>
    <s v="pep_msh_pep_s"/>
    <n v="1"/>
    <x v="2"/>
    <x v="2"/>
    <x v="143"/>
    <n v="11"/>
    <n v="11"/>
    <x v="2"/>
    <x v="0"/>
    <s v="Pepperoni, Mushrooms, Green Peppers"/>
    <x v="30"/>
  </r>
  <r>
    <n v="349"/>
    <n v="144"/>
    <n v="8.3333333333333329E-2"/>
    <s v="southw_ckn_l"/>
    <n v="1"/>
    <x v="2"/>
    <x v="2"/>
    <x v="143"/>
    <n v="20.75"/>
    <n v="20.75"/>
    <x v="1"/>
    <x v="3"/>
    <s v="Chicken, Tomatoes, Red Peppers, Red Onions, Jalapeno Peppers, Corn, Cilantro, Chipotle Sauce"/>
    <x v="15"/>
  </r>
  <r>
    <n v="350"/>
    <n v="144"/>
    <n v="8.3333333333333329E-2"/>
    <s v="southw_ckn_s"/>
    <n v="1"/>
    <x v="2"/>
    <x v="2"/>
    <x v="143"/>
    <n v="12.75"/>
    <n v="12.75"/>
    <x v="2"/>
    <x v="3"/>
    <s v="Chicken, Tomatoes, Red Peppers, Red Onions, Jalapeno Peppers, Corn, Cilantro, Chipotle Sauce"/>
    <x v="15"/>
  </r>
  <r>
    <n v="351"/>
    <n v="144"/>
    <n v="8.3333333333333329E-2"/>
    <s v="spicy_ital_l"/>
    <n v="1"/>
    <x v="2"/>
    <x v="2"/>
    <x v="143"/>
    <n v="20.75"/>
    <n v="20.75"/>
    <x v="1"/>
    <x v="2"/>
    <s v="Capocollo, Tomatoes, Goat Cheese, Artichokes, Peperoncini verdi, Garlic"/>
    <x v="12"/>
  </r>
  <r>
    <n v="352"/>
    <n v="144"/>
    <n v="8.3333333333333329E-2"/>
    <s v="thai_ckn_m"/>
    <n v="1"/>
    <x v="2"/>
    <x v="2"/>
    <x v="143"/>
    <n v="16.75"/>
    <n v="16.75"/>
    <x v="0"/>
    <x v="3"/>
    <s v="Chicken, Pineapple, Tomatoes, Red Peppers, Thai Sweet Chilli Sauce"/>
    <x v="5"/>
  </r>
  <r>
    <n v="353"/>
    <n v="144"/>
    <n v="8.3333333333333329E-2"/>
    <s v="veggie_veg_l"/>
    <n v="1"/>
    <x v="2"/>
    <x v="2"/>
    <x v="143"/>
    <n v="20.25"/>
    <n v="20.25"/>
    <x v="1"/>
    <x v="1"/>
    <s v="Mushrooms, Tomatoes, Red Peppers, Green Peppers, Red Onions, Zucchini, Spinach, Garlic"/>
    <x v="14"/>
  </r>
  <r>
    <n v="354"/>
    <n v="145"/>
    <n v="1"/>
    <s v="the_greek_s"/>
    <n v="1"/>
    <x v="2"/>
    <x v="2"/>
    <x v="144"/>
    <n v="12"/>
    <n v="12"/>
    <x v="2"/>
    <x v="0"/>
    <s v="Kalamata Olives, Feta Cheese, Tomatoes, Garlic, Beef Chuck Roast, Red Onions"/>
    <x v="8"/>
  </r>
  <r>
    <n v="355"/>
    <n v="146"/>
    <n v="0.33333333333333331"/>
    <s v="cali_ckn_l"/>
    <n v="1"/>
    <x v="2"/>
    <x v="2"/>
    <x v="145"/>
    <n v="20.75"/>
    <n v="20.75"/>
    <x v="1"/>
    <x v="3"/>
    <s v="Chicken, Artichoke, Spinach, Garlic, Jalapeno Peppers, Fontina Cheese, Gouda Cheese"/>
    <x v="16"/>
  </r>
  <r>
    <n v="356"/>
    <n v="146"/>
    <n v="0.33333333333333331"/>
    <s v="four_cheese_m"/>
    <n v="1"/>
    <x v="2"/>
    <x v="2"/>
    <x v="145"/>
    <n v="14.75"/>
    <n v="14.75"/>
    <x v="0"/>
    <x v="1"/>
    <s v="Ricotta Cheese, Gorgonzola Piccante Cheese, Mozzarella Cheese, Parmigiano Reggiano Cheese, Garlic"/>
    <x v="21"/>
  </r>
  <r>
    <n v="357"/>
    <n v="146"/>
    <n v="0.33333333333333331"/>
    <s v="hawaiian_m"/>
    <n v="1"/>
    <x v="2"/>
    <x v="2"/>
    <x v="145"/>
    <n v="13.25"/>
    <n v="13.25"/>
    <x v="0"/>
    <x v="0"/>
    <s v="Sliced Ham, Pineapple, Mozzarella Cheese"/>
    <x v="0"/>
  </r>
  <r>
    <n v="358"/>
    <n v="147"/>
    <n v="1"/>
    <s v="the_greek_xl"/>
    <n v="1"/>
    <x v="2"/>
    <x v="2"/>
    <x v="146"/>
    <n v="25.5"/>
    <n v="25.5"/>
    <x v="3"/>
    <x v="0"/>
    <s v="Kalamata Olives, Feta Cheese, Tomatoes, Garlic, Beef Chuck Roast, Red Onions"/>
    <x v="8"/>
  </r>
  <r>
    <n v="359"/>
    <n v="148"/>
    <n v="1"/>
    <s v="mediterraneo_s"/>
    <n v="1"/>
    <x v="2"/>
    <x v="2"/>
    <x v="147"/>
    <n v="12"/>
    <n v="12"/>
    <x v="2"/>
    <x v="1"/>
    <s v="Spinach, Artichokes, Kalamata Olives, Sun-dried Tomatoes, Feta Cheese, Plum Tomatoes, Red Onions"/>
    <x v="25"/>
  </r>
  <r>
    <n v="360"/>
    <n v="149"/>
    <n v="1"/>
    <s v="spinach_fet_m"/>
    <n v="1"/>
    <x v="2"/>
    <x v="2"/>
    <x v="148"/>
    <n v="16"/>
    <n v="16"/>
    <x v="0"/>
    <x v="1"/>
    <s v="Spinach, Mushrooms, Red Onions, Feta Cheese, Garlic"/>
    <x v="27"/>
  </r>
  <r>
    <n v="361"/>
    <n v="150"/>
    <n v="1"/>
    <s v="pepperoni_m"/>
    <n v="1"/>
    <x v="2"/>
    <x v="2"/>
    <x v="149"/>
    <n v="12.5"/>
    <n v="12.5"/>
    <x v="0"/>
    <x v="0"/>
    <s v="Mozzarella Cheese, Pepperoni"/>
    <x v="17"/>
  </r>
  <r>
    <n v="362"/>
    <n v="151"/>
    <n v="0.5"/>
    <s v="southw_ckn_l"/>
    <n v="1"/>
    <x v="2"/>
    <x v="2"/>
    <x v="150"/>
    <n v="20.75"/>
    <n v="20.75"/>
    <x v="1"/>
    <x v="3"/>
    <s v="Chicken, Tomatoes, Red Peppers, Red Onions, Jalapeno Peppers, Corn, Cilantro, Chipotle Sauce"/>
    <x v="15"/>
  </r>
  <r>
    <n v="363"/>
    <n v="151"/>
    <n v="0.5"/>
    <s v="spinach_supr_s"/>
    <n v="1"/>
    <x v="2"/>
    <x v="2"/>
    <x v="150"/>
    <n v="12.5"/>
    <n v="12.5"/>
    <x v="2"/>
    <x v="2"/>
    <s v="Spinach, Red Onions, Pepperoni, Tomatoes, Artichokes, Kalamata Olives, Garlic, Asiago Cheese"/>
    <x v="9"/>
  </r>
  <r>
    <n v="364"/>
    <n v="152"/>
    <n v="0.25"/>
    <s v="hawaiian_s"/>
    <n v="1"/>
    <x v="2"/>
    <x v="2"/>
    <x v="151"/>
    <n v="10.5"/>
    <n v="10.5"/>
    <x v="2"/>
    <x v="0"/>
    <s v="Sliced Ham, Pineapple, Mozzarella Cheese"/>
    <x v="0"/>
  </r>
  <r>
    <n v="365"/>
    <n v="152"/>
    <n v="0.25"/>
    <s v="spinach_fet_l"/>
    <n v="1"/>
    <x v="2"/>
    <x v="2"/>
    <x v="151"/>
    <n v="20.25"/>
    <n v="20.25"/>
    <x v="1"/>
    <x v="1"/>
    <s v="Spinach, Mushrooms, Red Onions, Feta Cheese, Garlic"/>
    <x v="27"/>
  </r>
  <r>
    <n v="366"/>
    <n v="152"/>
    <n v="0.25"/>
    <s v="thai_ckn_s"/>
    <n v="1"/>
    <x v="2"/>
    <x v="2"/>
    <x v="151"/>
    <n v="12.75"/>
    <n v="12.75"/>
    <x v="2"/>
    <x v="3"/>
    <s v="Chicken, Pineapple, Tomatoes, Red Peppers, Thai Sweet Chilli Sauce"/>
    <x v="5"/>
  </r>
  <r>
    <n v="367"/>
    <n v="152"/>
    <n v="0.25"/>
    <s v="the_greek_m"/>
    <n v="1"/>
    <x v="2"/>
    <x v="2"/>
    <x v="151"/>
    <n v="16"/>
    <n v="16"/>
    <x v="0"/>
    <x v="0"/>
    <s v="Kalamata Olives, Feta Cheese, Tomatoes, Garlic, Beef Chuck Roast, Red Onions"/>
    <x v="8"/>
  </r>
  <r>
    <n v="368"/>
    <n v="153"/>
    <n v="1"/>
    <s v="mexicana_m"/>
    <n v="1"/>
    <x v="2"/>
    <x v="2"/>
    <x v="152"/>
    <n v="16"/>
    <n v="16"/>
    <x v="0"/>
    <x v="1"/>
    <s v="Tomatoes, Red Peppers, Jalapeno Peppers, Red Onions, Cilantro, Corn, Chipotle Sauce, Garlic"/>
    <x v="4"/>
  </r>
  <r>
    <n v="369"/>
    <n v="154"/>
    <n v="1"/>
    <s v="prsc_argla_s"/>
    <n v="1"/>
    <x v="2"/>
    <x v="2"/>
    <x v="153"/>
    <n v="12.5"/>
    <n v="12.5"/>
    <x v="2"/>
    <x v="2"/>
    <s v="Prosciutto di San Daniele, Arugula, Mozzarella Cheese"/>
    <x v="6"/>
  </r>
  <r>
    <n v="370"/>
    <n v="155"/>
    <n v="0.25"/>
    <s v="ckn_pesto_s"/>
    <n v="1"/>
    <x v="2"/>
    <x v="2"/>
    <x v="154"/>
    <n v="12.75"/>
    <n v="12.75"/>
    <x v="2"/>
    <x v="3"/>
    <s v="Chicken, Tomatoes, Red Peppers, Spinach, Garlic, Pesto Sauce"/>
    <x v="18"/>
  </r>
  <r>
    <n v="371"/>
    <n v="155"/>
    <n v="0.25"/>
    <s v="napolitana_l"/>
    <n v="1"/>
    <x v="2"/>
    <x v="2"/>
    <x v="154"/>
    <n v="20.5"/>
    <n v="20.5"/>
    <x v="1"/>
    <x v="0"/>
    <s v="Tomatoes, Anchovies, Green Olives, Red Onions, Garlic"/>
    <x v="22"/>
  </r>
  <r>
    <n v="372"/>
    <n v="155"/>
    <n v="0.25"/>
    <s v="pepperoni_l"/>
    <n v="1"/>
    <x v="2"/>
    <x v="2"/>
    <x v="154"/>
    <n v="15.25"/>
    <n v="15.25"/>
    <x v="1"/>
    <x v="0"/>
    <s v="Mozzarella Cheese, Pepperoni"/>
    <x v="17"/>
  </r>
  <r>
    <n v="373"/>
    <n v="155"/>
    <n v="0.25"/>
    <s v="peppr_salami_l"/>
    <n v="1"/>
    <x v="2"/>
    <x v="2"/>
    <x v="154"/>
    <n v="20.75"/>
    <n v="20.75"/>
    <x v="1"/>
    <x v="2"/>
    <s v="Genoa Salami, Capocollo, Pepperoni, Tomatoes, Asiago Cheese, Garlic"/>
    <x v="26"/>
  </r>
  <r>
    <n v="374"/>
    <n v="156"/>
    <n v="0.5"/>
    <s v="napolitana_m"/>
    <n v="1"/>
    <x v="2"/>
    <x v="2"/>
    <x v="155"/>
    <n v="16"/>
    <n v="16"/>
    <x v="0"/>
    <x v="0"/>
    <s v="Tomatoes, Anchovies, Green Olives, Red Onions, Garlic"/>
    <x v="22"/>
  </r>
  <r>
    <n v="375"/>
    <n v="156"/>
    <n v="0.5"/>
    <s v="thai_ckn_l"/>
    <n v="1"/>
    <x v="2"/>
    <x v="2"/>
    <x v="155"/>
    <n v="20.75"/>
    <n v="20.75"/>
    <x v="1"/>
    <x v="3"/>
    <s v="Chicken, Pineapple, Tomatoes, Red Peppers, Thai Sweet Chilli Sauce"/>
    <x v="5"/>
  </r>
  <r>
    <n v="376"/>
    <n v="157"/>
    <n v="0.25"/>
    <s v="ital_supr_l"/>
    <n v="1"/>
    <x v="2"/>
    <x v="2"/>
    <x v="156"/>
    <n v="20.75"/>
    <n v="20.75"/>
    <x v="1"/>
    <x v="2"/>
    <s v="Calabrese Salami, Capocollo, Tomatoes, Red Onions, Green Olives, Garlic"/>
    <x v="3"/>
  </r>
  <r>
    <n v="377"/>
    <n v="157"/>
    <n v="0.25"/>
    <s v="mediterraneo_m"/>
    <n v="1"/>
    <x v="2"/>
    <x v="2"/>
    <x v="156"/>
    <n v="16"/>
    <n v="16"/>
    <x v="0"/>
    <x v="1"/>
    <s v="Spinach, Artichokes, Kalamata Olives, Sun-dried Tomatoes, Feta Cheese, Plum Tomatoes, Red Onions"/>
    <x v="25"/>
  </r>
  <r>
    <n v="378"/>
    <n v="157"/>
    <n v="0.25"/>
    <s v="sicilian_m"/>
    <n v="1"/>
    <x v="2"/>
    <x v="2"/>
    <x v="156"/>
    <n v="16.25"/>
    <n v="16.25"/>
    <x v="0"/>
    <x v="2"/>
    <s v="Coarse Sicilian Salami, Tomatoes, Green Olives, Luganega Sausage, Onions, Garlic"/>
    <x v="28"/>
  </r>
  <r>
    <n v="379"/>
    <n v="157"/>
    <n v="0.25"/>
    <s v="spin_pesto_m"/>
    <n v="1"/>
    <x v="2"/>
    <x v="2"/>
    <x v="156"/>
    <n v="16.5"/>
    <n v="16.5"/>
    <x v="0"/>
    <x v="1"/>
    <s v="Spinach, Artichokes, Tomatoes, Sun-dried Tomatoes, Garlic, Pesto Sauce"/>
    <x v="13"/>
  </r>
  <r>
    <n v="380"/>
    <n v="158"/>
    <n v="0.5"/>
    <s v="ital_veggie_m"/>
    <n v="1"/>
    <x v="2"/>
    <x v="2"/>
    <x v="157"/>
    <n v="16.75"/>
    <n v="16.75"/>
    <x v="0"/>
    <x v="1"/>
    <s v="Eggplant, Artichokes, Tomatoes, Zucchini, Red Peppers, Garlic, Pesto Sauce"/>
    <x v="24"/>
  </r>
  <r>
    <n v="381"/>
    <n v="158"/>
    <n v="0.5"/>
    <s v="thai_ckn_m"/>
    <n v="1"/>
    <x v="2"/>
    <x v="2"/>
    <x v="157"/>
    <n v="16.75"/>
    <n v="16.75"/>
    <x v="0"/>
    <x v="3"/>
    <s v="Chicken, Pineapple, Tomatoes, Red Peppers, Thai Sweet Chilli Sauce"/>
    <x v="5"/>
  </r>
  <r>
    <n v="382"/>
    <n v="159"/>
    <n v="0.5"/>
    <s v="four_cheese_l"/>
    <n v="1"/>
    <x v="2"/>
    <x v="2"/>
    <x v="158"/>
    <n v="17.95"/>
    <n v="17.95"/>
    <x v="1"/>
    <x v="1"/>
    <s v="Ricotta Cheese, Gorgonzola Piccante Cheese, Mozzarella Cheese, Parmigiano Reggiano Cheese, Garlic"/>
    <x v="21"/>
  </r>
  <r>
    <n v="383"/>
    <n v="159"/>
    <n v="0.5"/>
    <s v="thai_ckn_m"/>
    <n v="1"/>
    <x v="2"/>
    <x v="2"/>
    <x v="158"/>
    <n v="16.75"/>
    <n v="16.75"/>
    <x v="0"/>
    <x v="3"/>
    <s v="Chicken, Pineapple, Tomatoes, Red Peppers, Thai Sweet Chilli Sauce"/>
    <x v="5"/>
  </r>
  <r>
    <n v="384"/>
    <n v="160"/>
    <n v="1"/>
    <s v="classic_dlx_m"/>
    <n v="1"/>
    <x v="2"/>
    <x v="2"/>
    <x v="159"/>
    <n v="16"/>
    <n v="16"/>
    <x v="0"/>
    <x v="0"/>
    <s v="Pepperoni, Mushrooms, Red Onions, Red Peppers, Bacon"/>
    <x v="1"/>
  </r>
  <r>
    <n v="385"/>
    <n v="161"/>
    <n v="0.33333333333333331"/>
    <s v="hawaiian_s"/>
    <n v="1"/>
    <x v="2"/>
    <x v="2"/>
    <x v="160"/>
    <n v="10.5"/>
    <n v="10.5"/>
    <x v="2"/>
    <x v="0"/>
    <s v="Sliced Ham, Pineapple, Mozzarella Cheese"/>
    <x v="0"/>
  </r>
  <r>
    <n v="386"/>
    <n v="161"/>
    <n v="0.33333333333333331"/>
    <s v="spicy_ital_m"/>
    <n v="1"/>
    <x v="2"/>
    <x v="2"/>
    <x v="160"/>
    <n v="16.5"/>
    <n v="16.5"/>
    <x v="0"/>
    <x v="2"/>
    <s v="Capocollo, Tomatoes, Goat Cheese, Artichokes, Peperoncini verdi, Garlic"/>
    <x v="12"/>
  </r>
  <r>
    <n v="387"/>
    <n v="161"/>
    <n v="0.33333333333333331"/>
    <s v="the_greek_xl"/>
    <n v="1"/>
    <x v="2"/>
    <x v="2"/>
    <x v="160"/>
    <n v="25.5"/>
    <n v="25.5"/>
    <x v="3"/>
    <x v="0"/>
    <s v="Kalamata Olives, Feta Cheese, Tomatoes, Garlic, Beef Chuck Roast, Red Onions"/>
    <x v="8"/>
  </r>
  <r>
    <n v="388"/>
    <n v="162"/>
    <n v="1"/>
    <s v="big_meat_s"/>
    <n v="1"/>
    <x v="2"/>
    <x v="2"/>
    <x v="161"/>
    <n v="12"/>
    <n v="12"/>
    <x v="2"/>
    <x v="0"/>
    <s v="Bacon, Pepperoni, Italian Sausage, Chorizo Sausage"/>
    <x v="19"/>
  </r>
  <r>
    <n v="389"/>
    <n v="163"/>
    <n v="0.33333333333333331"/>
    <s v="hawaiian_m"/>
    <n v="1"/>
    <x v="2"/>
    <x v="2"/>
    <x v="162"/>
    <n v="13.25"/>
    <n v="13.25"/>
    <x v="0"/>
    <x v="0"/>
    <s v="Sliced Ham, Pineapple, Mozzarella Cheese"/>
    <x v="0"/>
  </r>
  <r>
    <n v="390"/>
    <n v="163"/>
    <n v="0.33333333333333331"/>
    <s v="pepperoni_l"/>
    <n v="1"/>
    <x v="2"/>
    <x v="2"/>
    <x v="162"/>
    <n v="15.25"/>
    <n v="15.25"/>
    <x v="1"/>
    <x v="0"/>
    <s v="Mozzarella Cheese, Pepperoni"/>
    <x v="17"/>
  </r>
  <r>
    <n v="391"/>
    <n v="163"/>
    <n v="0.33333333333333331"/>
    <s v="the_greek_m"/>
    <n v="1"/>
    <x v="2"/>
    <x v="2"/>
    <x v="162"/>
    <n v="16"/>
    <n v="16"/>
    <x v="0"/>
    <x v="0"/>
    <s v="Kalamata Olives, Feta Cheese, Tomatoes, Garlic, Beef Chuck Roast, Red Onions"/>
    <x v="8"/>
  </r>
  <r>
    <n v="392"/>
    <n v="164"/>
    <n v="0.5"/>
    <s v="cali_ckn_l"/>
    <n v="1"/>
    <x v="2"/>
    <x v="2"/>
    <x v="163"/>
    <n v="20.75"/>
    <n v="20.75"/>
    <x v="1"/>
    <x v="3"/>
    <s v="Chicken, Artichoke, Spinach, Garlic, Jalapeno Peppers, Fontina Cheese, Gouda Cheese"/>
    <x v="16"/>
  </r>
  <r>
    <n v="393"/>
    <n v="164"/>
    <n v="0.5"/>
    <s v="pepperoni_m"/>
    <n v="1"/>
    <x v="2"/>
    <x v="2"/>
    <x v="163"/>
    <n v="12.5"/>
    <n v="12.5"/>
    <x v="0"/>
    <x v="0"/>
    <s v="Mozzarella Cheese, Pepperoni"/>
    <x v="17"/>
  </r>
  <r>
    <n v="394"/>
    <n v="165"/>
    <n v="1"/>
    <s v="prsc_argla_m"/>
    <n v="1"/>
    <x v="2"/>
    <x v="2"/>
    <x v="164"/>
    <n v="16.5"/>
    <n v="16.5"/>
    <x v="0"/>
    <x v="2"/>
    <s v="Prosciutto di San Daniele, Arugula, Mozzarella Cheese"/>
    <x v="6"/>
  </r>
  <r>
    <n v="395"/>
    <n v="166"/>
    <n v="1"/>
    <s v="prsc_argla_s"/>
    <n v="1"/>
    <x v="2"/>
    <x v="2"/>
    <x v="165"/>
    <n v="12.5"/>
    <n v="12.5"/>
    <x v="2"/>
    <x v="2"/>
    <s v="Prosciutto di San Daniele, Arugula, Mozzarella Cheese"/>
    <x v="6"/>
  </r>
  <r>
    <n v="396"/>
    <n v="167"/>
    <n v="0.33333333333333331"/>
    <s v="bbq_ckn_l"/>
    <n v="1"/>
    <x v="2"/>
    <x v="2"/>
    <x v="166"/>
    <n v="20.75"/>
    <n v="20.75"/>
    <x v="1"/>
    <x v="3"/>
    <s v="Barbecued Chicken, Red Peppers, Green Peppers, Tomatoes, Red Onions, Barbecue Sauce"/>
    <x v="7"/>
  </r>
  <r>
    <n v="397"/>
    <n v="167"/>
    <n v="0.33333333333333331"/>
    <s v="ital_supr_m"/>
    <n v="1"/>
    <x v="2"/>
    <x v="2"/>
    <x v="166"/>
    <n v="16.5"/>
    <n v="16.5"/>
    <x v="0"/>
    <x v="2"/>
    <s v="Calabrese Salami, Capocollo, Tomatoes, Red Onions, Green Olives, Garlic"/>
    <x v="3"/>
  </r>
  <r>
    <n v="398"/>
    <n v="167"/>
    <n v="0.33333333333333331"/>
    <s v="pepperoni_m"/>
    <n v="1"/>
    <x v="2"/>
    <x v="2"/>
    <x v="166"/>
    <n v="12.5"/>
    <n v="12.5"/>
    <x v="0"/>
    <x v="0"/>
    <s v="Mozzarella Cheese, Pepperoni"/>
    <x v="17"/>
  </r>
  <r>
    <n v="399"/>
    <n v="168"/>
    <n v="0.5"/>
    <s v="big_meat_s"/>
    <n v="1"/>
    <x v="2"/>
    <x v="2"/>
    <x v="167"/>
    <n v="12"/>
    <n v="12"/>
    <x v="2"/>
    <x v="0"/>
    <s v="Bacon, Pepperoni, Italian Sausage, Chorizo Sausage"/>
    <x v="19"/>
  </r>
  <r>
    <n v="400"/>
    <n v="168"/>
    <n v="0.5"/>
    <s v="veggie_veg_m"/>
    <n v="1"/>
    <x v="2"/>
    <x v="2"/>
    <x v="167"/>
    <n v="16"/>
    <n v="16"/>
    <x v="0"/>
    <x v="1"/>
    <s v="Mushrooms, Tomatoes, Red Peppers, Green Peppers, Red Onions, Zucchini, Spinach, Garlic"/>
    <x v="14"/>
  </r>
  <r>
    <n v="401"/>
    <n v="169"/>
    <n v="0.33333333333333331"/>
    <s v="four_cheese_l"/>
    <n v="1"/>
    <x v="2"/>
    <x v="2"/>
    <x v="168"/>
    <n v="17.95"/>
    <n v="17.95"/>
    <x v="1"/>
    <x v="1"/>
    <s v="Ricotta Cheese, Gorgonzola Piccante Cheese, Mozzarella Cheese, Parmigiano Reggiano Cheese, Garlic"/>
    <x v="21"/>
  </r>
  <r>
    <n v="402"/>
    <n v="169"/>
    <n v="0.33333333333333331"/>
    <s v="ital_cpcllo_s"/>
    <n v="1"/>
    <x v="2"/>
    <x v="2"/>
    <x v="168"/>
    <n v="12"/>
    <n v="12"/>
    <x v="2"/>
    <x v="0"/>
    <s v="Capocollo, Red Peppers, Tomatoes, Goat Cheese, Garlic, Oregano"/>
    <x v="11"/>
  </r>
  <r>
    <n v="403"/>
    <n v="169"/>
    <n v="0.33333333333333331"/>
    <s v="sicilian_m"/>
    <n v="1"/>
    <x v="2"/>
    <x v="2"/>
    <x v="168"/>
    <n v="16.25"/>
    <n v="16.25"/>
    <x v="0"/>
    <x v="2"/>
    <s v="Coarse Sicilian Salami, Tomatoes, Green Olives, Luganega Sausage, Onions, Garlic"/>
    <x v="28"/>
  </r>
  <r>
    <n v="404"/>
    <n v="170"/>
    <n v="1"/>
    <s v="hawaiian_l"/>
    <n v="1"/>
    <x v="2"/>
    <x v="2"/>
    <x v="169"/>
    <n v="16.5"/>
    <n v="16.5"/>
    <x v="1"/>
    <x v="0"/>
    <s v="Sliced Ham, Pineapple, Mozzarella Cheese"/>
    <x v="0"/>
  </r>
  <r>
    <n v="405"/>
    <n v="171"/>
    <n v="1"/>
    <s v="napolitana_m"/>
    <n v="1"/>
    <x v="2"/>
    <x v="2"/>
    <x v="170"/>
    <n v="16"/>
    <n v="16"/>
    <x v="0"/>
    <x v="0"/>
    <s v="Tomatoes, Anchovies, Green Olives, Red Onions, Garlic"/>
    <x v="22"/>
  </r>
  <r>
    <n v="406"/>
    <n v="172"/>
    <n v="0.33333333333333331"/>
    <s v="napolitana_s"/>
    <n v="1"/>
    <x v="2"/>
    <x v="2"/>
    <x v="171"/>
    <n v="12"/>
    <n v="12"/>
    <x v="2"/>
    <x v="0"/>
    <s v="Tomatoes, Anchovies, Green Olives, Red Onions, Garlic"/>
    <x v="22"/>
  </r>
  <r>
    <n v="407"/>
    <n v="172"/>
    <n v="0.33333333333333331"/>
    <s v="spinach_supr_m"/>
    <n v="1"/>
    <x v="2"/>
    <x v="2"/>
    <x v="171"/>
    <n v="16.5"/>
    <n v="16.5"/>
    <x v="0"/>
    <x v="2"/>
    <s v="Spinach, Red Onions, Pepperoni, Tomatoes, Artichokes, Kalamata Olives, Garlic, Asiago Cheese"/>
    <x v="9"/>
  </r>
  <r>
    <n v="408"/>
    <n v="172"/>
    <n v="0.33333333333333331"/>
    <s v="thai_ckn_l"/>
    <n v="1"/>
    <x v="2"/>
    <x v="2"/>
    <x v="171"/>
    <n v="20.75"/>
    <n v="20.75"/>
    <x v="1"/>
    <x v="3"/>
    <s v="Chicken, Pineapple, Tomatoes, Red Peppers, Thai Sweet Chilli Sauce"/>
    <x v="5"/>
  </r>
  <r>
    <n v="409"/>
    <n v="173"/>
    <n v="0.33333333333333331"/>
    <s v="cali_ckn_m"/>
    <n v="1"/>
    <x v="2"/>
    <x v="2"/>
    <x v="172"/>
    <n v="16.75"/>
    <n v="16.75"/>
    <x v="0"/>
    <x v="3"/>
    <s v="Chicken, Artichoke, Spinach, Garlic, Jalapeno Peppers, Fontina Cheese, Gouda Cheese"/>
    <x v="16"/>
  </r>
  <r>
    <n v="410"/>
    <n v="173"/>
    <n v="0.33333333333333331"/>
    <s v="classic_dlx_m"/>
    <n v="1"/>
    <x v="2"/>
    <x v="2"/>
    <x v="172"/>
    <n v="16"/>
    <n v="16"/>
    <x v="0"/>
    <x v="0"/>
    <s v="Pepperoni, Mushrooms, Red Onions, Red Peppers, Bacon"/>
    <x v="1"/>
  </r>
  <r>
    <n v="411"/>
    <n v="173"/>
    <n v="0.33333333333333331"/>
    <s v="veggie_veg_l"/>
    <n v="1"/>
    <x v="2"/>
    <x v="2"/>
    <x v="172"/>
    <n v="20.25"/>
    <n v="20.25"/>
    <x v="1"/>
    <x v="1"/>
    <s v="Mushrooms, Tomatoes, Red Peppers, Green Peppers, Red Onions, Zucchini, Spinach, Garlic"/>
    <x v="14"/>
  </r>
  <r>
    <n v="412"/>
    <n v="174"/>
    <n v="0.25"/>
    <s v="big_meat_s"/>
    <n v="1"/>
    <x v="2"/>
    <x v="2"/>
    <x v="173"/>
    <n v="12"/>
    <n v="12"/>
    <x v="2"/>
    <x v="0"/>
    <s v="Bacon, Pepperoni, Italian Sausage, Chorizo Sausage"/>
    <x v="19"/>
  </r>
  <r>
    <n v="413"/>
    <n v="174"/>
    <n v="0.25"/>
    <s v="cali_ckn_l"/>
    <n v="1"/>
    <x v="2"/>
    <x v="2"/>
    <x v="173"/>
    <n v="20.75"/>
    <n v="20.75"/>
    <x v="1"/>
    <x v="3"/>
    <s v="Chicken, Artichoke, Spinach, Garlic, Jalapeno Peppers, Fontina Cheese, Gouda Cheese"/>
    <x v="16"/>
  </r>
  <r>
    <n v="414"/>
    <n v="174"/>
    <n v="0.25"/>
    <s v="cali_ckn_m"/>
    <n v="1"/>
    <x v="2"/>
    <x v="2"/>
    <x v="173"/>
    <n v="16.75"/>
    <n v="16.75"/>
    <x v="0"/>
    <x v="3"/>
    <s v="Chicken, Artichoke, Spinach, Garlic, Jalapeno Peppers, Fontina Cheese, Gouda Cheese"/>
    <x v="16"/>
  </r>
  <r>
    <n v="415"/>
    <n v="174"/>
    <n v="0.25"/>
    <s v="ital_cpcllo_m"/>
    <n v="1"/>
    <x v="2"/>
    <x v="2"/>
    <x v="173"/>
    <n v="16"/>
    <n v="16"/>
    <x v="0"/>
    <x v="0"/>
    <s v="Capocollo, Red Peppers, Tomatoes, Goat Cheese, Garlic, Oregano"/>
    <x v="11"/>
  </r>
  <r>
    <n v="416"/>
    <n v="175"/>
    <n v="1"/>
    <s v="ital_supr_l"/>
    <n v="1"/>
    <x v="2"/>
    <x v="2"/>
    <x v="174"/>
    <n v="20.75"/>
    <n v="20.75"/>
    <x v="1"/>
    <x v="2"/>
    <s v="Calabrese Salami, Capocollo, Tomatoes, Red Onions, Green Olives, Garlic"/>
    <x v="3"/>
  </r>
  <r>
    <n v="417"/>
    <n v="176"/>
    <n v="0.5"/>
    <s v="cali_ckn_l"/>
    <n v="1"/>
    <x v="2"/>
    <x v="2"/>
    <x v="175"/>
    <n v="20.75"/>
    <n v="20.75"/>
    <x v="1"/>
    <x v="3"/>
    <s v="Chicken, Artichoke, Spinach, Garlic, Jalapeno Peppers, Fontina Cheese, Gouda Cheese"/>
    <x v="16"/>
  </r>
  <r>
    <n v="418"/>
    <n v="176"/>
    <n v="0.5"/>
    <s v="peppr_salami_m"/>
    <n v="1"/>
    <x v="2"/>
    <x v="2"/>
    <x v="175"/>
    <n v="16.5"/>
    <n v="16.5"/>
    <x v="0"/>
    <x v="2"/>
    <s v="Genoa Salami, Capocollo, Pepperoni, Tomatoes, Asiago Cheese, Garlic"/>
    <x v="26"/>
  </r>
  <r>
    <n v="419"/>
    <n v="177"/>
    <n v="0.5"/>
    <s v="napolitana_s"/>
    <n v="1"/>
    <x v="2"/>
    <x v="2"/>
    <x v="176"/>
    <n v="12"/>
    <n v="12"/>
    <x v="2"/>
    <x v="0"/>
    <s v="Tomatoes, Anchovies, Green Olives, Red Onions, Garlic"/>
    <x v="22"/>
  </r>
  <r>
    <n v="420"/>
    <n v="177"/>
    <n v="0.5"/>
    <s v="thai_ckn_l"/>
    <n v="1"/>
    <x v="2"/>
    <x v="2"/>
    <x v="176"/>
    <n v="20.75"/>
    <n v="20.75"/>
    <x v="1"/>
    <x v="3"/>
    <s v="Chicken, Pineapple, Tomatoes, Red Peppers, Thai Sweet Chilli Sauce"/>
    <x v="5"/>
  </r>
  <r>
    <n v="421"/>
    <n v="178"/>
    <n v="1"/>
    <s v="peppr_salami_l"/>
    <n v="1"/>
    <x v="2"/>
    <x v="2"/>
    <x v="177"/>
    <n v="20.75"/>
    <n v="20.75"/>
    <x v="1"/>
    <x v="2"/>
    <s v="Genoa Salami, Capocollo, Pepperoni, Tomatoes, Asiago Cheese, Garlic"/>
    <x v="26"/>
  </r>
  <r>
    <n v="422"/>
    <n v="179"/>
    <n v="0.33333333333333331"/>
    <s v="hawaiian_l"/>
    <n v="1"/>
    <x v="2"/>
    <x v="2"/>
    <x v="178"/>
    <n v="16.5"/>
    <n v="16.5"/>
    <x v="1"/>
    <x v="0"/>
    <s v="Sliced Ham, Pineapple, Mozzarella Cheese"/>
    <x v="0"/>
  </r>
  <r>
    <n v="423"/>
    <n v="179"/>
    <n v="0.33333333333333331"/>
    <s v="sicilian_m"/>
    <n v="1"/>
    <x v="2"/>
    <x v="2"/>
    <x v="178"/>
    <n v="16.25"/>
    <n v="16.25"/>
    <x v="0"/>
    <x v="2"/>
    <s v="Coarse Sicilian Salami, Tomatoes, Green Olives, Luganega Sausage, Onions, Garlic"/>
    <x v="28"/>
  </r>
  <r>
    <n v="424"/>
    <n v="179"/>
    <n v="0.33333333333333331"/>
    <s v="veggie_veg_s"/>
    <n v="1"/>
    <x v="2"/>
    <x v="2"/>
    <x v="178"/>
    <n v="12"/>
    <n v="12"/>
    <x v="2"/>
    <x v="1"/>
    <s v="Mushrooms, Tomatoes, Red Peppers, Green Peppers, Red Onions, Zucchini, Spinach, Garlic"/>
    <x v="14"/>
  </r>
  <r>
    <n v="425"/>
    <n v="180"/>
    <n v="0.5"/>
    <s v="classic_dlx_l"/>
    <n v="1"/>
    <x v="2"/>
    <x v="2"/>
    <x v="179"/>
    <n v="20.5"/>
    <n v="20.5"/>
    <x v="1"/>
    <x v="0"/>
    <s v="Pepperoni, Mushrooms, Red Onions, Red Peppers, Bacon"/>
    <x v="1"/>
  </r>
  <r>
    <n v="426"/>
    <n v="180"/>
    <n v="0.5"/>
    <s v="prsc_argla_l"/>
    <n v="1"/>
    <x v="2"/>
    <x v="2"/>
    <x v="179"/>
    <n v="20.75"/>
    <n v="20.75"/>
    <x v="1"/>
    <x v="2"/>
    <s v="Prosciutto di San Daniele, Arugula, Mozzarella Cheese"/>
    <x v="6"/>
  </r>
  <r>
    <n v="427"/>
    <n v="181"/>
    <n v="1"/>
    <s v="mexicana_l"/>
    <n v="1"/>
    <x v="2"/>
    <x v="2"/>
    <x v="180"/>
    <n v="20.25"/>
    <n v="20.25"/>
    <x v="1"/>
    <x v="1"/>
    <s v="Tomatoes, Red Peppers, Jalapeno Peppers, Red Onions, Cilantro, Corn, Chipotle Sauce, Garlic"/>
    <x v="4"/>
  </r>
  <r>
    <n v="428"/>
    <n v="182"/>
    <n v="0.5"/>
    <s v="brie_carre_s"/>
    <n v="1"/>
    <x v="2"/>
    <x v="2"/>
    <x v="181"/>
    <n v="23.65"/>
    <n v="23.65"/>
    <x v="2"/>
    <x v="2"/>
    <s v="Brie Carre Cheese, Prosciutto, Caramelized Onions, Pears, Thyme, Garlic"/>
    <x v="31"/>
  </r>
  <r>
    <n v="429"/>
    <n v="182"/>
    <n v="0.5"/>
    <s v="peppr_salami_l"/>
    <n v="1"/>
    <x v="2"/>
    <x v="2"/>
    <x v="181"/>
    <n v="20.75"/>
    <n v="20.75"/>
    <x v="1"/>
    <x v="2"/>
    <s v="Genoa Salami, Capocollo, Pepperoni, Tomatoes, Asiago Cheese, Garlic"/>
    <x v="26"/>
  </r>
  <r>
    <n v="430"/>
    <n v="183"/>
    <n v="0.33333333333333331"/>
    <s v="napolitana_m"/>
    <n v="1"/>
    <x v="2"/>
    <x v="2"/>
    <x v="182"/>
    <n v="16"/>
    <n v="16"/>
    <x v="0"/>
    <x v="0"/>
    <s v="Tomatoes, Anchovies, Green Olives, Red Onions, Garlic"/>
    <x v="22"/>
  </r>
  <r>
    <n v="431"/>
    <n v="183"/>
    <n v="0.33333333333333331"/>
    <s v="spin_pesto_l"/>
    <n v="1"/>
    <x v="2"/>
    <x v="2"/>
    <x v="182"/>
    <n v="20.75"/>
    <n v="20.75"/>
    <x v="1"/>
    <x v="1"/>
    <s v="Spinach, Artichokes, Tomatoes, Sun-dried Tomatoes, Garlic, Pesto Sauce"/>
    <x v="13"/>
  </r>
  <r>
    <n v="432"/>
    <n v="183"/>
    <n v="0.33333333333333331"/>
    <s v="spin_pesto_s"/>
    <n v="1"/>
    <x v="2"/>
    <x v="2"/>
    <x v="182"/>
    <n v="12.5"/>
    <n v="12.5"/>
    <x v="2"/>
    <x v="1"/>
    <s v="Spinach, Artichokes, Tomatoes, Sun-dried Tomatoes, Garlic, Pesto Sauce"/>
    <x v="13"/>
  </r>
  <r>
    <n v="433"/>
    <n v="184"/>
    <n v="1"/>
    <s v="hawaiian_l"/>
    <n v="1"/>
    <x v="2"/>
    <x v="2"/>
    <x v="183"/>
    <n v="16.5"/>
    <n v="16.5"/>
    <x v="1"/>
    <x v="0"/>
    <s v="Sliced Ham, Pineapple, Mozzarella Cheese"/>
    <x v="0"/>
  </r>
  <r>
    <n v="434"/>
    <n v="185"/>
    <n v="0.5"/>
    <s v="sicilian_m"/>
    <n v="1"/>
    <x v="2"/>
    <x v="2"/>
    <x v="184"/>
    <n v="16.25"/>
    <n v="16.25"/>
    <x v="0"/>
    <x v="2"/>
    <s v="Coarse Sicilian Salami, Tomatoes, Green Olives, Luganega Sausage, Onions, Garlic"/>
    <x v="28"/>
  </r>
  <r>
    <n v="435"/>
    <n v="185"/>
    <n v="0.5"/>
    <s v="spin_pesto_s"/>
    <n v="1"/>
    <x v="2"/>
    <x v="2"/>
    <x v="184"/>
    <n v="12.5"/>
    <n v="12.5"/>
    <x v="2"/>
    <x v="1"/>
    <s v="Spinach, Artichokes, Tomatoes, Sun-dried Tomatoes, Garlic, Pesto Sauce"/>
    <x v="13"/>
  </r>
  <r>
    <n v="436"/>
    <n v="186"/>
    <n v="0.25"/>
    <s v="mexicana_l"/>
    <n v="1"/>
    <x v="2"/>
    <x v="2"/>
    <x v="185"/>
    <n v="20.25"/>
    <n v="20.25"/>
    <x v="1"/>
    <x v="1"/>
    <s v="Tomatoes, Red Peppers, Jalapeno Peppers, Red Onions, Cilantro, Corn, Chipotle Sauce, Garlic"/>
    <x v="4"/>
  </r>
  <r>
    <n v="437"/>
    <n v="186"/>
    <n v="0.25"/>
    <s v="southw_ckn_l"/>
    <n v="1"/>
    <x v="2"/>
    <x v="2"/>
    <x v="185"/>
    <n v="20.75"/>
    <n v="20.75"/>
    <x v="1"/>
    <x v="3"/>
    <s v="Chicken, Tomatoes, Red Peppers, Red Onions, Jalapeno Peppers, Corn, Cilantro, Chipotle Sauce"/>
    <x v="15"/>
  </r>
  <r>
    <n v="438"/>
    <n v="186"/>
    <n v="0.25"/>
    <s v="spin_pesto_l"/>
    <n v="1"/>
    <x v="2"/>
    <x v="2"/>
    <x v="185"/>
    <n v="20.75"/>
    <n v="20.75"/>
    <x v="1"/>
    <x v="1"/>
    <s v="Spinach, Artichokes, Tomatoes, Sun-dried Tomatoes, Garlic, Pesto Sauce"/>
    <x v="13"/>
  </r>
  <r>
    <n v="439"/>
    <n v="186"/>
    <n v="0.25"/>
    <s v="thai_ckn_l"/>
    <n v="1"/>
    <x v="2"/>
    <x v="2"/>
    <x v="185"/>
    <n v="20.75"/>
    <n v="20.75"/>
    <x v="1"/>
    <x v="3"/>
    <s v="Chicken, Pineapple, Tomatoes, Red Peppers, Thai Sweet Chilli Sauce"/>
    <x v="5"/>
  </r>
  <r>
    <n v="440"/>
    <n v="187"/>
    <n v="0.5"/>
    <s v="five_cheese_l"/>
    <n v="1"/>
    <x v="2"/>
    <x v="2"/>
    <x v="186"/>
    <n v="18.5"/>
    <n v="18.5"/>
    <x v="1"/>
    <x v="1"/>
    <s v="Mozzarella Cheese, Provolone Cheese, Smoked Gouda Cheese, Romano Cheese, Blue Cheese, Garlic"/>
    <x v="2"/>
  </r>
  <r>
    <n v="441"/>
    <n v="187"/>
    <n v="0.5"/>
    <s v="spin_pesto_l"/>
    <n v="1"/>
    <x v="2"/>
    <x v="2"/>
    <x v="186"/>
    <n v="20.75"/>
    <n v="20.75"/>
    <x v="1"/>
    <x v="1"/>
    <s v="Spinach, Artichokes, Tomatoes, Sun-dried Tomatoes, Garlic, Pesto Sauce"/>
    <x v="13"/>
  </r>
  <r>
    <n v="442"/>
    <n v="188"/>
    <n v="0.33333333333333331"/>
    <s v="five_cheese_l"/>
    <n v="1"/>
    <x v="2"/>
    <x v="2"/>
    <x v="187"/>
    <n v="18.5"/>
    <n v="18.5"/>
    <x v="1"/>
    <x v="1"/>
    <s v="Mozzarella Cheese, Provolone Cheese, Smoked Gouda Cheese, Romano Cheese, Blue Cheese, Garlic"/>
    <x v="2"/>
  </r>
  <r>
    <n v="443"/>
    <n v="188"/>
    <n v="0.33333333333333331"/>
    <s v="pepperoni_s"/>
    <n v="1"/>
    <x v="2"/>
    <x v="2"/>
    <x v="187"/>
    <n v="9.75"/>
    <n v="9.75"/>
    <x v="2"/>
    <x v="0"/>
    <s v="Mozzarella Cheese, Pepperoni"/>
    <x v="17"/>
  </r>
  <r>
    <n v="444"/>
    <n v="188"/>
    <n v="0.33333333333333331"/>
    <s v="peppr_salami_l"/>
    <n v="1"/>
    <x v="2"/>
    <x v="2"/>
    <x v="187"/>
    <n v="20.75"/>
    <n v="20.75"/>
    <x v="1"/>
    <x v="2"/>
    <s v="Genoa Salami, Capocollo, Pepperoni, Tomatoes, Asiago Cheese, Garlic"/>
    <x v="26"/>
  </r>
  <r>
    <n v="445"/>
    <n v="189"/>
    <n v="0.5"/>
    <s v="big_meat_s"/>
    <n v="2"/>
    <x v="2"/>
    <x v="2"/>
    <x v="188"/>
    <n v="12"/>
    <n v="24"/>
    <x v="2"/>
    <x v="0"/>
    <s v="Bacon, Pepperoni, Italian Sausage, Chorizo Sausage"/>
    <x v="19"/>
  </r>
  <r>
    <n v="446"/>
    <n v="189"/>
    <n v="0.5"/>
    <s v="thai_ckn_s"/>
    <n v="1"/>
    <x v="2"/>
    <x v="2"/>
    <x v="188"/>
    <n v="12.75"/>
    <n v="12.75"/>
    <x v="2"/>
    <x v="3"/>
    <s v="Chicken, Pineapple, Tomatoes, Red Peppers, Thai Sweet Chilli Sauce"/>
    <x v="5"/>
  </r>
  <r>
    <n v="447"/>
    <n v="190"/>
    <n v="0.25"/>
    <s v="bbq_ckn_l"/>
    <n v="1"/>
    <x v="2"/>
    <x v="2"/>
    <x v="189"/>
    <n v="20.75"/>
    <n v="20.75"/>
    <x v="1"/>
    <x v="3"/>
    <s v="Barbecued Chicken, Red Peppers, Green Peppers, Tomatoes, Red Onions, Barbecue Sauce"/>
    <x v="7"/>
  </r>
  <r>
    <n v="448"/>
    <n v="190"/>
    <n v="0.25"/>
    <s v="four_cheese_m"/>
    <n v="1"/>
    <x v="2"/>
    <x v="2"/>
    <x v="189"/>
    <n v="14.75"/>
    <n v="14.75"/>
    <x v="0"/>
    <x v="1"/>
    <s v="Ricotta Cheese, Gorgonzola Piccante Cheese, Mozzarella Cheese, Parmigiano Reggiano Cheese, Garlic"/>
    <x v="21"/>
  </r>
  <r>
    <n v="449"/>
    <n v="190"/>
    <n v="0.25"/>
    <s v="pep_msh_pep_s"/>
    <n v="1"/>
    <x v="2"/>
    <x v="2"/>
    <x v="189"/>
    <n v="11"/>
    <n v="11"/>
    <x v="2"/>
    <x v="0"/>
    <s v="Pepperoni, Mushrooms, Green Peppers"/>
    <x v="30"/>
  </r>
  <r>
    <n v="450"/>
    <n v="190"/>
    <n v="0.25"/>
    <s v="prsc_argla_l"/>
    <n v="1"/>
    <x v="2"/>
    <x v="2"/>
    <x v="189"/>
    <n v="20.75"/>
    <n v="20.75"/>
    <x v="1"/>
    <x v="2"/>
    <s v="Prosciutto di San Daniele, Arugula, Mozzarella Cheese"/>
    <x v="6"/>
  </r>
  <r>
    <n v="451"/>
    <n v="191"/>
    <n v="0.5"/>
    <s v="cali_ckn_l"/>
    <n v="1"/>
    <x v="2"/>
    <x v="2"/>
    <x v="190"/>
    <n v="20.75"/>
    <n v="20.75"/>
    <x v="1"/>
    <x v="3"/>
    <s v="Chicken, Artichoke, Spinach, Garlic, Jalapeno Peppers, Fontina Cheese, Gouda Cheese"/>
    <x v="16"/>
  </r>
  <r>
    <n v="452"/>
    <n v="191"/>
    <n v="0.5"/>
    <s v="ckn_alfredo_m"/>
    <n v="1"/>
    <x v="2"/>
    <x v="2"/>
    <x v="190"/>
    <n v="16.75"/>
    <n v="16.75"/>
    <x v="0"/>
    <x v="3"/>
    <s v="Chicken, Red Onions, Red Peppers, Mushrooms, Asiago Cheese, Alfredo Sauce"/>
    <x v="29"/>
  </r>
  <r>
    <n v="453"/>
    <n v="192"/>
    <n v="0.5"/>
    <s v="sicilian_s"/>
    <n v="1"/>
    <x v="2"/>
    <x v="2"/>
    <x v="191"/>
    <n v="12.25"/>
    <n v="12.25"/>
    <x v="2"/>
    <x v="2"/>
    <s v="Coarse Sicilian Salami, Tomatoes, Green Olives, Luganega Sausage, Onions, Garlic"/>
    <x v="28"/>
  </r>
  <r>
    <n v="454"/>
    <n v="192"/>
    <n v="0.5"/>
    <s v="southw_ckn_l"/>
    <n v="1"/>
    <x v="2"/>
    <x v="2"/>
    <x v="191"/>
    <n v="20.75"/>
    <n v="20.75"/>
    <x v="1"/>
    <x v="3"/>
    <s v="Chicken, Tomatoes, Red Peppers, Red Onions, Jalapeno Peppers, Corn, Cilantro, Chipotle Sauce"/>
    <x v="15"/>
  </r>
  <r>
    <n v="455"/>
    <n v="193"/>
    <n v="0.33333333333333331"/>
    <s v="big_meat_s"/>
    <n v="1"/>
    <x v="2"/>
    <x v="2"/>
    <x v="192"/>
    <n v="12"/>
    <n v="12"/>
    <x v="2"/>
    <x v="0"/>
    <s v="Bacon, Pepperoni, Italian Sausage, Chorizo Sausage"/>
    <x v="19"/>
  </r>
  <r>
    <n v="456"/>
    <n v="193"/>
    <n v="0.33333333333333331"/>
    <s v="cali_ckn_m"/>
    <n v="1"/>
    <x v="2"/>
    <x v="2"/>
    <x v="192"/>
    <n v="16.75"/>
    <n v="16.75"/>
    <x v="0"/>
    <x v="3"/>
    <s v="Chicken, Artichoke, Spinach, Garlic, Jalapeno Peppers, Fontina Cheese, Gouda Cheese"/>
    <x v="16"/>
  </r>
  <r>
    <n v="457"/>
    <n v="193"/>
    <n v="0.33333333333333331"/>
    <s v="ckn_alfredo_l"/>
    <n v="2"/>
    <x v="2"/>
    <x v="2"/>
    <x v="192"/>
    <n v="20.75"/>
    <n v="41.5"/>
    <x v="1"/>
    <x v="3"/>
    <s v="Chicken, Red Onions, Red Peppers, Mushrooms, Asiago Cheese, Alfredo Sauce"/>
    <x v="29"/>
  </r>
  <r>
    <n v="458"/>
    <n v="194"/>
    <n v="1"/>
    <s v="bbq_ckn_s"/>
    <n v="1"/>
    <x v="2"/>
    <x v="2"/>
    <x v="193"/>
    <n v="12.75"/>
    <n v="12.75"/>
    <x v="2"/>
    <x v="3"/>
    <s v="Barbecued Chicken, Red Peppers, Green Peppers, Tomatoes, Red Onions, Barbecue Sauce"/>
    <x v="7"/>
  </r>
  <r>
    <n v="459"/>
    <n v="195"/>
    <n v="1"/>
    <s v="bbq_ckn_l"/>
    <n v="1"/>
    <x v="2"/>
    <x v="2"/>
    <x v="194"/>
    <n v="20.75"/>
    <n v="20.75"/>
    <x v="1"/>
    <x v="3"/>
    <s v="Barbecued Chicken, Red Peppers, Green Peppers, Tomatoes, Red Onions, Barbecue Sauce"/>
    <x v="7"/>
  </r>
  <r>
    <n v="460"/>
    <n v="196"/>
    <n v="0.33333333333333331"/>
    <s v="sicilian_s"/>
    <n v="1"/>
    <x v="2"/>
    <x v="2"/>
    <x v="195"/>
    <n v="12.25"/>
    <n v="12.25"/>
    <x v="2"/>
    <x v="2"/>
    <s v="Coarse Sicilian Salami, Tomatoes, Green Olives, Luganega Sausage, Onions, Garlic"/>
    <x v="28"/>
  </r>
  <r>
    <n v="461"/>
    <n v="196"/>
    <n v="0.33333333333333331"/>
    <s v="spicy_ital_m"/>
    <n v="1"/>
    <x v="2"/>
    <x v="2"/>
    <x v="195"/>
    <n v="16.5"/>
    <n v="16.5"/>
    <x v="0"/>
    <x v="2"/>
    <s v="Capocollo, Tomatoes, Goat Cheese, Artichokes, Peperoncini verdi, Garlic"/>
    <x v="12"/>
  </r>
  <r>
    <n v="462"/>
    <n v="196"/>
    <n v="0.33333333333333331"/>
    <s v="veggie_veg_m"/>
    <n v="1"/>
    <x v="2"/>
    <x v="2"/>
    <x v="195"/>
    <n v="16"/>
    <n v="16"/>
    <x v="0"/>
    <x v="1"/>
    <s v="Mushrooms, Tomatoes, Red Peppers, Green Peppers, Red Onions, Zucchini, Spinach, Garlic"/>
    <x v="14"/>
  </r>
  <r>
    <n v="463"/>
    <n v="197"/>
    <n v="0.25"/>
    <s v="four_cheese_l"/>
    <n v="1"/>
    <x v="2"/>
    <x v="2"/>
    <x v="196"/>
    <n v="17.95"/>
    <n v="17.95"/>
    <x v="1"/>
    <x v="1"/>
    <s v="Ricotta Cheese, Gorgonzola Piccante Cheese, Mozzarella Cheese, Parmigiano Reggiano Cheese, Garlic"/>
    <x v="21"/>
  </r>
  <r>
    <n v="464"/>
    <n v="197"/>
    <n v="0.25"/>
    <s v="ital_cpcllo_l"/>
    <n v="1"/>
    <x v="2"/>
    <x v="2"/>
    <x v="196"/>
    <n v="20.5"/>
    <n v="20.5"/>
    <x v="1"/>
    <x v="0"/>
    <s v="Capocollo, Red Peppers, Tomatoes, Goat Cheese, Garlic, Oregano"/>
    <x v="11"/>
  </r>
  <r>
    <n v="465"/>
    <n v="197"/>
    <n v="0.25"/>
    <s v="ital_veggie_l"/>
    <n v="1"/>
    <x v="2"/>
    <x v="2"/>
    <x v="196"/>
    <n v="21"/>
    <n v="21"/>
    <x v="1"/>
    <x v="1"/>
    <s v="Eggplant, Artichokes, Tomatoes, Zucchini, Red Peppers, Garlic, Pesto Sauce"/>
    <x v="24"/>
  </r>
  <r>
    <n v="466"/>
    <n v="197"/>
    <n v="0.25"/>
    <s v="soppressata_l"/>
    <n v="1"/>
    <x v="2"/>
    <x v="2"/>
    <x v="196"/>
    <n v="20.75"/>
    <n v="20.75"/>
    <x v="1"/>
    <x v="2"/>
    <s v="Soppressata Salami, Fontina Cheese, Mozzarella Cheese, Mushrooms, Garlic"/>
    <x v="20"/>
  </r>
  <r>
    <n v="467"/>
    <n v="198"/>
    <n v="0.5"/>
    <s v="big_meat_s"/>
    <n v="1"/>
    <x v="2"/>
    <x v="2"/>
    <x v="197"/>
    <n v="12"/>
    <n v="12"/>
    <x v="2"/>
    <x v="0"/>
    <s v="Bacon, Pepperoni, Italian Sausage, Chorizo Sausage"/>
    <x v="19"/>
  </r>
  <r>
    <n v="468"/>
    <n v="198"/>
    <n v="0.5"/>
    <s v="ckn_alfredo_l"/>
    <n v="1"/>
    <x v="2"/>
    <x v="2"/>
    <x v="197"/>
    <n v="20.75"/>
    <n v="20.75"/>
    <x v="1"/>
    <x v="3"/>
    <s v="Chicken, Red Onions, Red Peppers, Mushrooms, Asiago Cheese, Alfredo Sauce"/>
    <x v="29"/>
  </r>
  <r>
    <n v="469"/>
    <n v="199"/>
    <n v="1"/>
    <s v="ckn_alfredo_m"/>
    <n v="1"/>
    <x v="2"/>
    <x v="2"/>
    <x v="198"/>
    <n v="16.75"/>
    <n v="16.75"/>
    <x v="0"/>
    <x v="3"/>
    <s v="Chicken, Red Onions, Red Peppers, Mushrooms, Asiago Cheese, Alfredo Sauce"/>
    <x v="29"/>
  </r>
  <r>
    <n v="470"/>
    <n v="200"/>
    <n v="1"/>
    <s v="the_greek_xl"/>
    <n v="1"/>
    <x v="2"/>
    <x v="2"/>
    <x v="199"/>
    <n v="25.5"/>
    <n v="25.5"/>
    <x v="3"/>
    <x v="0"/>
    <s v="Kalamata Olives, Feta Cheese, Tomatoes, Garlic, Beef Chuck Roast, Red Onions"/>
    <x v="8"/>
  </r>
  <r>
    <n v="471"/>
    <n v="201"/>
    <n v="0.25"/>
    <s v="calabrese_m"/>
    <n v="1"/>
    <x v="2"/>
    <x v="2"/>
    <x v="200"/>
    <n v="16.25"/>
    <n v="16.25"/>
    <x v="0"/>
    <x v="2"/>
    <s v="?duja Salami, Pancetta, Tomatoes, Red Onions, Friggitello Peppers, Garlic"/>
    <x v="23"/>
  </r>
  <r>
    <n v="472"/>
    <n v="201"/>
    <n v="0.25"/>
    <s v="ckn_pesto_l"/>
    <n v="1"/>
    <x v="2"/>
    <x v="2"/>
    <x v="200"/>
    <n v="20.75"/>
    <n v="20.75"/>
    <x v="1"/>
    <x v="3"/>
    <s v="Chicken, Tomatoes, Red Peppers, Spinach, Garlic, Pesto Sauce"/>
    <x v="18"/>
  </r>
  <r>
    <n v="473"/>
    <n v="201"/>
    <n v="0.25"/>
    <s v="ital_supr_l"/>
    <n v="1"/>
    <x v="2"/>
    <x v="2"/>
    <x v="200"/>
    <n v="20.75"/>
    <n v="20.75"/>
    <x v="1"/>
    <x v="2"/>
    <s v="Calabrese Salami, Capocollo, Tomatoes, Red Onions, Green Olives, Garlic"/>
    <x v="3"/>
  </r>
  <r>
    <n v="474"/>
    <n v="201"/>
    <n v="0.25"/>
    <s v="the_greek_xl"/>
    <n v="1"/>
    <x v="2"/>
    <x v="2"/>
    <x v="200"/>
    <n v="25.5"/>
    <n v="25.5"/>
    <x v="3"/>
    <x v="0"/>
    <s v="Kalamata Olives, Feta Cheese, Tomatoes, Garlic, Beef Chuck Roast, Red Onions"/>
    <x v="8"/>
  </r>
  <r>
    <n v="475"/>
    <n v="202"/>
    <n v="1"/>
    <s v="cali_ckn_s"/>
    <n v="1"/>
    <x v="2"/>
    <x v="2"/>
    <x v="201"/>
    <n v="12.75"/>
    <n v="12.75"/>
    <x v="2"/>
    <x v="3"/>
    <s v="Chicken, Artichoke, Spinach, Garlic, Jalapeno Peppers, Fontina Cheese, Gouda Cheese"/>
    <x v="16"/>
  </r>
  <r>
    <n v="476"/>
    <n v="203"/>
    <n v="0.25"/>
    <s v="cali_ckn_l"/>
    <n v="1"/>
    <x v="3"/>
    <x v="3"/>
    <x v="202"/>
    <n v="20.75"/>
    <n v="20.75"/>
    <x v="1"/>
    <x v="3"/>
    <s v="Chicken, Artichoke, Spinach, Garlic, Jalapeno Peppers, Fontina Cheese, Gouda Cheese"/>
    <x v="16"/>
  </r>
  <r>
    <n v="477"/>
    <n v="203"/>
    <n v="0.25"/>
    <s v="ital_veggie_m"/>
    <n v="1"/>
    <x v="3"/>
    <x v="3"/>
    <x v="202"/>
    <n v="16.75"/>
    <n v="16.75"/>
    <x v="0"/>
    <x v="1"/>
    <s v="Eggplant, Artichokes, Tomatoes, Zucchini, Red Peppers, Garlic, Pesto Sauce"/>
    <x v="24"/>
  </r>
  <r>
    <n v="478"/>
    <n v="203"/>
    <n v="0.25"/>
    <s v="pep_msh_pep_l"/>
    <n v="1"/>
    <x v="3"/>
    <x v="3"/>
    <x v="202"/>
    <n v="17.5"/>
    <n v="17.5"/>
    <x v="1"/>
    <x v="0"/>
    <s v="Pepperoni, Mushrooms, Green Peppers"/>
    <x v="30"/>
  </r>
  <r>
    <n v="479"/>
    <n v="203"/>
    <n v="0.25"/>
    <s v="the_greek_s"/>
    <n v="1"/>
    <x v="3"/>
    <x v="3"/>
    <x v="202"/>
    <n v="12"/>
    <n v="12"/>
    <x v="2"/>
    <x v="0"/>
    <s v="Kalamata Olives, Feta Cheese, Tomatoes, Garlic, Beef Chuck Roast, Red Onions"/>
    <x v="8"/>
  </r>
  <r>
    <n v="480"/>
    <n v="204"/>
    <n v="1"/>
    <s v="spicy_ital_l"/>
    <n v="1"/>
    <x v="3"/>
    <x v="3"/>
    <x v="203"/>
    <n v="20.75"/>
    <n v="20.75"/>
    <x v="1"/>
    <x v="2"/>
    <s v="Capocollo, Tomatoes, Goat Cheese, Artichokes, Peperoncini verdi, Garlic"/>
    <x v="12"/>
  </r>
  <r>
    <n v="481"/>
    <n v="205"/>
    <n v="0.33333333333333331"/>
    <s v="cali_ckn_s"/>
    <n v="1"/>
    <x v="3"/>
    <x v="3"/>
    <x v="204"/>
    <n v="12.75"/>
    <n v="12.75"/>
    <x v="2"/>
    <x v="3"/>
    <s v="Chicken, Artichoke, Spinach, Garlic, Jalapeno Peppers, Fontina Cheese, Gouda Cheese"/>
    <x v="16"/>
  </r>
  <r>
    <n v="482"/>
    <n v="205"/>
    <n v="0.33333333333333331"/>
    <s v="ckn_alfredo_m"/>
    <n v="1"/>
    <x v="3"/>
    <x v="3"/>
    <x v="204"/>
    <n v="16.75"/>
    <n v="16.75"/>
    <x v="0"/>
    <x v="3"/>
    <s v="Chicken, Red Onions, Red Peppers, Mushrooms, Asiago Cheese, Alfredo Sauce"/>
    <x v="29"/>
  </r>
  <r>
    <n v="483"/>
    <n v="205"/>
    <n v="0.33333333333333331"/>
    <s v="prsc_argla_s"/>
    <n v="1"/>
    <x v="3"/>
    <x v="3"/>
    <x v="204"/>
    <n v="12.5"/>
    <n v="12.5"/>
    <x v="2"/>
    <x v="2"/>
    <s v="Prosciutto di San Daniele, Arugula, Mozzarella Cheese"/>
    <x v="6"/>
  </r>
  <r>
    <n v="484"/>
    <n v="206"/>
    <n v="0.33333333333333331"/>
    <s v="napolitana_m"/>
    <n v="1"/>
    <x v="3"/>
    <x v="3"/>
    <x v="205"/>
    <n v="16"/>
    <n v="16"/>
    <x v="0"/>
    <x v="0"/>
    <s v="Tomatoes, Anchovies, Green Olives, Red Onions, Garlic"/>
    <x v="22"/>
  </r>
  <r>
    <n v="485"/>
    <n v="206"/>
    <n v="0.33333333333333331"/>
    <s v="pepperoni_s"/>
    <n v="1"/>
    <x v="3"/>
    <x v="3"/>
    <x v="205"/>
    <n v="9.75"/>
    <n v="9.75"/>
    <x v="2"/>
    <x v="0"/>
    <s v="Mozzarella Cheese, Pepperoni"/>
    <x v="17"/>
  </r>
  <r>
    <n v="486"/>
    <n v="206"/>
    <n v="0.33333333333333331"/>
    <s v="spicy_ital_l"/>
    <n v="1"/>
    <x v="3"/>
    <x v="3"/>
    <x v="205"/>
    <n v="20.75"/>
    <n v="20.75"/>
    <x v="1"/>
    <x v="2"/>
    <s v="Capocollo, Tomatoes, Goat Cheese, Artichokes, Peperoncini verdi, Garlic"/>
    <x v="12"/>
  </r>
  <r>
    <n v="487"/>
    <n v="207"/>
    <n v="1"/>
    <s v="spicy_ital_l"/>
    <n v="1"/>
    <x v="3"/>
    <x v="3"/>
    <x v="206"/>
    <n v="20.75"/>
    <n v="20.75"/>
    <x v="1"/>
    <x v="2"/>
    <s v="Capocollo, Tomatoes, Goat Cheese, Artichokes, Peperoncini verdi, Garlic"/>
    <x v="12"/>
  </r>
  <r>
    <n v="488"/>
    <n v="208"/>
    <n v="0.2"/>
    <s v="bbq_ckn_l"/>
    <n v="1"/>
    <x v="3"/>
    <x v="3"/>
    <x v="207"/>
    <n v="20.75"/>
    <n v="20.75"/>
    <x v="1"/>
    <x v="3"/>
    <s v="Barbecued Chicken, Red Peppers, Green Peppers, Tomatoes, Red Onions, Barbecue Sauce"/>
    <x v="7"/>
  </r>
  <r>
    <n v="489"/>
    <n v="208"/>
    <n v="0.2"/>
    <s v="bbq_ckn_s"/>
    <n v="1"/>
    <x v="3"/>
    <x v="3"/>
    <x v="207"/>
    <n v="12.75"/>
    <n v="12.75"/>
    <x v="2"/>
    <x v="3"/>
    <s v="Barbecued Chicken, Red Peppers, Green Peppers, Tomatoes, Red Onions, Barbecue Sauce"/>
    <x v="7"/>
  </r>
  <r>
    <n v="490"/>
    <n v="208"/>
    <n v="0.2"/>
    <s v="ckn_alfredo_m"/>
    <n v="1"/>
    <x v="3"/>
    <x v="3"/>
    <x v="207"/>
    <n v="16.75"/>
    <n v="16.75"/>
    <x v="0"/>
    <x v="3"/>
    <s v="Chicken, Red Onions, Red Peppers, Mushrooms, Asiago Cheese, Alfredo Sauce"/>
    <x v="29"/>
  </r>
  <r>
    <n v="491"/>
    <n v="208"/>
    <n v="0.2"/>
    <s v="pepperoni_m"/>
    <n v="1"/>
    <x v="3"/>
    <x v="3"/>
    <x v="207"/>
    <n v="12.5"/>
    <n v="12.5"/>
    <x v="0"/>
    <x v="0"/>
    <s v="Mozzarella Cheese, Pepperoni"/>
    <x v="17"/>
  </r>
  <r>
    <n v="492"/>
    <n v="208"/>
    <n v="0.2"/>
    <s v="the_greek_m"/>
    <n v="1"/>
    <x v="3"/>
    <x v="3"/>
    <x v="207"/>
    <n v="16"/>
    <n v="16"/>
    <x v="0"/>
    <x v="0"/>
    <s v="Kalamata Olives, Feta Cheese, Tomatoes, Garlic, Beef Chuck Roast, Red Onions"/>
    <x v="8"/>
  </r>
  <r>
    <n v="493"/>
    <n v="209"/>
    <n v="1"/>
    <s v="cali_ckn_l"/>
    <n v="1"/>
    <x v="3"/>
    <x v="3"/>
    <x v="208"/>
    <n v="20.75"/>
    <n v="20.75"/>
    <x v="1"/>
    <x v="3"/>
    <s v="Chicken, Artichoke, Spinach, Garlic, Jalapeno Peppers, Fontina Cheese, Gouda Cheese"/>
    <x v="16"/>
  </r>
  <r>
    <n v="494"/>
    <n v="210"/>
    <n v="1"/>
    <s v="spinach_fet_s"/>
    <n v="1"/>
    <x v="3"/>
    <x v="3"/>
    <x v="209"/>
    <n v="12"/>
    <n v="12"/>
    <x v="2"/>
    <x v="1"/>
    <s v="Spinach, Mushrooms, Red Onions, Feta Cheese, Garlic"/>
    <x v="27"/>
  </r>
  <r>
    <n v="495"/>
    <n v="211"/>
    <n v="1"/>
    <s v="pepperoni_s"/>
    <n v="1"/>
    <x v="3"/>
    <x v="3"/>
    <x v="210"/>
    <n v="9.75"/>
    <n v="9.75"/>
    <x v="2"/>
    <x v="0"/>
    <s v="Mozzarella Cheese, Pepperoni"/>
    <x v="17"/>
  </r>
  <r>
    <n v="496"/>
    <n v="212"/>
    <n v="1"/>
    <s v="ital_cpcllo_l"/>
    <n v="1"/>
    <x v="3"/>
    <x v="3"/>
    <x v="211"/>
    <n v="20.5"/>
    <n v="20.5"/>
    <x v="1"/>
    <x v="0"/>
    <s v="Capocollo, Red Peppers, Tomatoes, Goat Cheese, Garlic, Oregano"/>
    <x v="11"/>
  </r>
  <r>
    <n v="497"/>
    <n v="213"/>
    <n v="1"/>
    <s v="four_cheese_l"/>
    <n v="1"/>
    <x v="3"/>
    <x v="3"/>
    <x v="212"/>
    <n v="17.95"/>
    <n v="17.95"/>
    <x v="1"/>
    <x v="1"/>
    <s v="Ricotta Cheese, Gorgonzola Piccante Cheese, Mozzarella Cheese, Parmigiano Reggiano Cheese, Garlic"/>
    <x v="21"/>
  </r>
  <r>
    <n v="498"/>
    <n v="214"/>
    <n v="0.25"/>
    <s v="ital_cpcllo_l"/>
    <n v="1"/>
    <x v="3"/>
    <x v="3"/>
    <x v="213"/>
    <n v="20.5"/>
    <n v="20.5"/>
    <x v="1"/>
    <x v="0"/>
    <s v="Capocollo, Red Peppers, Tomatoes, Goat Cheese, Garlic, Oregano"/>
    <x v="11"/>
  </r>
  <r>
    <n v="499"/>
    <n v="214"/>
    <n v="0.25"/>
    <s v="ital_supr_m"/>
    <n v="1"/>
    <x v="3"/>
    <x v="3"/>
    <x v="213"/>
    <n v="16.5"/>
    <n v="16.5"/>
    <x v="0"/>
    <x v="2"/>
    <s v="Calabrese Salami, Capocollo, Tomatoes, Red Onions, Green Olives, Garlic"/>
    <x v="3"/>
  </r>
  <r>
    <n v="500"/>
    <n v="214"/>
    <n v="0.25"/>
    <s v="mexicana_s"/>
    <n v="1"/>
    <x v="3"/>
    <x v="3"/>
    <x v="213"/>
    <n v="12"/>
    <n v="12"/>
    <x v="2"/>
    <x v="1"/>
    <s v="Tomatoes, Red Peppers, Jalapeno Peppers, Red Onions, Cilantro, Corn, Chipotle Sauce, Garlic"/>
    <x v="4"/>
  </r>
  <r>
    <n v="501"/>
    <n v="214"/>
    <n v="0.25"/>
    <s v="spin_pesto_m"/>
    <n v="1"/>
    <x v="3"/>
    <x v="3"/>
    <x v="213"/>
    <n v="16.5"/>
    <n v="16.5"/>
    <x v="0"/>
    <x v="1"/>
    <s v="Spinach, Artichokes, Tomatoes, Sun-dried Tomatoes, Garlic, Pesto Sauce"/>
    <x v="13"/>
  </r>
  <r>
    <n v="502"/>
    <n v="215"/>
    <n v="1"/>
    <s v="green_garden_s"/>
    <n v="1"/>
    <x v="3"/>
    <x v="3"/>
    <x v="214"/>
    <n v="12"/>
    <n v="12"/>
    <x v="2"/>
    <x v="1"/>
    <s v="Spinach, Mushrooms, Tomatoes, Green Olives, Feta Cheese"/>
    <x v="10"/>
  </r>
  <r>
    <n v="503"/>
    <n v="216"/>
    <n v="0.33333333333333331"/>
    <s v="bbq_ckn_m"/>
    <n v="1"/>
    <x v="3"/>
    <x v="3"/>
    <x v="215"/>
    <n v="16.75"/>
    <n v="16.75"/>
    <x v="0"/>
    <x v="3"/>
    <s v="Barbecued Chicken, Red Peppers, Green Peppers, Tomatoes, Red Onions, Barbecue Sauce"/>
    <x v="7"/>
  </r>
  <r>
    <n v="504"/>
    <n v="216"/>
    <n v="0.33333333333333331"/>
    <s v="five_cheese_l"/>
    <n v="1"/>
    <x v="3"/>
    <x v="3"/>
    <x v="215"/>
    <n v="18.5"/>
    <n v="18.5"/>
    <x v="1"/>
    <x v="1"/>
    <s v="Mozzarella Cheese, Provolone Cheese, Smoked Gouda Cheese, Romano Cheese, Blue Cheese, Garlic"/>
    <x v="2"/>
  </r>
  <r>
    <n v="505"/>
    <n v="216"/>
    <n v="0.33333333333333331"/>
    <s v="hawaiian_l"/>
    <n v="1"/>
    <x v="3"/>
    <x v="3"/>
    <x v="215"/>
    <n v="16.5"/>
    <n v="16.5"/>
    <x v="1"/>
    <x v="0"/>
    <s v="Sliced Ham, Pineapple, Mozzarella Cheese"/>
    <x v="0"/>
  </r>
  <r>
    <n v="506"/>
    <n v="217"/>
    <n v="0.5"/>
    <s v="classic_dlx_m"/>
    <n v="1"/>
    <x v="3"/>
    <x v="3"/>
    <x v="216"/>
    <n v="16"/>
    <n v="16"/>
    <x v="0"/>
    <x v="0"/>
    <s v="Pepperoni, Mushrooms, Red Onions, Red Peppers, Bacon"/>
    <x v="1"/>
  </r>
  <r>
    <n v="507"/>
    <n v="217"/>
    <n v="0.5"/>
    <s v="spinach_fet_s"/>
    <n v="1"/>
    <x v="3"/>
    <x v="3"/>
    <x v="216"/>
    <n v="12"/>
    <n v="12"/>
    <x v="2"/>
    <x v="1"/>
    <s v="Spinach, Mushrooms, Red Onions, Feta Cheese, Garlic"/>
    <x v="27"/>
  </r>
  <r>
    <n v="508"/>
    <n v="218"/>
    <n v="1"/>
    <s v="spicy_ital_m"/>
    <n v="1"/>
    <x v="3"/>
    <x v="3"/>
    <x v="217"/>
    <n v="16.5"/>
    <n v="16.5"/>
    <x v="0"/>
    <x v="2"/>
    <s v="Capocollo, Tomatoes, Goat Cheese, Artichokes, Peperoncini verdi, Garlic"/>
    <x v="12"/>
  </r>
  <r>
    <n v="509"/>
    <n v="219"/>
    <n v="0.25"/>
    <s v="bbq_ckn_l"/>
    <n v="1"/>
    <x v="3"/>
    <x v="3"/>
    <x v="218"/>
    <n v="20.75"/>
    <n v="20.75"/>
    <x v="1"/>
    <x v="3"/>
    <s v="Barbecued Chicken, Red Peppers, Green Peppers, Tomatoes, Red Onions, Barbecue Sauce"/>
    <x v="7"/>
  </r>
  <r>
    <n v="510"/>
    <n v="219"/>
    <n v="0.25"/>
    <s v="five_cheese_l"/>
    <n v="1"/>
    <x v="3"/>
    <x v="3"/>
    <x v="218"/>
    <n v="18.5"/>
    <n v="18.5"/>
    <x v="1"/>
    <x v="1"/>
    <s v="Mozzarella Cheese, Provolone Cheese, Smoked Gouda Cheese, Romano Cheese, Blue Cheese, Garlic"/>
    <x v="2"/>
  </r>
  <r>
    <n v="511"/>
    <n v="219"/>
    <n v="0.25"/>
    <s v="peppr_salami_m"/>
    <n v="1"/>
    <x v="3"/>
    <x v="3"/>
    <x v="218"/>
    <n v="16.5"/>
    <n v="16.5"/>
    <x v="0"/>
    <x v="2"/>
    <s v="Genoa Salami, Capocollo, Pepperoni, Tomatoes, Asiago Cheese, Garlic"/>
    <x v="26"/>
  </r>
  <r>
    <n v="512"/>
    <n v="219"/>
    <n v="0.25"/>
    <s v="spinach_fet_m"/>
    <n v="1"/>
    <x v="3"/>
    <x v="3"/>
    <x v="218"/>
    <n v="16"/>
    <n v="16"/>
    <x v="0"/>
    <x v="1"/>
    <s v="Spinach, Mushrooms, Red Onions, Feta Cheese, Garlic"/>
    <x v="27"/>
  </r>
  <r>
    <n v="513"/>
    <n v="220"/>
    <n v="0.25"/>
    <s v="hawaiian_s"/>
    <n v="1"/>
    <x v="3"/>
    <x v="3"/>
    <x v="219"/>
    <n v="10.5"/>
    <n v="10.5"/>
    <x v="2"/>
    <x v="0"/>
    <s v="Sliced Ham, Pineapple, Mozzarella Cheese"/>
    <x v="0"/>
  </r>
  <r>
    <n v="514"/>
    <n v="220"/>
    <n v="0.25"/>
    <s v="ital_cpcllo_s"/>
    <n v="1"/>
    <x v="3"/>
    <x v="3"/>
    <x v="219"/>
    <n v="12"/>
    <n v="12"/>
    <x v="2"/>
    <x v="0"/>
    <s v="Capocollo, Red Peppers, Tomatoes, Goat Cheese, Garlic, Oregano"/>
    <x v="11"/>
  </r>
  <r>
    <n v="515"/>
    <n v="220"/>
    <n v="0.25"/>
    <s v="napolitana_l"/>
    <n v="1"/>
    <x v="3"/>
    <x v="3"/>
    <x v="219"/>
    <n v="20.5"/>
    <n v="20.5"/>
    <x v="1"/>
    <x v="0"/>
    <s v="Tomatoes, Anchovies, Green Olives, Red Onions, Garlic"/>
    <x v="22"/>
  </r>
  <r>
    <n v="516"/>
    <n v="220"/>
    <n v="0.25"/>
    <s v="spicy_ital_l"/>
    <n v="1"/>
    <x v="3"/>
    <x v="3"/>
    <x v="219"/>
    <n v="20.75"/>
    <n v="20.75"/>
    <x v="1"/>
    <x v="2"/>
    <s v="Capocollo, Tomatoes, Goat Cheese, Artichokes, Peperoncini verdi, Garlic"/>
    <x v="12"/>
  </r>
  <r>
    <n v="517"/>
    <n v="221"/>
    <n v="0.33333333333333331"/>
    <s v="five_cheese_l"/>
    <n v="1"/>
    <x v="3"/>
    <x v="3"/>
    <x v="220"/>
    <n v="18.5"/>
    <n v="18.5"/>
    <x v="1"/>
    <x v="1"/>
    <s v="Mozzarella Cheese, Provolone Cheese, Smoked Gouda Cheese, Romano Cheese, Blue Cheese, Garlic"/>
    <x v="2"/>
  </r>
  <r>
    <n v="518"/>
    <n v="221"/>
    <n v="0.33333333333333331"/>
    <s v="prsc_argla_m"/>
    <n v="1"/>
    <x v="3"/>
    <x v="3"/>
    <x v="220"/>
    <n v="16.5"/>
    <n v="16.5"/>
    <x v="0"/>
    <x v="2"/>
    <s v="Prosciutto di San Daniele, Arugula, Mozzarella Cheese"/>
    <x v="6"/>
  </r>
  <r>
    <n v="519"/>
    <n v="221"/>
    <n v="0.33333333333333331"/>
    <s v="the_greek_s"/>
    <n v="1"/>
    <x v="3"/>
    <x v="3"/>
    <x v="220"/>
    <n v="12"/>
    <n v="12"/>
    <x v="2"/>
    <x v="0"/>
    <s v="Kalamata Olives, Feta Cheese, Tomatoes, Garlic, Beef Chuck Roast, Red Onions"/>
    <x v="8"/>
  </r>
  <r>
    <n v="520"/>
    <n v="222"/>
    <n v="0.5"/>
    <s v="four_cheese_l"/>
    <n v="1"/>
    <x v="3"/>
    <x v="3"/>
    <x v="221"/>
    <n v="17.95"/>
    <n v="17.95"/>
    <x v="1"/>
    <x v="1"/>
    <s v="Ricotta Cheese, Gorgonzola Piccante Cheese, Mozzarella Cheese, Parmigiano Reggiano Cheese, Garlic"/>
    <x v="21"/>
  </r>
  <r>
    <n v="521"/>
    <n v="222"/>
    <n v="0.5"/>
    <s v="sicilian_s"/>
    <n v="1"/>
    <x v="3"/>
    <x v="3"/>
    <x v="221"/>
    <n v="12.25"/>
    <n v="12.25"/>
    <x v="2"/>
    <x v="2"/>
    <s v="Coarse Sicilian Salami, Tomatoes, Green Olives, Luganega Sausage, Onions, Garlic"/>
    <x v="28"/>
  </r>
  <r>
    <n v="522"/>
    <n v="223"/>
    <n v="1"/>
    <s v="pep_msh_pep_s"/>
    <n v="1"/>
    <x v="3"/>
    <x v="3"/>
    <x v="222"/>
    <n v="11"/>
    <n v="11"/>
    <x v="2"/>
    <x v="0"/>
    <s v="Pepperoni, Mushrooms, Green Peppers"/>
    <x v="30"/>
  </r>
  <r>
    <n v="523"/>
    <n v="224"/>
    <n v="0.25"/>
    <s v="ckn_alfredo_s"/>
    <n v="1"/>
    <x v="3"/>
    <x v="3"/>
    <x v="223"/>
    <n v="12.75"/>
    <n v="12.75"/>
    <x v="2"/>
    <x v="3"/>
    <s v="Chicken, Red Onions, Red Peppers, Mushrooms, Asiago Cheese, Alfredo Sauce"/>
    <x v="29"/>
  </r>
  <r>
    <n v="524"/>
    <n v="224"/>
    <n v="0.25"/>
    <s v="ital_supr_m"/>
    <n v="1"/>
    <x v="3"/>
    <x v="3"/>
    <x v="223"/>
    <n v="16.5"/>
    <n v="16.5"/>
    <x v="0"/>
    <x v="2"/>
    <s v="Calabrese Salami, Capocollo, Tomatoes, Red Onions, Green Olives, Garlic"/>
    <x v="3"/>
  </r>
  <r>
    <n v="525"/>
    <n v="224"/>
    <n v="0.25"/>
    <s v="napolitana_m"/>
    <n v="1"/>
    <x v="3"/>
    <x v="3"/>
    <x v="223"/>
    <n v="16"/>
    <n v="16"/>
    <x v="0"/>
    <x v="0"/>
    <s v="Tomatoes, Anchovies, Green Olives, Red Onions, Garlic"/>
    <x v="22"/>
  </r>
  <r>
    <n v="526"/>
    <n v="224"/>
    <n v="0.25"/>
    <s v="thai_ckn_l"/>
    <n v="1"/>
    <x v="3"/>
    <x v="3"/>
    <x v="223"/>
    <n v="20.75"/>
    <n v="20.75"/>
    <x v="1"/>
    <x v="3"/>
    <s v="Chicken, Pineapple, Tomatoes, Red Peppers, Thai Sweet Chilli Sauce"/>
    <x v="5"/>
  </r>
  <r>
    <n v="527"/>
    <n v="225"/>
    <n v="0.33333333333333331"/>
    <s v="bbq_ckn_l"/>
    <n v="1"/>
    <x v="3"/>
    <x v="3"/>
    <x v="224"/>
    <n v="20.75"/>
    <n v="20.75"/>
    <x v="1"/>
    <x v="3"/>
    <s v="Barbecued Chicken, Red Peppers, Green Peppers, Tomatoes, Red Onions, Barbecue Sauce"/>
    <x v="7"/>
  </r>
  <r>
    <n v="528"/>
    <n v="225"/>
    <n v="0.33333333333333331"/>
    <s v="bbq_ckn_m"/>
    <n v="1"/>
    <x v="3"/>
    <x v="3"/>
    <x v="224"/>
    <n v="16.75"/>
    <n v="16.75"/>
    <x v="0"/>
    <x v="3"/>
    <s v="Barbecued Chicken, Red Peppers, Green Peppers, Tomatoes, Red Onions, Barbecue Sauce"/>
    <x v="7"/>
  </r>
  <r>
    <n v="529"/>
    <n v="225"/>
    <n v="0.33333333333333331"/>
    <s v="southw_ckn_s"/>
    <n v="1"/>
    <x v="3"/>
    <x v="3"/>
    <x v="224"/>
    <n v="12.75"/>
    <n v="12.75"/>
    <x v="2"/>
    <x v="3"/>
    <s v="Chicken, Tomatoes, Red Peppers, Red Onions, Jalapeno Peppers, Corn, Cilantro, Chipotle Sauce"/>
    <x v="15"/>
  </r>
  <r>
    <n v="530"/>
    <n v="226"/>
    <n v="1"/>
    <s v="classic_dlx_l"/>
    <n v="1"/>
    <x v="3"/>
    <x v="3"/>
    <x v="225"/>
    <n v="20.5"/>
    <n v="20.5"/>
    <x v="1"/>
    <x v="0"/>
    <s v="Pepperoni, Mushrooms, Red Onions, Red Peppers, Bacon"/>
    <x v="1"/>
  </r>
  <r>
    <n v="531"/>
    <n v="227"/>
    <n v="0.5"/>
    <s v="bbq_ckn_m"/>
    <n v="1"/>
    <x v="3"/>
    <x v="3"/>
    <x v="226"/>
    <n v="16.75"/>
    <n v="16.75"/>
    <x v="0"/>
    <x v="3"/>
    <s v="Barbecued Chicken, Red Peppers, Green Peppers, Tomatoes, Red Onions, Barbecue Sauce"/>
    <x v="7"/>
  </r>
  <r>
    <n v="532"/>
    <n v="227"/>
    <n v="0.5"/>
    <s v="the_greek_m"/>
    <n v="1"/>
    <x v="3"/>
    <x v="3"/>
    <x v="226"/>
    <n v="16"/>
    <n v="16"/>
    <x v="0"/>
    <x v="0"/>
    <s v="Kalamata Olives, Feta Cheese, Tomatoes, Garlic, Beef Chuck Roast, Red Onions"/>
    <x v="8"/>
  </r>
  <r>
    <n v="533"/>
    <n v="228"/>
    <n v="1"/>
    <s v="ital_veggie_s"/>
    <n v="1"/>
    <x v="3"/>
    <x v="3"/>
    <x v="227"/>
    <n v="12.75"/>
    <n v="12.75"/>
    <x v="2"/>
    <x v="1"/>
    <s v="Eggplant, Artichokes, Tomatoes, Zucchini, Red Peppers, Garlic, Pesto Sauce"/>
    <x v="24"/>
  </r>
  <r>
    <n v="534"/>
    <n v="229"/>
    <n v="0.33333333333333331"/>
    <s v="ital_veggie_l"/>
    <n v="1"/>
    <x v="3"/>
    <x v="3"/>
    <x v="228"/>
    <n v="21"/>
    <n v="21"/>
    <x v="1"/>
    <x v="1"/>
    <s v="Eggplant, Artichokes, Tomatoes, Zucchini, Red Peppers, Garlic, Pesto Sauce"/>
    <x v="24"/>
  </r>
  <r>
    <n v="535"/>
    <n v="229"/>
    <n v="0.33333333333333331"/>
    <s v="prsc_argla_l"/>
    <n v="1"/>
    <x v="3"/>
    <x v="3"/>
    <x v="228"/>
    <n v="20.75"/>
    <n v="20.75"/>
    <x v="1"/>
    <x v="2"/>
    <s v="Prosciutto di San Daniele, Arugula, Mozzarella Cheese"/>
    <x v="6"/>
  </r>
  <r>
    <n v="536"/>
    <n v="229"/>
    <n v="0.33333333333333331"/>
    <s v="spin_pesto_s"/>
    <n v="1"/>
    <x v="3"/>
    <x v="3"/>
    <x v="228"/>
    <n v="12.5"/>
    <n v="12.5"/>
    <x v="2"/>
    <x v="1"/>
    <s v="Spinach, Artichokes, Tomatoes, Sun-dried Tomatoes, Garlic, Pesto Sauce"/>
    <x v="13"/>
  </r>
  <r>
    <n v="537"/>
    <n v="230"/>
    <n v="1"/>
    <s v="thai_ckn_m"/>
    <n v="1"/>
    <x v="3"/>
    <x v="3"/>
    <x v="229"/>
    <n v="16.75"/>
    <n v="16.75"/>
    <x v="0"/>
    <x v="3"/>
    <s v="Chicken, Pineapple, Tomatoes, Red Peppers, Thai Sweet Chilli Sauce"/>
    <x v="5"/>
  </r>
  <r>
    <n v="538"/>
    <n v="231"/>
    <n v="0.33333333333333331"/>
    <s v="cali_ckn_l"/>
    <n v="1"/>
    <x v="3"/>
    <x v="3"/>
    <x v="230"/>
    <n v="20.75"/>
    <n v="20.75"/>
    <x v="1"/>
    <x v="3"/>
    <s v="Chicken, Artichoke, Spinach, Garlic, Jalapeno Peppers, Fontina Cheese, Gouda Cheese"/>
    <x v="16"/>
  </r>
  <r>
    <n v="539"/>
    <n v="231"/>
    <n v="0.33333333333333331"/>
    <s v="napolitana_s"/>
    <n v="1"/>
    <x v="3"/>
    <x v="3"/>
    <x v="230"/>
    <n v="12"/>
    <n v="12"/>
    <x v="2"/>
    <x v="0"/>
    <s v="Tomatoes, Anchovies, Green Olives, Red Onions, Garlic"/>
    <x v="22"/>
  </r>
  <r>
    <n v="540"/>
    <n v="231"/>
    <n v="0.33333333333333331"/>
    <s v="prsc_argla_s"/>
    <n v="1"/>
    <x v="3"/>
    <x v="3"/>
    <x v="230"/>
    <n v="12.5"/>
    <n v="12.5"/>
    <x v="2"/>
    <x v="2"/>
    <s v="Prosciutto di San Daniele, Arugula, Mozzarella Cheese"/>
    <x v="6"/>
  </r>
  <r>
    <n v="541"/>
    <n v="232"/>
    <n v="0.5"/>
    <s v="bbq_ckn_m"/>
    <n v="1"/>
    <x v="3"/>
    <x v="3"/>
    <x v="231"/>
    <n v="16.75"/>
    <n v="16.75"/>
    <x v="0"/>
    <x v="3"/>
    <s v="Barbecued Chicken, Red Peppers, Green Peppers, Tomatoes, Red Onions, Barbecue Sauce"/>
    <x v="7"/>
  </r>
  <r>
    <n v="542"/>
    <n v="232"/>
    <n v="0.5"/>
    <s v="spinach_supr_l"/>
    <n v="1"/>
    <x v="3"/>
    <x v="3"/>
    <x v="231"/>
    <n v="20.75"/>
    <n v="20.75"/>
    <x v="1"/>
    <x v="2"/>
    <s v="Spinach, Red Onions, Pepperoni, Tomatoes, Artichokes, Kalamata Olives, Garlic, Asiago Cheese"/>
    <x v="9"/>
  </r>
  <r>
    <n v="543"/>
    <n v="233"/>
    <n v="1"/>
    <s v="spinach_fet_s"/>
    <n v="1"/>
    <x v="3"/>
    <x v="3"/>
    <x v="232"/>
    <n v="12"/>
    <n v="12"/>
    <x v="2"/>
    <x v="1"/>
    <s v="Spinach, Mushrooms, Red Onions, Feta Cheese, Garlic"/>
    <x v="27"/>
  </r>
  <r>
    <n v="544"/>
    <n v="234"/>
    <n v="0.33333333333333331"/>
    <s v="ckn_alfredo_m"/>
    <n v="1"/>
    <x v="3"/>
    <x v="3"/>
    <x v="233"/>
    <n v="16.75"/>
    <n v="16.75"/>
    <x v="0"/>
    <x v="3"/>
    <s v="Chicken, Red Onions, Red Peppers, Mushrooms, Asiago Cheese, Alfredo Sauce"/>
    <x v="29"/>
  </r>
  <r>
    <n v="545"/>
    <n v="234"/>
    <n v="0.33333333333333331"/>
    <s v="ital_supr_s"/>
    <n v="1"/>
    <x v="3"/>
    <x v="3"/>
    <x v="233"/>
    <n v="12.5"/>
    <n v="12.5"/>
    <x v="2"/>
    <x v="2"/>
    <s v="Calabrese Salami, Capocollo, Tomatoes, Red Onions, Green Olives, Garlic"/>
    <x v="3"/>
  </r>
  <r>
    <n v="546"/>
    <n v="234"/>
    <n v="0.33333333333333331"/>
    <s v="napolitana_m"/>
    <n v="1"/>
    <x v="3"/>
    <x v="3"/>
    <x v="233"/>
    <n v="16"/>
    <n v="16"/>
    <x v="0"/>
    <x v="0"/>
    <s v="Tomatoes, Anchovies, Green Olives, Red Onions, Garlic"/>
    <x v="22"/>
  </r>
  <r>
    <n v="547"/>
    <n v="235"/>
    <n v="1"/>
    <s v="cali_ckn_m"/>
    <n v="1"/>
    <x v="3"/>
    <x v="3"/>
    <x v="234"/>
    <n v="16.75"/>
    <n v="16.75"/>
    <x v="0"/>
    <x v="3"/>
    <s v="Chicken, Artichoke, Spinach, Garlic, Jalapeno Peppers, Fontina Cheese, Gouda Cheese"/>
    <x v="16"/>
  </r>
  <r>
    <n v="548"/>
    <n v="236"/>
    <n v="0.5"/>
    <s v="classic_dlx_l"/>
    <n v="1"/>
    <x v="3"/>
    <x v="3"/>
    <x v="235"/>
    <n v="20.5"/>
    <n v="20.5"/>
    <x v="1"/>
    <x v="0"/>
    <s v="Pepperoni, Mushrooms, Red Onions, Red Peppers, Bacon"/>
    <x v="1"/>
  </r>
  <r>
    <n v="549"/>
    <n v="236"/>
    <n v="0.5"/>
    <s v="green_garden_m"/>
    <n v="1"/>
    <x v="3"/>
    <x v="3"/>
    <x v="235"/>
    <n v="16"/>
    <n v="16"/>
    <x v="0"/>
    <x v="1"/>
    <s v="Spinach, Mushrooms, Tomatoes, Green Olives, Feta Cheese"/>
    <x v="10"/>
  </r>
  <r>
    <n v="550"/>
    <n v="237"/>
    <n v="1"/>
    <s v="green_garden_s"/>
    <n v="1"/>
    <x v="3"/>
    <x v="3"/>
    <x v="236"/>
    <n v="12"/>
    <n v="12"/>
    <x v="2"/>
    <x v="1"/>
    <s v="Spinach, Mushrooms, Tomatoes, Green Olives, Feta Cheese"/>
    <x v="10"/>
  </r>
  <r>
    <n v="551"/>
    <n v="238"/>
    <n v="1"/>
    <s v="spin_pesto_l"/>
    <n v="1"/>
    <x v="3"/>
    <x v="3"/>
    <x v="237"/>
    <n v="20.75"/>
    <n v="20.75"/>
    <x v="1"/>
    <x v="1"/>
    <s v="Spinach, Artichokes, Tomatoes, Sun-dried Tomatoes, Garlic, Pesto Sauce"/>
    <x v="13"/>
  </r>
  <r>
    <n v="552"/>
    <n v="239"/>
    <n v="0.5"/>
    <s v="ital_supr_l"/>
    <n v="1"/>
    <x v="3"/>
    <x v="3"/>
    <x v="238"/>
    <n v="20.75"/>
    <n v="20.75"/>
    <x v="1"/>
    <x v="2"/>
    <s v="Calabrese Salami, Capocollo, Tomatoes, Red Onions, Green Olives, Garlic"/>
    <x v="3"/>
  </r>
  <r>
    <n v="553"/>
    <n v="239"/>
    <n v="0.5"/>
    <s v="thai_ckn_m"/>
    <n v="1"/>
    <x v="3"/>
    <x v="3"/>
    <x v="238"/>
    <n v="16.75"/>
    <n v="16.75"/>
    <x v="0"/>
    <x v="3"/>
    <s v="Chicken, Pineapple, Tomatoes, Red Peppers, Thai Sweet Chilli Sauce"/>
    <x v="5"/>
  </r>
  <r>
    <n v="554"/>
    <n v="240"/>
    <n v="1"/>
    <s v="four_cheese_m"/>
    <n v="1"/>
    <x v="3"/>
    <x v="3"/>
    <x v="239"/>
    <n v="14.75"/>
    <n v="14.75"/>
    <x v="0"/>
    <x v="1"/>
    <s v="Ricotta Cheese, Gorgonzola Piccante Cheese, Mozzarella Cheese, Parmigiano Reggiano Cheese, Garlic"/>
    <x v="21"/>
  </r>
  <r>
    <n v="555"/>
    <n v="241"/>
    <n v="0.5"/>
    <s v="sicilian_m"/>
    <n v="1"/>
    <x v="3"/>
    <x v="3"/>
    <x v="240"/>
    <n v="16.25"/>
    <n v="16.25"/>
    <x v="0"/>
    <x v="2"/>
    <s v="Coarse Sicilian Salami, Tomatoes, Green Olives, Luganega Sausage, Onions, Garlic"/>
    <x v="28"/>
  </r>
  <r>
    <n v="556"/>
    <n v="241"/>
    <n v="0.5"/>
    <s v="spinach_supr_l"/>
    <n v="1"/>
    <x v="3"/>
    <x v="3"/>
    <x v="240"/>
    <n v="20.75"/>
    <n v="20.75"/>
    <x v="1"/>
    <x v="2"/>
    <s v="Spinach, Red Onions, Pepperoni, Tomatoes, Artichokes, Kalamata Olives, Garlic, Asiago Cheese"/>
    <x v="9"/>
  </r>
  <r>
    <n v="557"/>
    <n v="242"/>
    <n v="0.33333333333333331"/>
    <s v="calabrese_m"/>
    <n v="1"/>
    <x v="3"/>
    <x v="3"/>
    <x v="241"/>
    <n v="16.25"/>
    <n v="16.25"/>
    <x v="0"/>
    <x v="2"/>
    <s v="?duja Salami, Pancetta, Tomatoes, Red Onions, Friggitello Peppers, Garlic"/>
    <x v="23"/>
  </r>
  <r>
    <n v="558"/>
    <n v="242"/>
    <n v="0.33333333333333331"/>
    <s v="thai_ckn_l"/>
    <n v="1"/>
    <x v="3"/>
    <x v="3"/>
    <x v="241"/>
    <n v="20.75"/>
    <n v="20.75"/>
    <x v="1"/>
    <x v="3"/>
    <s v="Chicken, Pineapple, Tomatoes, Red Peppers, Thai Sweet Chilli Sauce"/>
    <x v="5"/>
  </r>
  <r>
    <n v="559"/>
    <n v="242"/>
    <n v="0.33333333333333331"/>
    <s v="veggie_veg_m"/>
    <n v="1"/>
    <x v="3"/>
    <x v="3"/>
    <x v="241"/>
    <n v="16"/>
    <n v="16"/>
    <x v="0"/>
    <x v="1"/>
    <s v="Mushrooms, Tomatoes, Red Peppers, Green Peppers, Red Onions, Zucchini, Spinach, Garlic"/>
    <x v="14"/>
  </r>
  <r>
    <n v="560"/>
    <n v="243"/>
    <n v="0.5"/>
    <s v="classic_dlx_l"/>
    <n v="1"/>
    <x v="3"/>
    <x v="3"/>
    <x v="242"/>
    <n v="20.5"/>
    <n v="20.5"/>
    <x v="1"/>
    <x v="0"/>
    <s v="Pepperoni, Mushrooms, Red Onions, Red Peppers, Bacon"/>
    <x v="1"/>
  </r>
  <r>
    <n v="561"/>
    <n v="243"/>
    <n v="0.5"/>
    <s v="spinach_supr_s"/>
    <n v="1"/>
    <x v="3"/>
    <x v="3"/>
    <x v="242"/>
    <n v="12.5"/>
    <n v="12.5"/>
    <x v="2"/>
    <x v="2"/>
    <s v="Spinach, Red Onions, Pepperoni, Tomatoes, Artichokes, Kalamata Olives, Garlic, Asiago Cheese"/>
    <x v="9"/>
  </r>
  <r>
    <n v="562"/>
    <n v="244"/>
    <n v="0.5"/>
    <s v="ital_supr_s"/>
    <n v="1"/>
    <x v="3"/>
    <x v="3"/>
    <x v="243"/>
    <n v="12.5"/>
    <n v="12.5"/>
    <x v="2"/>
    <x v="2"/>
    <s v="Calabrese Salami, Capocollo, Tomatoes, Red Onions, Green Olives, Garlic"/>
    <x v="3"/>
  </r>
  <r>
    <n v="563"/>
    <n v="244"/>
    <n v="0.5"/>
    <s v="spicy_ital_l"/>
    <n v="1"/>
    <x v="3"/>
    <x v="3"/>
    <x v="243"/>
    <n v="20.75"/>
    <n v="20.75"/>
    <x v="1"/>
    <x v="2"/>
    <s v="Capocollo, Tomatoes, Goat Cheese, Artichokes, Peperoncini verdi, Garlic"/>
    <x v="12"/>
  </r>
  <r>
    <n v="564"/>
    <n v="245"/>
    <n v="0.5"/>
    <s v="bbq_ckn_l"/>
    <n v="1"/>
    <x v="3"/>
    <x v="3"/>
    <x v="244"/>
    <n v="20.75"/>
    <n v="20.75"/>
    <x v="1"/>
    <x v="3"/>
    <s v="Barbecued Chicken, Red Peppers, Green Peppers, Tomatoes, Red Onions, Barbecue Sauce"/>
    <x v="7"/>
  </r>
  <r>
    <n v="565"/>
    <n v="245"/>
    <n v="0.5"/>
    <s v="ckn_pesto_l"/>
    <n v="1"/>
    <x v="3"/>
    <x v="3"/>
    <x v="244"/>
    <n v="20.75"/>
    <n v="20.75"/>
    <x v="1"/>
    <x v="3"/>
    <s v="Chicken, Tomatoes, Red Peppers, Spinach, Garlic, Pesto Sauce"/>
    <x v="18"/>
  </r>
  <r>
    <n v="566"/>
    <n v="246"/>
    <n v="0.5"/>
    <s v="ckn_alfredo_m"/>
    <n v="1"/>
    <x v="3"/>
    <x v="3"/>
    <x v="245"/>
    <n v="16.75"/>
    <n v="16.75"/>
    <x v="0"/>
    <x v="3"/>
    <s v="Chicken, Red Onions, Red Peppers, Mushrooms, Asiago Cheese, Alfredo Sauce"/>
    <x v="29"/>
  </r>
  <r>
    <n v="567"/>
    <n v="246"/>
    <n v="0.5"/>
    <s v="pepperoni_l"/>
    <n v="1"/>
    <x v="3"/>
    <x v="3"/>
    <x v="245"/>
    <n v="15.25"/>
    <n v="15.25"/>
    <x v="1"/>
    <x v="0"/>
    <s v="Mozzarella Cheese, Pepperoni"/>
    <x v="17"/>
  </r>
  <r>
    <n v="568"/>
    <n v="247"/>
    <n v="0.33333333333333331"/>
    <s v="hawaiian_m"/>
    <n v="1"/>
    <x v="3"/>
    <x v="3"/>
    <x v="246"/>
    <n v="13.25"/>
    <n v="13.25"/>
    <x v="0"/>
    <x v="0"/>
    <s v="Sliced Ham, Pineapple, Mozzarella Cheese"/>
    <x v="0"/>
  </r>
  <r>
    <n v="569"/>
    <n v="247"/>
    <n v="0.33333333333333331"/>
    <s v="sicilian_m"/>
    <n v="1"/>
    <x v="3"/>
    <x v="3"/>
    <x v="246"/>
    <n v="16.25"/>
    <n v="16.25"/>
    <x v="0"/>
    <x v="2"/>
    <s v="Coarse Sicilian Salami, Tomatoes, Green Olives, Luganega Sausage, Onions, Garlic"/>
    <x v="28"/>
  </r>
  <r>
    <n v="570"/>
    <n v="247"/>
    <n v="0.33333333333333331"/>
    <s v="spinach_supr_s"/>
    <n v="1"/>
    <x v="3"/>
    <x v="3"/>
    <x v="246"/>
    <n v="12.5"/>
    <n v="12.5"/>
    <x v="2"/>
    <x v="2"/>
    <s v="Spinach, Red Onions, Pepperoni, Tomatoes, Artichokes, Kalamata Olives, Garlic, Asiago Cheese"/>
    <x v="9"/>
  </r>
  <r>
    <n v="571"/>
    <n v="248"/>
    <n v="0.5"/>
    <s v="hawaiian_s"/>
    <n v="1"/>
    <x v="3"/>
    <x v="3"/>
    <x v="247"/>
    <n v="10.5"/>
    <n v="10.5"/>
    <x v="2"/>
    <x v="0"/>
    <s v="Sliced Ham, Pineapple, Mozzarella Cheese"/>
    <x v="0"/>
  </r>
  <r>
    <n v="572"/>
    <n v="248"/>
    <n v="0.5"/>
    <s v="thai_ckn_l"/>
    <n v="1"/>
    <x v="3"/>
    <x v="3"/>
    <x v="247"/>
    <n v="20.75"/>
    <n v="20.75"/>
    <x v="1"/>
    <x v="3"/>
    <s v="Chicken, Pineapple, Tomatoes, Red Peppers, Thai Sweet Chilli Sauce"/>
    <x v="5"/>
  </r>
  <r>
    <n v="573"/>
    <n v="249"/>
    <n v="0.5"/>
    <s v="bbq_ckn_l"/>
    <n v="1"/>
    <x v="3"/>
    <x v="3"/>
    <x v="248"/>
    <n v="20.75"/>
    <n v="20.75"/>
    <x v="1"/>
    <x v="3"/>
    <s v="Barbecued Chicken, Red Peppers, Green Peppers, Tomatoes, Red Onions, Barbecue Sauce"/>
    <x v="7"/>
  </r>
  <r>
    <n v="574"/>
    <n v="249"/>
    <n v="0.5"/>
    <s v="calabrese_s"/>
    <n v="1"/>
    <x v="3"/>
    <x v="3"/>
    <x v="248"/>
    <n v="12.25"/>
    <n v="12.25"/>
    <x v="2"/>
    <x v="2"/>
    <s v="?duja Salami, Pancetta, Tomatoes, Red Onions, Friggitello Peppers, Garlic"/>
    <x v="23"/>
  </r>
  <r>
    <n v="575"/>
    <n v="250"/>
    <n v="1"/>
    <s v="four_cheese_m"/>
    <n v="1"/>
    <x v="3"/>
    <x v="3"/>
    <x v="249"/>
    <n v="14.75"/>
    <n v="14.75"/>
    <x v="0"/>
    <x v="1"/>
    <s v="Ricotta Cheese, Gorgonzola Piccante Cheese, Mozzarella Cheese, Parmigiano Reggiano Cheese, Garlic"/>
    <x v="21"/>
  </r>
  <r>
    <n v="576"/>
    <n v="251"/>
    <n v="1"/>
    <s v="mexicana_m"/>
    <n v="1"/>
    <x v="3"/>
    <x v="3"/>
    <x v="250"/>
    <n v="16"/>
    <n v="16"/>
    <x v="0"/>
    <x v="1"/>
    <s v="Tomatoes, Red Peppers, Jalapeno Peppers, Red Onions, Cilantro, Corn, Chipotle Sauce, Garlic"/>
    <x v="4"/>
  </r>
  <r>
    <n v="577"/>
    <n v="252"/>
    <n v="1"/>
    <s v="prsc_argla_m"/>
    <n v="1"/>
    <x v="3"/>
    <x v="3"/>
    <x v="251"/>
    <n v="16.5"/>
    <n v="16.5"/>
    <x v="0"/>
    <x v="2"/>
    <s v="Prosciutto di San Daniele, Arugula, Mozzarella Cheese"/>
    <x v="6"/>
  </r>
  <r>
    <n v="578"/>
    <n v="253"/>
    <n v="1"/>
    <s v="brie_carre_s"/>
    <n v="1"/>
    <x v="3"/>
    <x v="3"/>
    <x v="252"/>
    <n v="23.65"/>
    <n v="23.65"/>
    <x v="2"/>
    <x v="2"/>
    <s v="Brie Carre Cheese, Prosciutto, Caramelized Onions, Pears, Thyme, Garlic"/>
    <x v="31"/>
  </r>
  <r>
    <n v="579"/>
    <n v="254"/>
    <n v="0.33333333333333331"/>
    <s v="bbq_ckn_l"/>
    <n v="1"/>
    <x v="3"/>
    <x v="3"/>
    <x v="253"/>
    <n v="20.75"/>
    <n v="20.75"/>
    <x v="1"/>
    <x v="3"/>
    <s v="Barbecued Chicken, Red Peppers, Green Peppers, Tomatoes, Red Onions, Barbecue Sauce"/>
    <x v="7"/>
  </r>
  <r>
    <n v="580"/>
    <n v="254"/>
    <n v="0.33333333333333331"/>
    <s v="brie_carre_s"/>
    <n v="1"/>
    <x v="3"/>
    <x v="3"/>
    <x v="253"/>
    <n v="23.65"/>
    <n v="23.65"/>
    <x v="2"/>
    <x v="2"/>
    <s v="Brie Carre Cheese, Prosciutto, Caramelized Onions, Pears, Thyme, Garlic"/>
    <x v="31"/>
  </r>
  <r>
    <n v="581"/>
    <n v="254"/>
    <n v="0.33333333333333331"/>
    <s v="five_cheese_l"/>
    <n v="1"/>
    <x v="3"/>
    <x v="3"/>
    <x v="253"/>
    <n v="18.5"/>
    <n v="18.5"/>
    <x v="1"/>
    <x v="1"/>
    <s v="Mozzarella Cheese, Provolone Cheese, Smoked Gouda Cheese, Romano Cheese, Blue Cheese, Garlic"/>
    <x v="2"/>
  </r>
  <r>
    <n v="582"/>
    <n v="255"/>
    <n v="0.25"/>
    <s v="five_cheese_l"/>
    <n v="1"/>
    <x v="4"/>
    <x v="4"/>
    <x v="254"/>
    <n v="18.5"/>
    <n v="18.5"/>
    <x v="1"/>
    <x v="1"/>
    <s v="Mozzarella Cheese, Provolone Cheese, Smoked Gouda Cheese, Romano Cheese, Blue Cheese, Garlic"/>
    <x v="2"/>
  </r>
  <r>
    <n v="583"/>
    <n v="255"/>
    <n v="0.25"/>
    <s v="green_garden_m"/>
    <n v="1"/>
    <x v="4"/>
    <x v="4"/>
    <x v="254"/>
    <n v="16"/>
    <n v="16"/>
    <x v="0"/>
    <x v="1"/>
    <s v="Spinach, Mushrooms, Tomatoes, Green Olives, Feta Cheese"/>
    <x v="10"/>
  </r>
  <r>
    <n v="584"/>
    <n v="255"/>
    <n v="0.25"/>
    <s v="hawaiian_l"/>
    <n v="1"/>
    <x v="4"/>
    <x v="4"/>
    <x v="254"/>
    <n v="16.5"/>
    <n v="16.5"/>
    <x v="1"/>
    <x v="0"/>
    <s v="Sliced Ham, Pineapple, Mozzarella Cheese"/>
    <x v="0"/>
  </r>
  <r>
    <n v="585"/>
    <n v="255"/>
    <n v="0.25"/>
    <s v="spinach_fet_m"/>
    <n v="1"/>
    <x v="4"/>
    <x v="4"/>
    <x v="254"/>
    <n v="16"/>
    <n v="16"/>
    <x v="0"/>
    <x v="1"/>
    <s v="Spinach, Mushrooms, Red Onions, Feta Cheese, Garlic"/>
    <x v="27"/>
  </r>
  <r>
    <n v="586"/>
    <n v="256"/>
    <n v="1"/>
    <s v="pep_msh_pep_l"/>
    <n v="1"/>
    <x v="4"/>
    <x v="4"/>
    <x v="255"/>
    <n v="17.5"/>
    <n v="17.5"/>
    <x v="1"/>
    <x v="0"/>
    <s v="Pepperoni, Mushrooms, Green Peppers"/>
    <x v="30"/>
  </r>
  <r>
    <n v="587"/>
    <n v="257"/>
    <n v="0.5"/>
    <s v="cali_ckn_l"/>
    <n v="1"/>
    <x v="4"/>
    <x v="4"/>
    <x v="256"/>
    <n v="20.75"/>
    <n v="20.75"/>
    <x v="1"/>
    <x v="3"/>
    <s v="Chicken, Artichoke, Spinach, Garlic, Jalapeno Peppers, Fontina Cheese, Gouda Cheese"/>
    <x v="16"/>
  </r>
  <r>
    <n v="588"/>
    <n v="257"/>
    <n v="0.5"/>
    <s v="ckn_alfredo_l"/>
    <n v="1"/>
    <x v="4"/>
    <x v="4"/>
    <x v="256"/>
    <n v="20.75"/>
    <n v="20.75"/>
    <x v="1"/>
    <x v="3"/>
    <s v="Chicken, Red Onions, Red Peppers, Mushrooms, Asiago Cheese, Alfredo Sauce"/>
    <x v="29"/>
  </r>
  <r>
    <n v="589"/>
    <n v="258"/>
    <n v="1"/>
    <s v="classic_dlx_m"/>
    <n v="1"/>
    <x v="4"/>
    <x v="4"/>
    <x v="257"/>
    <n v="16"/>
    <n v="16"/>
    <x v="0"/>
    <x v="0"/>
    <s v="Pepperoni, Mushrooms, Red Onions, Red Peppers, Bacon"/>
    <x v="1"/>
  </r>
  <r>
    <n v="590"/>
    <n v="259"/>
    <n v="1"/>
    <s v="pepperoni_l"/>
    <n v="1"/>
    <x v="4"/>
    <x v="4"/>
    <x v="258"/>
    <n v="15.25"/>
    <n v="15.25"/>
    <x v="1"/>
    <x v="0"/>
    <s v="Mozzarella Cheese, Pepperoni"/>
    <x v="17"/>
  </r>
  <r>
    <n v="591"/>
    <n v="260"/>
    <n v="0.5"/>
    <s v="five_cheese_l"/>
    <n v="1"/>
    <x v="4"/>
    <x v="4"/>
    <x v="259"/>
    <n v="18.5"/>
    <n v="18.5"/>
    <x v="1"/>
    <x v="1"/>
    <s v="Mozzarella Cheese, Provolone Cheese, Smoked Gouda Cheese, Romano Cheese, Blue Cheese, Garlic"/>
    <x v="2"/>
  </r>
  <r>
    <n v="592"/>
    <n v="260"/>
    <n v="0.5"/>
    <s v="the_greek_l"/>
    <n v="1"/>
    <x v="4"/>
    <x v="4"/>
    <x v="259"/>
    <n v="20.5"/>
    <n v="20.5"/>
    <x v="1"/>
    <x v="0"/>
    <s v="Kalamata Olives, Feta Cheese, Tomatoes, Garlic, Beef Chuck Roast, Red Onions"/>
    <x v="8"/>
  </r>
  <r>
    <n v="593"/>
    <n v="261"/>
    <n v="1"/>
    <s v="brie_carre_s"/>
    <n v="1"/>
    <x v="4"/>
    <x v="4"/>
    <x v="260"/>
    <n v="23.65"/>
    <n v="23.65"/>
    <x v="2"/>
    <x v="2"/>
    <s v="Brie Carre Cheese, Prosciutto, Caramelized Onions, Pears, Thyme, Garlic"/>
    <x v="31"/>
  </r>
  <r>
    <n v="594"/>
    <n v="262"/>
    <n v="1"/>
    <s v="cali_ckn_m"/>
    <n v="1"/>
    <x v="4"/>
    <x v="4"/>
    <x v="261"/>
    <n v="16.75"/>
    <n v="16.75"/>
    <x v="0"/>
    <x v="3"/>
    <s v="Chicken, Artichoke, Spinach, Garlic, Jalapeno Peppers, Fontina Cheese, Gouda Cheese"/>
    <x v="16"/>
  </r>
  <r>
    <n v="595"/>
    <n v="263"/>
    <n v="1"/>
    <s v="spin_pesto_l"/>
    <n v="1"/>
    <x v="4"/>
    <x v="4"/>
    <x v="262"/>
    <n v="20.75"/>
    <n v="20.75"/>
    <x v="1"/>
    <x v="1"/>
    <s v="Spinach, Artichokes, Tomatoes, Sun-dried Tomatoes, Garlic, Pesto Sauce"/>
    <x v="13"/>
  </r>
  <r>
    <n v="596"/>
    <n v="264"/>
    <n v="1"/>
    <s v="mexicana_m"/>
    <n v="1"/>
    <x v="4"/>
    <x v="4"/>
    <x v="263"/>
    <n v="16"/>
    <n v="16"/>
    <x v="0"/>
    <x v="1"/>
    <s v="Tomatoes, Red Peppers, Jalapeno Peppers, Red Onions, Cilantro, Corn, Chipotle Sauce, Garlic"/>
    <x v="4"/>
  </r>
  <r>
    <n v="597"/>
    <n v="265"/>
    <n v="0.25"/>
    <s v="ckn_alfredo_m"/>
    <n v="1"/>
    <x v="4"/>
    <x v="4"/>
    <x v="264"/>
    <n v="16.75"/>
    <n v="16.75"/>
    <x v="0"/>
    <x v="3"/>
    <s v="Chicken, Red Onions, Red Peppers, Mushrooms, Asiago Cheese, Alfredo Sauce"/>
    <x v="29"/>
  </r>
  <r>
    <n v="598"/>
    <n v="265"/>
    <n v="0.25"/>
    <s v="mexicana_l"/>
    <n v="1"/>
    <x v="4"/>
    <x v="4"/>
    <x v="264"/>
    <n v="20.25"/>
    <n v="20.25"/>
    <x v="1"/>
    <x v="1"/>
    <s v="Tomatoes, Red Peppers, Jalapeno Peppers, Red Onions, Cilantro, Corn, Chipotle Sauce, Garlic"/>
    <x v="4"/>
  </r>
  <r>
    <n v="599"/>
    <n v="265"/>
    <n v="0.25"/>
    <s v="sicilian_m"/>
    <n v="1"/>
    <x v="4"/>
    <x v="4"/>
    <x v="264"/>
    <n v="16.25"/>
    <n v="16.25"/>
    <x v="0"/>
    <x v="2"/>
    <s v="Coarse Sicilian Salami, Tomatoes, Green Olives, Luganega Sausage, Onions, Garlic"/>
    <x v="28"/>
  </r>
  <r>
    <n v="600"/>
    <n v="265"/>
    <n v="0.25"/>
    <s v="spicy_ital_l"/>
    <n v="1"/>
    <x v="4"/>
    <x v="4"/>
    <x v="264"/>
    <n v="20.75"/>
    <n v="20.75"/>
    <x v="1"/>
    <x v="2"/>
    <s v="Capocollo, Tomatoes, Goat Cheese, Artichokes, Peperoncini verdi, Garlic"/>
    <x v="12"/>
  </r>
  <r>
    <n v="601"/>
    <n v="266"/>
    <n v="1"/>
    <s v="peppr_salami_m"/>
    <n v="1"/>
    <x v="4"/>
    <x v="4"/>
    <x v="265"/>
    <n v="16.5"/>
    <n v="16.5"/>
    <x v="0"/>
    <x v="2"/>
    <s v="Genoa Salami, Capocollo, Pepperoni, Tomatoes, Asiago Cheese, Garlic"/>
    <x v="26"/>
  </r>
  <r>
    <n v="602"/>
    <n v="267"/>
    <n v="0.33333333333333331"/>
    <s v="four_cheese_l"/>
    <n v="1"/>
    <x v="4"/>
    <x v="4"/>
    <x v="266"/>
    <n v="17.95"/>
    <n v="17.95"/>
    <x v="1"/>
    <x v="1"/>
    <s v="Ricotta Cheese, Gorgonzola Piccante Cheese, Mozzarella Cheese, Parmigiano Reggiano Cheese, Garlic"/>
    <x v="21"/>
  </r>
  <r>
    <n v="603"/>
    <n v="267"/>
    <n v="0.33333333333333331"/>
    <s v="mediterraneo_l"/>
    <n v="1"/>
    <x v="4"/>
    <x v="4"/>
    <x v="266"/>
    <n v="20.25"/>
    <n v="20.25"/>
    <x v="1"/>
    <x v="1"/>
    <s v="Spinach, Artichokes, Kalamata Olives, Sun-dried Tomatoes, Feta Cheese, Plum Tomatoes, Red Onions"/>
    <x v="25"/>
  </r>
  <r>
    <n v="604"/>
    <n v="267"/>
    <n v="0.33333333333333331"/>
    <s v="napolitana_s"/>
    <n v="1"/>
    <x v="4"/>
    <x v="4"/>
    <x v="266"/>
    <n v="12"/>
    <n v="12"/>
    <x v="2"/>
    <x v="0"/>
    <s v="Tomatoes, Anchovies, Green Olives, Red Onions, Garlic"/>
    <x v="22"/>
  </r>
  <r>
    <n v="605"/>
    <n v="268"/>
    <n v="0.5"/>
    <s v="ital_supr_l"/>
    <n v="1"/>
    <x v="4"/>
    <x v="4"/>
    <x v="267"/>
    <n v="20.75"/>
    <n v="20.75"/>
    <x v="1"/>
    <x v="2"/>
    <s v="Calabrese Salami, Capocollo, Tomatoes, Red Onions, Green Olives, Garlic"/>
    <x v="3"/>
  </r>
  <r>
    <n v="606"/>
    <n v="268"/>
    <n v="0.5"/>
    <s v="pepperoni_s"/>
    <n v="1"/>
    <x v="4"/>
    <x v="4"/>
    <x v="267"/>
    <n v="9.75"/>
    <n v="9.75"/>
    <x v="2"/>
    <x v="0"/>
    <s v="Mozzarella Cheese, Pepperoni"/>
    <x v="17"/>
  </r>
  <r>
    <n v="607"/>
    <n v="269"/>
    <n v="1"/>
    <s v="ckn_alfredo_m"/>
    <n v="1"/>
    <x v="4"/>
    <x v="4"/>
    <x v="268"/>
    <n v="16.75"/>
    <n v="16.75"/>
    <x v="0"/>
    <x v="3"/>
    <s v="Chicken, Red Onions, Red Peppers, Mushrooms, Asiago Cheese, Alfredo Sauce"/>
    <x v="29"/>
  </r>
  <r>
    <n v="608"/>
    <n v="270"/>
    <n v="0.33333333333333331"/>
    <s v="southw_ckn_l"/>
    <n v="1"/>
    <x v="4"/>
    <x v="4"/>
    <x v="269"/>
    <n v="20.75"/>
    <n v="20.75"/>
    <x v="1"/>
    <x v="3"/>
    <s v="Chicken, Tomatoes, Red Peppers, Red Onions, Jalapeno Peppers, Corn, Cilantro, Chipotle Sauce"/>
    <x v="15"/>
  </r>
  <r>
    <n v="609"/>
    <n v="270"/>
    <n v="0.33333333333333331"/>
    <s v="spin_pesto_l"/>
    <n v="1"/>
    <x v="4"/>
    <x v="4"/>
    <x v="269"/>
    <n v="20.75"/>
    <n v="20.75"/>
    <x v="1"/>
    <x v="1"/>
    <s v="Spinach, Artichokes, Tomatoes, Sun-dried Tomatoes, Garlic, Pesto Sauce"/>
    <x v="13"/>
  </r>
  <r>
    <n v="610"/>
    <n v="270"/>
    <n v="0.33333333333333331"/>
    <s v="thai_ckn_l"/>
    <n v="1"/>
    <x v="4"/>
    <x v="4"/>
    <x v="269"/>
    <n v="20.75"/>
    <n v="20.75"/>
    <x v="1"/>
    <x v="3"/>
    <s v="Chicken, Pineapple, Tomatoes, Red Peppers, Thai Sweet Chilli Sauce"/>
    <x v="5"/>
  </r>
  <r>
    <n v="611"/>
    <n v="271"/>
    <n v="0.1"/>
    <s v="big_meat_s"/>
    <n v="1"/>
    <x v="4"/>
    <x v="4"/>
    <x v="270"/>
    <n v="12"/>
    <n v="12"/>
    <x v="2"/>
    <x v="0"/>
    <s v="Bacon, Pepperoni, Italian Sausage, Chorizo Sausage"/>
    <x v="19"/>
  </r>
  <r>
    <n v="612"/>
    <n v="271"/>
    <n v="0.1"/>
    <s v="cali_ckn_m"/>
    <n v="2"/>
    <x v="4"/>
    <x v="4"/>
    <x v="270"/>
    <n v="16.75"/>
    <n v="33.5"/>
    <x v="0"/>
    <x v="3"/>
    <s v="Chicken, Artichoke, Spinach, Garlic, Jalapeno Peppers, Fontina Cheese, Gouda Cheese"/>
    <x v="16"/>
  </r>
  <r>
    <n v="613"/>
    <n v="271"/>
    <n v="0.1"/>
    <s v="ckn_alfredo_m"/>
    <n v="2"/>
    <x v="4"/>
    <x v="4"/>
    <x v="270"/>
    <n v="16.75"/>
    <n v="33.5"/>
    <x v="0"/>
    <x v="3"/>
    <s v="Chicken, Red Onions, Red Peppers, Mushrooms, Asiago Cheese, Alfredo Sauce"/>
    <x v="29"/>
  </r>
  <r>
    <n v="614"/>
    <n v="271"/>
    <n v="0.1"/>
    <s v="ckn_pesto_l"/>
    <n v="2"/>
    <x v="4"/>
    <x v="4"/>
    <x v="270"/>
    <n v="20.75"/>
    <n v="41.5"/>
    <x v="1"/>
    <x v="3"/>
    <s v="Chicken, Tomatoes, Red Peppers, Spinach, Garlic, Pesto Sauce"/>
    <x v="18"/>
  </r>
  <r>
    <n v="615"/>
    <n v="271"/>
    <n v="0.1"/>
    <s v="classic_dlx_m"/>
    <n v="1"/>
    <x v="4"/>
    <x v="4"/>
    <x v="270"/>
    <n v="16"/>
    <n v="16"/>
    <x v="0"/>
    <x v="0"/>
    <s v="Pepperoni, Mushrooms, Red Onions, Red Peppers, Bacon"/>
    <x v="1"/>
  </r>
  <r>
    <n v="616"/>
    <n v="271"/>
    <n v="0.1"/>
    <s v="ital_supr_m"/>
    <n v="1"/>
    <x v="4"/>
    <x v="4"/>
    <x v="270"/>
    <n v="16.5"/>
    <n v="16.5"/>
    <x v="0"/>
    <x v="2"/>
    <s v="Calabrese Salami, Capocollo, Tomatoes, Red Onions, Green Olives, Garlic"/>
    <x v="3"/>
  </r>
  <r>
    <n v="617"/>
    <n v="271"/>
    <n v="0.1"/>
    <s v="sicilian_s"/>
    <n v="1"/>
    <x v="4"/>
    <x v="4"/>
    <x v="270"/>
    <n v="12.25"/>
    <n v="12.25"/>
    <x v="2"/>
    <x v="2"/>
    <s v="Coarse Sicilian Salami, Tomatoes, Green Olives, Luganega Sausage, Onions, Garlic"/>
    <x v="28"/>
  </r>
  <r>
    <n v="618"/>
    <n v="271"/>
    <n v="0.1"/>
    <s v="soppressata_m"/>
    <n v="1"/>
    <x v="4"/>
    <x v="4"/>
    <x v="270"/>
    <n v="16.5"/>
    <n v="16.5"/>
    <x v="0"/>
    <x v="2"/>
    <s v="Soppressata Salami, Fontina Cheese, Mozzarella Cheese, Mushrooms, Garlic"/>
    <x v="20"/>
  </r>
  <r>
    <n v="619"/>
    <n v="271"/>
    <n v="0.1"/>
    <s v="southw_ckn_m"/>
    <n v="1"/>
    <x v="4"/>
    <x v="4"/>
    <x v="270"/>
    <n v="16.75"/>
    <n v="16.75"/>
    <x v="0"/>
    <x v="3"/>
    <s v="Chicken, Tomatoes, Red Peppers, Red Onions, Jalapeno Peppers, Corn, Cilantro, Chipotle Sauce"/>
    <x v="15"/>
  </r>
  <r>
    <n v="620"/>
    <n v="271"/>
    <n v="0.1"/>
    <s v="the_greek_s"/>
    <n v="1"/>
    <x v="4"/>
    <x v="4"/>
    <x v="270"/>
    <n v="12"/>
    <n v="12"/>
    <x v="2"/>
    <x v="0"/>
    <s v="Kalamata Olives, Feta Cheese, Tomatoes, Garlic, Beef Chuck Roast, Red Onions"/>
    <x v="8"/>
  </r>
  <r>
    <n v="621"/>
    <n v="272"/>
    <n v="1"/>
    <s v="ital_supr_m"/>
    <n v="1"/>
    <x v="4"/>
    <x v="4"/>
    <x v="271"/>
    <n v="16.5"/>
    <n v="16.5"/>
    <x v="0"/>
    <x v="2"/>
    <s v="Calabrese Salami, Capocollo, Tomatoes, Red Onions, Green Olives, Garlic"/>
    <x v="3"/>
  </r>
  <r>
    <n v="622"/>
    <n v="273"/>
    <n v="1"/>
    <s v="soppressata_s"/>
    <n v="1"/>
    <x v="4"/>
    <x v="4"/>
    <x v="272"/>
    <n v="12.5"/>
    <n v="12.5"/>
    <x v="2"/>
    <x v="2"/>
    <s v="Soppressata Salami, Fontina Cheese, Mozzarella Cheese, Mushrooms, Garlic"/>
    <x v="20"/>
  </r>
  <r>
    <n v="623"/>
    <n v="274"/>
    <n v="0.5"/>
    <s v="four_cheese_l"/>
    <n v="1"/>
    <x v="4"/>
    <x v="4"/>
    <x v="273"/>
    <n v="17.95"/>
    <n v="17.95"/>
    <x v="1"/>
    <x v="1"/>
    <s v="Ricotta Cheese, Gorgonzola Piccante Cheese, Mozzarella Cheese, Parmigiano Reggiano Cheese, Garlic"/>
    <x v="21"/>
  </r>
  <r>
    <n v="624"/>
    <n v="274"/>
    <n v="0.5"/>
    <s v="thai_ckn_l"/>
    <n v="1"/>
    <x v="4"/>
    <x v="4"/>
    <x v="273"/>
    <n v="20.75"/>
    <n v="20.75"/>
    <x v="1"/>
    <x v="3"/>
    <s v="Chicken, Pineapple, Tomatoes, Red Peppers, Thai Sweet Chilli Sauce"/>
    <x v="5"/>
  </r>
  <r>
    <n v="625"/>
    <n v="275"/>
    <n v="0.25"/>
    <s v="classic_dlx_l"/>
    <n v="1"/>
    <x v="4"/>
    <x v="4"/>
    <x v="274"/>
    <n v="20.5"/>
    <n v="20.5"/>
    <x v="1"/>
    <x v="0"/>
    <s v="Pepperoni, Mushrooms, Red Onions, Red Peppers, Bacon"/>
    <x v="1"/>
  </r>
  <r>
    <n v="626"/>
    <n v="275"/>
    <n v="0.25"/>
    <s v="five_cheese_l"/>
    <n v="1"/>
    <x v="4"/>
    <x v="4"/>
    <x v="274"/>
    <n v="18.5"/>
    <n v="18.5"/>
    <x v="1"/>
    <x v="1"/>
    <s v="Mozzarella Cheese, Provolone Cheese, Smoked Gouda Cheese, Romano Cheese, Blue Cheese, Garlic"/>
    <x v="2"/>
  </r>
  <r>
    <n v="627"/>
    <n v="275"/>
    <n v="0.25"/>
    <s v="pepperoni_s"/>
    <n v="1"/>
    <x v="4"/>
    <x v="4"/>
    <x v="274"/>
    <n v="9.75"/>
    <n v="9.75"/>
    <x v="2"/>
    <x v="0"/>
    <s v="Mozzarella Cheese, Pepperoni"/>
    <x v="17"/>
  </r>
  <r>
    <n v="628"/>
    <n v="275"/>
    <n v="0.25"/>
    <s v="sicilian_m"/>
    <n v="1"/>
    <x v="4"/>
    <x v="4"/>
    <x v="274"/>
    <n v="16.25"/>
    <n v="16.25"/>
    <x v="0"/>
    <x v="2"/>
    <s v="Coarse Sicilian Salami, Tomatoes, Green Olives, Luganega Sausage, Onions, Garlic"/>
    <x v="28"/>
  </r>
  <r>
    <n v="629"/>
    <n v="276"/>
    <n v="0.5"/>
    <s v="five_cheese_l"/>
    <n v="1"/>
    <x v="4"/>
    <x v="4"/>
    <x v="275"/>
    <n v="18.5"/>
    <n v="18.5"/>
    <x v="1"/>
    <x v="1"/>
    <s v="Mozzarella Cheese, Provolone Cheese, Smoked Gouda Cheese, Romano Cheese, Blue Cheese, Garlic"/>
    <x v="2"/>
  </r>
  <r>
    <n v="630"/>
    <n v="276"/>
    <n v="0.5"/>
    <s v="spicy_ital_l"/>
    <n v="1"/>
    <x v="4"/>
    <x v="4"/>
    <x v="275"/>
    <n v="20.75"/>
    <n v="20.75"/>
    <x v="1"/>
    <x v="2"/>
    <s v="Capocollo, Tomatoes, Goat Cheese, Artichokes, Peperoncini verdi, Garlic"/>
    <x v="12"/>
  </r>
  <r>
    <n v="631"/>
    <n v="277"/>
    <n v="1"/>
    <s v="four_cheese_m"/>
    <n v="1"/>
    <x v="4"/>
    <x v="4"/>
    <x v="276"/>
    <n v="14.75"/>
    <n v="14.75"/>
    <x v="0"/>
    <x v="1"/>
    <s v="Ricotta Cheese, Gorgonzola Piccante Cheese, Mozzarella Cheese, Parmigiano Reggiano Cheese, Garlic"/>
    <x v="21"/>
  </r>
  <r>
    <n v="632"/>
    <n v="278"/>
    <n v="0.5"/>
    <s v="ital_veggie_m"/>
    <n v="1"/>
    <x v="4"/>
    <x v="4"/>
    <x v="277"/>
    <n v="16.75"/>
    <n v="16.75"/>
    <x v="0"/>
    <x v="1"/>
    <s v="Eggplant, Artichokes, Tomatoes, Zucchini, Red Peppers, Garlic, Pesto Sauce"/>
    <x v="24"/>
  </r>
  <r>
    <n v="633"/>
    <n v="278"/>
    <n v="0.5"/>
    <s v="southw_ckn_l"/>
    <n v="1"/>
    <x v="4"/>
    <x v="4"/>
    <x v="277"/>
    <n v="20.75"/>
    <n v="20.75"/>
    <x v="1"/>
    <x v="3"/>
    <s v="Chicken, Tomatoes, Red Peppers, Red Onions, Jalapeno Peppers, Corn, Cilantro, Chipotle Sauce"/>
    <x v="15"/>
  </r>
  <r>
    <n v="634"/>
    <n v="279"/>
    <n v="0.5"/>
    <s v="cali_ckn_m"/>
    <n v="1"/>
    <x v="4"/>
    <x v="4"/>
    <x v="278"/>
    <n v="16.75"/>
    <n v="16.75"/>
    <x v="0"/>
    <x v="3"/>
    <s v="Chicken, Artichoke, Spinach, Garlic, Jalapeno Peppers, Fontina Cheese, Gouda Cheese"/>
    <x v="16"/>
  </r>
  <r>
    <n v="635"/>
    <n v="279"/>
    <n v="0.5"/>
    <s v="ckn_alfredo_m"/>
    <n v="1"/>
    <x v="4"/>
    <x v="4"/>
    <x v="278"/>
    <n v="16.75"/>
    <n v="16.75"/>
    <x v="0"/>
    <x v="3"/>
    <s v="Chicken, Red Onions, Red Peppers, Mushrooms, Asiago Cheese, Alfredo Sauce"/>
    <x v="29"/>
  </r>
  <r>
    <n v="636"/>
    <n v="280"/>
    <n v="0.5"/>
    <s v="prsc_argla_m"/>
    <n v="1"/>
    <x v="4"/>
    <x v="4"/>
    <x v="279"/>
    <n v="16.5"/>
    <n v="16.5"/>
    <x v="0"/>
    <x v="2"/>
    <s v="Prosciutto di San Daniele, Arugula, Mozzarella Cheese"/>
    <x v="6"/>
  </r>
  <r>
    <n v="637"/>
    <n v="280"/>
    <n v="0.5"/>
    <s v="veggie_veg_m"/>
    <n v="1"/>
    <x v="4"/>
    <x v="4"/>
    <x v="279"/>
    <n v="16"/>
    <n v="16"/>
    <x v="0"/>
    <x v="1"/>
    <s v="Mushrooms, Tomatoes, Red Peppers, Green Peppers, Red Onions, Zucchini, Spinach, Garlic"/>
    <x v="14"/>
  </r>
  <r>
    <n v="638"/>
    <n v="281"/>
    <n v="1"/>
    <s v="sicilian_s"/>
    <n v="1"/>
    <x v="4"/>
    <x v="4"/>
    <x v="280"/>
    <n v="12.25"/>
    <n v="12.25"/>
    <x v="2"/>
    <x v="2"/>
    <s v="Coarse Sicilian Salami, Tomatoes, Green Olives, Luganega Sausage, Onions, Garlic"/>
    <x v="28"/>
  </r>
  <r>
    <n v="639"/>
    <n v="282"/>
    <n v="0.25"/>
    <s v="classic_dlx_s"/>
    <n v="1"/>
    <x v="4"/>
    <x v="4"/>
    <x v="281"/>
    <n v="12"/>
    <n v="12"/>
    <x v="2"/>
    <x v="0"/>
    <s v="Pepperoni, Mushrooms, Red Onions, Red Peppers, Bacon"/>
    <x v="1"/>
  </r>
  <r>
    <n v="640"/>
    <n v="282"/>
    <n v="0.25"/>
    <s v="five_cheese_l"/>
    <n v="1"/>
    <x v="4"/>
    <x v="4"/>
    <x v="281"/>
    <n v="18.5"/>
    <n v="18.5"/>
    <x v="1"/>
    <x v="1"/>
    <s v="Mozzarella Cheese, Provolone Cheese, Smoked Gouda Cheese, Romano Cheese, Blue Cheese, Garlic"/>
    <x v="2"/>
  </r>
  <r>
    <n v="641"/>
    <n v="282"/>
    <n v="0.25"/>
    <s v="peppr_salami_l"/>
    <n v="1"/>
    <x v="4"/>
    <x v="4"/>
    <x v="281"/>
    <n v="20.75"/>
    <n v="20.75"/>
    <x v="1"/>
    <x v="2"/>
    <s v="Genoa Salami, Capocollo, Pepperoni, Tomatoes, Asiago Cheese, Garlic"/>
    <x v="26"/>
  </r>
  <r>
    <n v="642"/>
    <n v="282"/>
    <n v="0.25"/>
    <s v="spin_pesto_l"/>
    <n v="1"/>
    <x v="4"/>
    <x v="4"/>
    <x v="281"/>
    <n v="20.75"/>
    <n v="20.75"/>
    <x v="1"/>
    <x v="1"/>
    <s v="Spinach, Artichokes, Tomatoes, Sun-dried Tomatoes, Garlic, Pesto Sauce"/>
    <x v="13"/>
  </r>
  <r>
    <n v="643"/>
    <n v="283"/>
    <n v="1"/>
    <s v="napolitana_m"/>
    <n v="1"/>
    <x v="4"/>
    <x v="4"/>
    <x v="282"/>
    <n v="16"/>
    <n v="16"/>
    <x v="0"/>
    <x v="0"/>
    <s v="Tomatoes, Anchovies, Green Olives, Red Onions, Garlic"/>
    <x v="22"/>
  </r>
  <r>
    <n v="644"/>
    <n v="284"/>
    <n v="0.33333333333333331"/>
    <s v="four_cheese_m"/>
    <n v="1"/>
    <x v="4"/>
    <x v="4"/>
    <x v="283"/>
    <n v="14.75"/>
    <n v="14.75"/>
    <x v="0"/>
    <x v="1"/>
    <s v="Ricotta Cheese, Gorgonzola Piccante Cheese, Mozzarella Cheese, Parmigiano Reggiano Cheese, Garlic"/>
    <x v="21"/>
  </r>
  <r>
    <n v="645"/>
    <n v="284"/>
    <n v="0.33333333333333331"/>
    <s v="hawaiian_s"/>
    <n v="1"/>
    <x v="4"/>
    <x v="4"/>
    <x v="283"/>
    <n v="10.5"/>
    <n v="10.5"/>
    <x v="2"/>
    <x v="0"/>
    <s v="Sliced Ham, Pineapple, Mozzarella Cheese"/>
    <x v="0"/>
  </r>
  <r>
    <n v="646"/>
    <n v="284"/>
    <n v="0.33333333333333331"/>
    <s v="napolitana_m"/>
    <n v="1"/>
    <x v="4"/>
    <x v="4"/>
    <x v="283"/>
    <n v="16"/>
    <n v="16"/>
    <x v="0"/>
    <x v="0"/>
    <s v="Tomatoes, Anchovies, Green Olives, Red Onions, Garlic"/>
    <x v="22"/>
  </r>
  <r>
    <n v="647"/>
    <n v="285"/>
    <n v="1"/>
    <s v="prsc_argla_l"/>
    <n v="1"/>
    <x v="4"/>
    <x v="4"/>
    <x v="284"/>
    <n v="20.75"/>
    <n v="20.75"/>
    <x v="1"/>
    <x v="2"/>
    <s v="Prosciutto di San Daniele, Arugula, Mozzarella Cheese"/>
    <x v="6"/>
  </r>
  <r>
    <n v="648"/>
    <n v="286"/>
    <n v="0.5"/>
    <s v="ital_supr_m"/>
    <n v="1"/>
    <x v="4"/>
    <x v="4"/>
    <x v="285"/>
    <n v="16.5"/>
    <n v="16.5"/>
    <x v="0"/>
    <x v="2"/>
    <s v="Calabrese Salami, Capocollo, Tomatoes, Red Onions, Green Olives, Garlic"/>
    <x v="3"/>
  </r>
  <r>
    <n v="649"/>
    <n v="286"/>
    <n v="0.5"/>
    <s v="peppr_salami_l"/>
    <n v="1"/>
    <x v="4"/>
    <x v="4"/>
    <x v="285"/>
    <n v="20.75"/>
    <n v="20.75"/>
    <x v="1"/>
    <x v="2"/>
    <s v="Genoa Salami, Capocollo, Pepperoni, Tomatoes, Asiago Cheese, Garlic"/>
    <x v="26"/>
  </r>
  <r>
    <n v="650"/>
    <n v="287"/>
    <n v="0.25"/>
    <s v="ital_supr_m"/>
    <n v="1"/>
    <x v="4"/>
    <x v="4"/>
    <x v="286"/>
    <n v="16.5"/>
    <n v="16.5"/>
    <x v="0"/>
    <x v="2"/>
    <s v="Calabrese Salami, Capocollo, Tomatoes, Red Onions, Green Olives, Garlic"/>
    <x v="3"/>
  </r>
  <r>
    <n v="651"/>
    <n v="287"/>
    <n v="0.25"/>
    <s v="pep_msh_pep_m"/>
    <n v="1"/>
    <x v="4"/>
    <x v="4"/>
    <x v="286"/>
    <n v="14.5"/>
    <n v="14.5"/>
    <x v="0"/>
    <x v="0"/>
    <s v="Pepperoni, Mushrooms, Green Peppers"/>
    <x v="30"/>
  </r>
  <r>
    <n v="652"/>
    <n v="287"/>
    <n v="0.25"/>
    <s v="pepperoni_m"/>
    <n v="1"/>
    <x v="4"/>
    <x v="4"/>
    <x v="286"/>
    <n v="12.5"/>
    <n v="12.5"/>
    <x v="0"/>
    <x v="0"/>
    <s v="Mozzarella Cheese, Pepperoni"/>
    <x v="17"/>
  </r>
  <r>
    <n v="653"/>
    <n v="287"/>
    <n v="0.25"/>
    <s v="sicilian_s"/>
    <n v="1"/>
    <x v="4"/>
    <x v="4"/>
    <x v="286"/>
    <n v="12.25"/>
    <n v="12.25"/>
    <x v="2"/>
    <x v="2"/>
    <s v="Coarse Sicilian Salami, Tomatoes, Green Olives, Luganega Sausage, Onions, Garlic"/>
    <x v="28"/>
  </r>
  <r>
    <n v="654"/>
    <n v="288"/>
    <n v="0.33333333333333331"/>
    <s v="brie_carre_s"/>
    <n v="1"/>
    <x v="4"/>
    <x v="4"/>
    <x v="287"/>
    <n v="23.65"/>
    <n v="23.65"/>
    <x v="2"/>
    <x v="2"/>
    <s v="Brie Carre Cheese, Prosciutto, Caramelized Onions, Pears, Thyme, Garlic"/>
    <x v="31"/>
  </r>
  <r>
    <n v="655"/>
    <n v="288"/>
    <n v="0.33333333333333331"/>
    <s v="prsc_argla_l"/>
    <n v="1"/>
    <x v="4"/>
    <x v="4"/>
    <x v="287"/>
    <n v="20.75"/>
    <n v="20.75"/>
    <x v="1"/>
    <x v="2"/>
    <s v="Prosciutto di San Daniele, Arugula, Mozzarella Cheese"/>
    <x v="6"/>
  </r>
  <r>
    <n v="656"/>
    <n v="288"/>
    <n v="0.33333333333333331"/>
    <s v="spinach_supr_l"/>
    <n v="1"/>
    <x v="4"/>
    <x v="4"/>
    <x v="287"/>
    <n v="20.75"/>
    <n v="20.75"/>
    <x v="1"/>
    <x v="2"/>
    <s v="Spinach, Red Onions, Pepperoni, Tomatoes, Artichokes, Kalamata Olives, Garlic, Asiago Cheese"/>
    <x v="9"/>
  </r>
  <r>
    <n v="657"/>
    <n v="289"/>
    <n v="1"/>
    <s v="five_cheese_l"/>
    <n v="1"/>
    <x v="4"/>
    <x v="4"/>
    <x v="288"/>
    <n v="18.5"/>
    <n v="18.5"/>
    <x v="1"/>
    <x v="1"/>
    <s v="Mozzarella Cheese, Provolone Cheese, Smoked Gouda Cheese, Romano Cheese, Blue Cheese, Garlic"/>
    <x v="2"/>
  </r>
  <r>
    <n v="658"/>
    <n v="290"/>
    <n v="0.5"/>
    <s v="classic_dlx_s"/>
    <n v="1"/>
    <x v="4"/>
    <x v="4"/>
    <x v="289"/>
    <n v="12"/>
    <n v="12"/>
    <x v="2"/>
    <x v="0"/>
    <s v="Pepperoni, Mushrooms, Red Onions, Red Peppers, Bacon"/>
    <x v="1"/>
  </r>
  <r>
    <n v="659"/>
    <n v="290"/>
    <n v="0.5"/>
    <s v="veggie_veg_m"/>
    <n v="1"/>
    <x v="4"/>
    <x v="4"/>
    <x v="289"/>
    <n v="16"/>
    <n v="16"/>
    <x v="0"/>
    <x v="1"/>
    <s v="Mushrooms, Tomatoes, Red Peppers, Green Peppers, Red Onions, Zucchini, Spinach, Garlic"/>
    <x v="14"/>
  </r>
  <r>
    <n v="660"/>
    <n v="291"/>
    <n v="0.33333333333333331"/>
    <s v="bbq_ckn_l"/>
    <n v="1"/>
    <x v="4"/>
    <x v="4"/>
    <x v="290"/>
    <n v="20.75"/>
    <n v="20.75"/>
    <x v="1"/>
    <x v="3"/>
    <s v="Barbecued Chicken, Red Peppers, Green Peppers, Tomatoes, Red Onions, Barbecue Sauce"/>
    <x v="7"/>
  </r>
  <r>
    <n v="661"/>
    <n v="291"/>
    <n v="0.33333333333333331"/>
    <s v="ckn_alfredo_m"/>
    <n v="2"/>
    <x v="4"/>
    <x v="4"/>
    <x v="290"/>
    <n v="16.75"/>
    <n v="33.5"/>
    <x v="0"/>
    <x v="3"/>
    <s v="Chicken, Red Onions, Red Peppers, Mushrooms, Asiago Cheese, Alfredo Sauce"/>
    <x v="29"/>
  </r>
  <r>
    <n v="662"/>
    <n v="291"/>
    <n v="0.33333333333333331"/>
    <s v="four_cheese_m"/>
    <n v="1"/>
    <x v="4"/>
    <x v="4"/>
    <x v="290"/>
    <n v="14.75"/>
    <n v="14.75"/>
    <x v="0"/>
    <x v="1"/>
    <s v="Ricotta Cheese, Gorgonzola Piccante Cheese, Mozzarella Cheese, Parmigiano Reggiano Cheese, Garlic"/>
    <x v="21"/>
  </r>
  <r>
    <n v="663"/>
    <n v="292"/>
    <n v="0.5"/>
    <s v="spin_pesto_m"/>
    <n v="1"/>
    <x v="4"/>
    <x v="4"/>
    <x v="291"/>
    <n v="16.5"/>
    <n v="16.5"/>
    <x v="0"/>
    <x v="1"/>
    <s v="Spinach, Artichokes, Tomatoes, Sun-dried Tomatoes, Garlic, Pesto Sauce"/>
    <x v="13"/>
  </r>
  <r>
    <n v="664"/>
    <n v="292"/>
    <n v="0.5"/>
    <s v="spinach_fet_l"/>
    <n v="1"/>
    <x v="4"/>
    <x v="4"/>
    <x v="291"/>
    <n v="20.25"/>
    <n v="20.25"/>
    <x v="1"/>
    <x v="1"/>
    <s v="Spinach, Mushrooms, Red Onions, Feta Cheese, Garlic"/>
    <x v="27"/>
  </r>
  <r>
    <n v="665"/>
    <n v="293"/>
    <n v="0.5"/>
    <s v="classic_dlx_s"/>
    <n v="1"/>
    <x v="4"/>
    <x v="4"/>
    <x v="229"/>
    <n v="12"/>
    <n v="12"/>
    <x v="2"/>
    <x v="0"/>
    <s v="Pepperoni, Mushrooms, Red Onions, Red Peppers, Bacon"/>
    <x v="1"/>
  </r>
  <r>
    <n v="666"/>
    <n v="293"/>
    <n v="0.5"/>
    <s v="ital_veggie_s"/>
    <n v="1"/>
    <x v="4"/>
    <x v="4"/>
    <x v="229"/>
    <n v="12.75"/>
    <n v="12.75"/>
    <x v="2"/>
    <x v="1"/>
    <s v="Eggplant, Artichokes, Tomatoes, Zucchini, Red Peppers, Garlic, Pesto Sauce"/>
    <x v="24"/>
  </r>
  <r>
    <n v="667"/>
    <n v="294"/>
    <n v="0.33333333333333331"/>
    <s v="bbq_ckn_m"/>
    <n v="1"/>
    <x v="4"/>
    <x v="4"/>
    <x v="292"/>
    <n v="16.75"/>
    <n v="16.75"/>
    <x v="0"/>
    <x v="3"/>
    <s v="Barbecued Chicken, Red Peppers, Green Peppers, Tomatoes, Red Onions, Barbecue Sauce"/>
    <x v="7"/>
  </r>
  <r>
    <n v="668"/>
    <n v="294"/>
    <n v="0.33333333333333331"/>
    <s v="ital_supr_l"/>
    <n v="1"/>
    <x v="4"/>
    <x v="4"/>
    <x v="292"/>
    <n v="20.75"/>
    <n v="20.75"/>
    <x v="1"/>
    <x v="2"/>
    <s v="Calabrese Salami, Capocollo, Tomatoes, Red Onions, Green Olives, Garlic"/>
    <x v="3"/>
  </r>
  <r>
    <n v="669"/>
    <n v="294"/>
    <n v="0.33333333333333331"/>
    <s v="thai_ckn_l"/>
    <n v="1"/>
    <x v="4"/>
    <x v="4"/>
    <x v="292"/>
    <n v="20.75"/>
    <n v="20.75"/>
    <x v="1"/>
    <x v="3"/>
    <s v="Chicken, Pineapple, Tomatoes, Red Peppers, Thai Sweet Chilli Sauce"/>
    <x v="5"/>
  </r>
  <r>
    <n v="670"/>
    <n v="295"/>
    <n v="1"/>
    <s v="cali_ckn_m"/>
    <n v="1"/>
    <x v="4"/>
    <x v="4"/>
    <x v="293"/>
    <n v="16.75"/>
    <n v="16.75"/>
    <x v="0"/>
    <x v="3"/>
    <s v="Chicken, Artichoke, Spinach, Garlic, Jalapeno Peppers, Fontina Cheese, Gouda Cheese"/>
    <x v="16"/>
  </r>
  <r>
    <n v="671"/>
    <n v="296"/>
    <n v="0.33333333333333331"/>
    <s v="green_garden_s"/>
    <n v="1"/>
    <x v="4"/>
    <x v="4"/>
    <x v="294"/>
    <n v="12"/>
    <n v="12"/>
    <x v="2"/>
    <x v="1"/>
    <s v="Spinach, Mushrooms, Tomatoes, Green Olives, Feta Cheese"/>
    <x v="10"/>
  </r>
  <r>
    <n v="672"/>
    <n v="296"/>
    <n v="0.33333333333333331"/>
    <s v="ital_cpcllo_s"/>
    <n v="1"/>
    <x v="4"/>
    <x v="4"/>
    <x v="294"/>
    <n v="12"/>
    <n v="12"/>
    <x v="2"/>
    <x v="0"/>
    <s v="Capocollo, Red Peppers, Tomatoes, Goat Cheese, Garlic, Oregano"/>
    <x v="11"/>
  </r>
  <r>
    <n v="673"/>
    <n v="296"/>
    <n v="0.33333333333333331"/>
    <s v="thai_ckn_m"/>
    <n v="1"/>
    <x v="4"/>
    <x v="4"/>
    <x v="294"/>
    <n v="16.75"/>
    <n v="16.75"/>
    <x v="0"/>
    <x v="3"/>
    <s v="Chicken, Pineapple, Tomatoes, Red Peppers, Thai Sweet Chilli Sauce"/>
    <x v="5"/>
  </r>
  <r>
    <n v="674"/>
    <n v="297"/>
    <n v="1"/>
    <s v="southw_ckn_m"/>
    <n v="1"/>
    <x v="4"/>
    <x v="4"/>
    <x v="295"/>
    <n v="16.75"/>
    <n v="16.75"/>
    <x v="0"/>
    <x v="3"/>
    <s v="Chicken, Tomatoes, Red Peppers, Red Onions, Jalapeno Peppers, Corn, Cilantro, Chipotle Sauce"/>
    <x v="15"/>
  </r>
  <r>
    <n v="675"/>
    <n v="298"/>
    <n v="0.25"/>
    <s v="cali_ckn_m"/>
    <n v="1"/>
    <x v="4"/>
    <x v="4"/>
    <x v="296"/>
    <n v="16.75"/>
    <n v="16.75"/>
    <x v="0"/>
    <x v="3"/>
    <s v="Chicken, Artichoke, Spinach, Garlic, Jalapeno Peppers, Fontina Cheese, Gouda Cheese"/>
    <x v="16"/>
  </r>
  <r>
    <n v="676"/>
    <n v="298"/>
    <n v="0.25"/>
    <s v="cali_ckn_s"/>
    <n v="1"/>
    <x v="4"/>
    <x v="4"/>
    <x v="296"/>
    <n v="12.75"/>
    <n v="12.75"/>
    <x v="2"/>
    <x v="3"/>
    <s v="Chicken, Artichoke, Spinach, Garlic, Jalapeno Peppers, Fontina Cheese, Gouda Cheese"/>
    <x v="16"/>
  </r>
  <r>
    <n v="677"/>
    <n v="298"/>
    <n v="0.25"/>
    <s v="ckn_alfredo_m"/>
    <n v="1"/>
    <x v="4"/>
    <x v="4"/>
    <x v="296"/>
    <n v="16.75"/>
    <n v="16.75"/>
    <x v="0"/>
    <x v="3"/>
    <s v="Chicken, Red Onions, Red Peppers, Mushrooms, Asiago Cheese, Alfredo Sauce"/>
    <x v="29"/>
  </r>
  <r>
    <n v="678"/>
    <n v="298"/>
    <n v="0.25"/>
    <s v="classic_dlx_s"/>
    <n v="1"/>
    <x v="4"/>
    <x v="4"/>
    <x v="296"/>
    <n v="12"/>
    <n v="12"/>
    <x v="2"/>
    <x v="0"/>
    <s v="Pepperoni, Mushrooms, Red Onions, Red Peppers, Bacon"/>
    <x v="1"/>
  </r>
  <r>
    <n v="679"/>
    <n v="299"/>
    <n v="0.5"/>
    <s v="classic_dlx_s"/>
    <n v="1"/>
    <x v="4"/>
    <x v="4"/>
    <x v="297"/>
    <n v="12"/>
    <n v="12"/>
    <x v="2"/>
    <x v="0"/>
    <s v="Pepperoni, Mushrooms, Red Onions, Red Peppers, Bacon"/>
    <x v="1"/>
  </r>
  <r>
    <n v="680"/>
    <n v="299"/>
    <n v="0.5"/>
    <s v="spinach_fet_m"/>
    <n v="1"/>
    <x v="4"/>
    <x v="4"/>
    <x v="297"/>
    <n v="16"/>
    <n v="16"/>
    <x v="0"/>
    <x v="1"/>
    <s v="Spinach, Mushrooms, Red Onions, Feta Cheese, Garlic"/>
    <x v="27"/>
  </r>
  <r>
    <n v="681"/>
    <n v="300"/>
    <n v="0.25"/>
    <s v="big_meat_s"/>
    <n v="1"/>
    <x v="4"/>
    <x v="4"/>
    <x v="298"/>
    <n v="12"/>
    <n v="12"/>
    <x v="2"/>
    <x v="0"/>
    <s v="Bacon, Pepperoni, Italian Sausage, Chorizo Sausage"/>
    <x v="19"/>
  </r>
  <r>
    <n v="682"/>
    <n v="300"/>
    <n v="0.25"/>
    <s v="ital_cpcllo_s"/>
    <n v="1"/>
    <x v="4"/>
    <x v="4"/>
    <x v="298"/>
    <n v="12"/>
    <n v="12"/>
    <x v="2"/>
    <x v="0"/>
    <s v="Capocollo, Red Peppers, Tomatoes, Goat Cheese, Garlic, Oregano"/>
    <x v="11"/>
  </r>
  <r>
    <n v="683"/>
    <n v="300"/>
    <n v="0.25"/>
    <s v="ital_veggie_s"/>
    <n v="1"/>
    <x v="4"/>
    <x v="4"/>
    <x v="298"/>
    <n v="12.75"/>
    <n v="12.75"/>
    <x v="2"/>
    <x v="1"/>
    <s v="Eggplant, Artichokes, Tomatoes, Zucchini, Red Peppers, Garlic, Pesto Sauce"/>
    <x v="24"/>
  </r>
  <r>
    <n v="684"/>
    <n v="300"/>
    <n v="0.25"/>
    <s v="spinach_supr_s"/>
    <n v="1"/>
    <x v="4"/>
    <x v="4"/>
    <x v="298"/>
    <n v="12.5"/>
    <n v="12.5"/>
    <x v="2"/>
    <x v="2"/>
    <s v="Spinach, Red Onions, Pepperoni, Tomatoes, Artichokes, Kalamata Olives, Garlic, Asiago Cheese"/>
    <x v="9"/>
  </r>
  <r>
    <n v="685"/>
    <n v="301"/>
    <n v="1"/>
    <s v="napolitana_l"/>
    <n v="1"/>
    <x v="4"/>
    <x v="4"/>
    <x v="299"/>
    <n v="20.5"/>
    <n v="20.5"/>
    <x v="1"/>
    <x v="0"/>
    <s v="Tomatoes, Anchovies, Green Olives, Red Onions, Garlic"/>
    <x v="22"/>
  </r>
  <r>
    <n v="686"/>
    <n v="302"/>
    <n v="1"/>
    <s v="peppr_salami_l"/>
    <n v="1"/>
    <x v="4"/>
    <x v="4"/>
    <x v="300"/>
    <n v="20.75"/>
    <n v="20.75"/>
    <x v="1"/>
    <x v="2"/>
    <s v="Genoa Salami, Capocollo, Pepperoni, Tomatoes, Asiago Cheese, Garlic"/>
    <x v="26"/>
  </r>
  <r>
    <n v="687"/>
    <n v="303"/>
    <n v="0.33333333333333331"/>
    <s v="big_meat_s"/>
    <n v="1"/>
    <x v="4"/>
    <x v="4"/>
    <x v="301"/>
    <n v="12"/>
    <n v="12"/>
    <x v="2"/>
    <x v="0"/>
    <s v="Bacon, Pepperoni, Italian Sausage, Chorizo Sausage"/>
    <x v="19"/>
  </r>
  <r>
    <n v="688"/>
    <n v="303"/>
    <n v="0.33333333333333331"/>
    <s v="ital_cpcllo_m"/>
    <n v="1"/>
    <x v="4"/>
    <x v="4"/>
    <x v="301"/>
    <n v="16"/>
    <n v="16"/>
    <x v="0"/>
    <x v="0"/>
    <s v="Capocollo, Red Peppers, Tomatoes, Goat Cheese, Garlic, Oregano"/>
    <x v="11"/>
  </r>
  <r>
    <n v="689"/>
    <n v="303"/>
    <n v="0.33333333333333331"/>
    <s v="pepperoni_s"/>
    <n v="1"/>
    <x v="4"/>
    <x v="4"/>
    <x v="301"/>
    <n v="9.75"/>
    <n v="9.75"/>
    <x v="2"/>
    <x v="0"/>
    <s v="Mozzarella Cheese, Pepperoni"/>
    <x v="17"/>
  </r>
  <r>
    <n v="690"/>
    <n v="304"/>
    <n v="0.5"/>
    <s v="hawaiian_s"/>
    <n v="1"/>
    <x v="4"/>
    <x v="4"/>
    <x v="302"/>
    <n v="10.5"/>
    <n v="10.5"/>
    <x v="2"/>
    <x v="0"/>
    <s v="Sliced Ham, Pineapple, Mozzarella Cheese"/>
    <x v="0"/>
  </r>
  <r>
    <n v="691"/>
    <n v="304"/>
    <n v="0.5"/>
    <s v="mexicana_l"/>
    <n v="1"/>
    <x v="4"/>
    <x v="4"/>
    <x v="302"/>
    <n v="20.25"/>
    <n v="20.25"/>
    <x v="1"/>
    <x v="1"/>
    <s v="Tomatoes, Red Peppers, Jalapeno Peppers, Red Onions, Cilantro, Corn, Chipotle Sauce, Garlic"/>
    <x v="4"/>
  </r>
  <r>
    <n v="692"/>
    <n v="305"/>
    <n v="0.33333333333333331"/>
    <s v="pepperoni_l"/>
    <n v="1"/>
    <x v="4"/>
    <x v="4"/>
    <x v="303"/>
    <n v="15.25"/>
    <n v="15.25"/>
    <x v="1"/>
    <x v="0"/>
    <s v="Mozzarella Cheese, Pepperoni"/>
    <x v="17"/>
  </r>
  <r>
    <n v="693"/>
    <n v="305"/>
    <n v="0.33333333333333331"/>
    <s v="sicilian_s"/>
    <n v="1"/>
    <x v="4"/>
    <x v="4"/>
    <x v="303"/>
    <n v="12.25"/>
    <n v="12.25"/>
    <x v="2"/>
    <x v="2"/>
    <s v="Coarse Sicilian Salami, Tomatoes, Green Olives, Luganega Sausage, Onions, Garlic"/>
    <x v="28"/>
  </r>
  <r>
    <n v="694"/>
    <n v="305"/>
    <n v="0.33333333333333331"/>
    <s v="spicy_ital_m"/>
    <n v="1"/>
    <x v="4"/>
    <x v="4"/>
    <x v="303"/>
    <n v="16.5"/>
    <n v="16.5"/>
    <x v="0"/>
    <x v="2"/>
    <s v="Capocollo, Tomatoes, Goat Cheese, Artichokes, Peperoncini verdi, Garlic"/>
    <x v="12"/>
  </r>
  <r>
    <n v="695"/>
    <n v="306"/>
    <n v="0.33333333333333331"/>
    <s v="big_meat_s"/>
    <n v="1"/>
    <x v="4"/>
    <x v="4"/>
    <x v="304"/>
    <n v="12"/>
    <n v="12"/>
    <x v="2"/>
    <x v="0"/>
    <s v="Bacon, Pepperoni, Italian Sausage, Chorizo Sausage"/>
    <x v="19"/>
  </r>
  <r>
    <n v="696"/>
    <n v="306"/>
    <n v="0.33333333333333331"/>
    <s v="hawaiian_s"/>
    <n v="1"/>
    <x v="4"/>
    <x v="4"/>
    <x v="304"/>
    <n v="10.5"/>
    <n v="10.5"/>
    <x v="2"/>
    <x v="0"/>
    <s v="Sliced Ham, Pineapple, Mozzarella Cheese"/>
    <x v="0"/>
  </r>
  <r>
    <n v="697"/>
    <n v="306"/>
    <n v="0.33333333333333331"/>
    <s v="napolitana_m"/>
    <n v="1"/>
    <x v="4"/>
    <x v="4"/>
    <x v="304"/>
    <n v="16"/>
    <n v="16"/>
    <x v="0"/>
    <x v="0"/>
    <s v="Tomatoes, Anchovies, Green Olives, Red Onions, Garlic"/>
    <x v="22"/>
  </r>
  <r>
    <n v="698"/>
    <n v="307"/>
    <n v="0.5"/>
    <s v="classic_dlx_l"/>
    <n v="1"/>
    <x v="4"/>
    <x v="4"/>
    <x v="305"/>
    <n v="20.5"/>
    <n v="20.5"/>
    <x v="1"/>
    <x v="0"/>
    <s v="Pepperoni, Mushrooms, Red Onions, Red Peppers, Bacon"/>
    <x v="1"/>
  </r>
  <r>
    <n v="699"/>
    <n v="307"/>
    <n v="0.5"/>
    <s v="thai_ckn_m"/>
    <n v="1"/>
    <x v="4"/>
    <x v="4"/>
    <x v="305"/>
    <n v="16.75"/>
    <n v="16.75"/>
    <x v="0"/>
    <x v="3"/>
    <s v="Chicken, Pineapple, Tomatoes, Red Peppers, Thai Sweet Chilli Sauce"/>
    <x v="5"/>
  </r>
  <r>
    <n v="700"/>
    <n v="308"/>
    <n v="0.33333333333333331"/>
    <s v="hawaiian_l"/>
    <n v="1"/>
    <x v="4"/>
    <x v="4"/>
    <x v="306"/>
    <n v="16.5"/>
    <n v="16.5"/>
    <x v="1"/>
    <x v="0"/>
    <s v="Sliced Ham, Pineapple, Mozzarella Cheese"/>
    <x v="0"/>
  </r>
  <r>
    <n v="701"/>
    <n v="308"/>
    <n v="0.33333333333333331"/>
    <s v="pep_msh_pep_l"/>
    <n v="1"/>
    <x v="4"/>
    <x v="4"/>
    <x v="306"/>
    <n v="17.5"/>
    <n v="17.5"/>
    <x v="1"/>
    <x v="0"/>
    <s v="Pepperoni, Mushrooms, Green Peppers"/>
    <x v="30"/>
  </r>
  <r>
    <n v="702"/>
    <n v="308"/>
    <n v="0.33333333333333331"/>
    <s v="thai_ckn_s"/>
    <n v="1"/>
    <x v="4"/>
    <x v="4"/>
    <x v="306"/>
    <n v="12.75"/>
    <n v="12.75"/>
    <x v="2"/>
    <x v="3"/>
    <s v="Chicken, Pineapple, Tomatoes, Red Peppers, Thai Sweet Chilli Sauce"/>
    <x v="5"/>
  </r>
  <r>
    <n v="703"/>
    <n v="309"/>
    <n v="0.5"/>
    <s v="five_cheese_l"/>
    <n v="1"/>
    <x v="5"/>
    <x v="5"/>
    <x v="307"/>
    <n v="18.5"/>
    <n v="18.5"/>
    <x v="1"/>
    <x v="1"/>
    <s v="Mozzarella Cheese, Provolone Cheese, Smoked Gouda Cheese, Romano Cheese, Blue Cheese, Garlic"/>
    <x v="2"/>
  </r>
  <r>
    <n v="704"/>
    <n v="309"/>
    <n v="0.5"/>
    <s v="peppr_salami_m"/>
    <n v="1"/>
    <x v="5"/>
    <x v="5"/>
    <x v="307"/>
    <n v="16.5"/>
    <n v="16.5"/>
    <x v="0"/>
    <x v="2"/>
    <s v="Genoa Salami, Capocollo, Pepperoni, Tomatoes, Asiago Cheese, Garlic"/>
    <x v="26"/>
  </r>
  <r>
    <n v="705"/>
    <n v="310"/>
    <n v="0.5"/>
    <s v="hawaiian_s"/>
    <n v="1"/>
    <x v="5"/>
    <x v="5"/>
    <x v="308"/>
    <n v="10.5"/>
    <n v="10.5"/>
    <x v="2"/>
    <x v="0"/>
    <s v="Sliced Ham, Pineapple, Mozzarella Cheese"/>
    <x v="0"/>
  </r>
  <r>
    <n v="706"/>
    <n v="310"/>
    <n v="0.5"/>
    <s v="thai_ckn_s"/>
    <n v="1"/>
    <x v="5"/>
    <x v="5"/>
    <x v="308"/>
    <n v="12.75"/>
    <n v="12.75"/>
    <x v="2"/>
    <x v="3"/>
    <s v="Chicken, Pineapple, Tomatoes, Red Peppers, Thai Sweet Chilli Sauce"/>
    <x v="5"/>
  </r>
  <r>
    <n v="707"/>
    <n v="311"/>
    <n v="1"/>
    <s v="sicilian_l"/>
    <n v="1"/>
    <x v="5"/>
    <x v="5"/>
    <x v="309"/>
    <n v="20.25"/>
    <n v="20.25"/>
    <x v="1"/>
    <x v="2"/>
    <s v="Coarse Sicilian Salami, Tomatoes, Green Olives, Luganega Sausage, Onions, Garlic"/>
    <x v="28"/>
  </r>
  <r>
    <n v="708"/>
    <n v="312"/>
    <n v="0.25"/>
    <s v="big_meat_s"/>
    <n v="1"/>
    <x v="5"/>
    <x v="5"/>
    <x v="310"/>
    <n v="12"/>
    <n v="12"/>
    <x v="2"/>
    <x v="0"/>
    <s v="Bacon, Pepperoni, Italian Sausage, Chorizo Sausage"/>
    <x v="19"/>
  </r>
  <r>
    <n v="709"/>
    <n v="312"/>
    <n v="0.25"/>
    <s v="brie_carre_s"/>
    <n v="1"/>
    <x v="5"/>
    <x v="5"/>
    <x v="310"/>
    <n v="23.65"/>
    <n v="23.65"/>
    <x v="2"/>
    <x v="2"/>
    <s v="Brie Carre Cheese, Prosciutto, Caramelized Onions, Pears, Thyme, Garlic"/>
    <x v="31"/>
  </r>
  <r>
    <n v="710"/>
    <n v="312"/>
    <n v="0.25"/>
    <s v="ckn_alfredo_m"/>
    <n v="1"/>
    <x v="5"/>
    <x v="5"/>
    <x v="310"/>
    <n v="16.75"/>
    <n v="16.75"/>
    <x v="0"/>
    <x v="3"/>
    <s v="Chicken, Red Onions, Red Peppers, Mushrooms, Asiago Cheese, Alfredo Sauce"/>
    <x v="29"/>
  </r>
  <r>
    <n v="711"/>
    <n v="312"/>
    <n v="0.25"/>
    <s v="sicilian_m"/>
    <n v="1"/>
    <x v="5"/>
    <x v="5"/>
    <x v="310"/>
    <n v="16.25"/>
    <n v="16.25"/>
    <x v="0"/>
    <x v="2"/>
    <s v="Coarse Sicilian Salami, Tomatoes, Green Olives, Luganega Sausage, Onions, Garlic"/>
    <x v="28"/>
  </r>
  <r>
    <n v="712"/>
    <n v="313"/>
    <n v="1"/>
    <s v="classic_dlx_m"/>
    <n v="1"/>
    <x v="5"/>
    <x v="5"/>
    <x v="311"/>
    <n v="16"/>
    <n v="16"/>
    <x v="0"/>
    <x v="0"/>
    <s v="Pepperoni, Mushrooms, Red Onions, Red Peppers, Bacon"/>
    <x v="1"/>
  </r>
  <r>
    <n v="713"/>
    <n v="314"/>
    <n v="0.2"/>
    <s v="calabrese_m"/>
    <n v="1"/>
    <x v="5"/>
    <x v="5"/>
    <x v="312"/>
    <n v="16.25"/>
    <n v="16.25"/>
    <x v="0"/>
    <x v="2"/>
    <s v="?duja Salami, Pancetta, Tomatoes, Red Onions, Friggitello Peppers, Garlic"/>
    <x v="23"/>
  </r>
  <r>
    <n v="714"/>
    <n v="314"/>
    <n v="0.2"/>
    <s v="five_cheese_l"/>
    <n v="1"/>
    <x v="5"/>
    <x v="5"/>
    <x v="312"/>
    <n v="18.5"/>
    <n v="18.5"/>
    <x v="1"/>
    <x v="1"/>
    <s v="Mozzarella Cheese, Provolone Cheese, Smoked Gouda Cheese, Romano Cheese, Blue Cheese, Garlic"/>
    <x v="2"/>
  </r>
  <r>
    <n v="715"/>
    <n v="314"/>
    <n v="0.2"/>
    <s v="green_garden_m"/>
    <n v="1"/>
    <x v="5"/>
    <x v="5"/>
    <x v="312"/>
    <n v="16"/>
    <n v="16"/>
    <x v="0"/>
    <x v="1"/>
    <s v="Spinach, Mushrooms, Tomatoes, Green Olives, Feta Cheese"/>
    <x v="10"/>
  </r>
  <r>
    <n v="716"/>
    <n v="314"/>
    <n v="0.2"/>
    <s v="hawaiian_m"/>
    <n v="1"/>
    <x v="5"/>
    <x v="5"/>
    <x v="312"/>
    <n v="13.25"/>
    <n v="13.25"/>
    <x v="0"/>
    <x v="0"/>
    <s v="Sliced Ham, Pineapple, Mozzarella Cheese"/>
    <x v="0"/>
  </r>
  <r>
    <n v="717"/>
    <n v="314"/>
    <n v="0.2"/>
    <s v="veggie_veg_m"/>
    <n v="1"/>
    <x v="5"/>
    <x v="5"/>
    <x v="312"/>
    <n v="16"/>
    <n v="16"/>
    <x v="0"/>
    <x v="1"/>
    <s v="Mushrooms, Tomatoes, Red Peppers, Green Peppers, Red Onions, Zucchini, Spinach, Garlic"/>
    <x v="14"/>
  </r>
  <r>
    <n v="718"/>
    <n v="315"/>
    <n v="1"/>
    <s v="classic_dlx_m"/>
    <n v="1"/>
    <x v="5"/>
    <x v="5"/>
    <x v="313"/>
    <n v="16"/>
    <n v="16"/>
    <x v="0"/>
    <x v="0"/>
    <s v="Pepperoni, Mushrooms, Red Onions, Red Peppers, Bacon"/>
    <x v="1"/>
  </r>
  <r>
    <n v="719"/>
    <n v="316"/>
    <n v="0.5"/>
    <s v="hawaiian_s"/>
    <n v="1"/>
    <x v="5"/>
    <x v="5"/>
    <x v="314"/>
    <n v="10.5"/>
    <n v="10.5"/>
    <x v="2"/>
    <x v="0"/>
    <s v="Sliced Ham, Pineapple, Mozzarella Cheese"/>
    <x v="0"/>
  </r>
  <r>
    <n v="720"/>
    <n v="316"/>
    <n v="0.5"/>
    <s v="ital_supr_m"/>
    <n v="1"/>
    <x v="5"/>
    <x v="5"/>
    <x v="314"/>
    <n v="16.5"/>
    <n v="16.5"/>
    <x v="0"/>
    <x v="2"/>
    <s v="Calabrese Salami, Capocollo, Tomatoes, Red Onions, Green Olives, Garlic"/>
    <x v="3"/>
  </r>
  <r>
    <n v="721"/>
    <n v="317"/>
    <n v="0.14285714285714285"/>
    <s v="cali_ckn_s"/>
    <n v="1"/>
    <x v="5"/>
    <x v="5"/>
    <x v="315"/>
    <n v="12.75"/>
    <n v="12.75"/>
    <x v="2"/>
    <x v="3"/>
    <s v="Chicken, Artichoke, Spinach, Garlic, Jalapeno Peppers, Fontina Cheese, Gouda Cheese"/>
    <x v="16"/>
  </r>
  <r>
    <n v="722"/>
    <n v="317"/>
    <n v="0.14285714285714285"/>
    <s v="classic_dlx_m"/>
    <n v="1"/>
    <x v="5"/>
    <x v="5"/>
    <x v="315"/>
    <n v="16"/>
    <n v="16"/>
    <x v="0"/>
    <x v="0"/>
    <s v="Pepperoni, Mushrooms, Red Onions, Red Peppers, Bacon"/>
    <x v="1"/>
  </r>
  <r>
    <n v="723"/>
    <n v="317"/>
    <n v="0.14285714285714285"/>
    <s v="four_cheese_l"/>
    <n v="1"/>
    <x v="5"/>
    <x v="5"/>
    <x v="315"/>
    <n v="17.95"/>
    <n v="17.95"/>
    <x v="1"/>
    <x v="1"/>
    <s v="Ricotta Cheese, Gorgonzola Piccante Cheese, Mozzarella Cheese, Parmigiano Reggiano Cheese, Garlic"/>
    <x v="21"/>
  </r>
  <r>
    <n v="724"/>
    <n v="317"/>
    <n v="0.14285714285714285"/>
    <s v="hawaiian_s"/>
    <n v="1"/>
    <x v="5"/>
    <x v="5"/>
    <x v="315"/>
    <n v="10.5"/>
    <n v="10.5"/>
    <x v="2"/>
    <x v="0"/>
    <s v="Sliced Ham, Pineapple, Mozzarella Cheese"/>
    <x v="0"/>
  </r>
  <r>
    <n v="725"/>
    <n v="317"/>
    <n v="0.14285714285714285"/>
    <s v="pep_msh_pep_l"/>
    <n v="1"/>
    <x v="5"/>
    <x v="5"/>
    <x v="315"/>
    <n v="17.5"/>
    <n v="17.5"/>
    <x v="1"/>
    <x v="0"/>
    <s v="Pepperoni, Mushrooms, Green Peppers"/>
    <x v="30"/>
  </r>
  <r>
    <n v="726"/>
    <n v="317"/>
    <n v="0.14285714285714285"/>
    <s v="prsc_argla_s"/>
    <n v="1"/>
    <x v="5"/>
    <x v="5"/>
    <x v="315"/>
    <n v="12.5"/>
    <n v="12.5"/>
    <x v="2"/>
    <x v="2"/>
    <s v="Prosciutto di San Daniele, Arugula, Mozzarella Cheese"/>
    <x v="6"/>
  </r>
  <r>
    <n v="727"/>
    <n v="317"/>
    <n v="0.14285714285714285"/>
    <s v="spinach_fet_s"/>
    <n v="1"/>
    <x v="5"/>
    <x v="5"/>
    <x v="315"/>
    <n v="12"/>
    <n v="12"/>
    <x v="2"/>
    <x v="1"/>
    <s v="Spinach, Mushrooms, Red Onions, Feta Cheese, Garlic"/>
    <x v="27"/>
  </r>
  <r>
    <n v="728"/>
    <n v="318"/>
    <n v="0.25"/>
    <s v="ital_cpcllo_l"/>
    <n v="1"/>
    <x v="5"/>
    <x v="5"/>
    <x v="316"/>
    <n v="20.5"/>
    <n v="20.5"/>
    <x v="1"/>
    <x v="0"/>
    <s v="Capocollo, Red Peppers, Tomatoes, Goat Cheese, Garlic, Oregano"/>
    <x v="11"/>
  </r>
  <r>
    <n v="729"/>
    <n v="318"/>
    <n v="0.25"/>
    <s v="mexicana_l"/>
    <n v="1"/>
    <x v="5"/>
    <x v="5"/>
    <x v="316"/>
    <n v="20.25"/>
    <n v="20.25"/>
    <x v="1"/>
    <x v="1"/>
    <s v="Tomatoes, Red Peppers, Jalapeno Peppers, Red Onions, Cilantro, Corn, Chipotle Sauce, Garlic"/>
    <x v="4"/>
  </r>
  <r>
    <n v="730"/>
    <n v="318"/>
    <n v="0.25"/>
    <s v="soppressata_s"/>
    <n v="1"/>
    <x v="5"/>
    <x v="5"/>
    <x v="316"/>
    <n v="12.5"/>
    <n v="12.5"/>
    <x v="2"/>
    <x v="2"/>
    <s v="Soppressata Salami, Fontina Cheese, Mozzarella Cheese, Mushrooms, Garlic"/>
    <x v="20"/>
  </r>
  <r>
    <n v="731"/>
    <n v="318"/>
    <n v="0.25"/>
    <s v="spicy_ital_l"/>
    <n v="1"/>
    <x v="5"/>
    <x v="5"/>
    <x v="316"/>
    <n v="20.75"/>
    <n v="20.75"/>
    <x v="1"/>
    <x v="2"/>
    <s v="Capocollo, Tomatoes, Goat Cheese, Artichokes, Peperoncini verdi, Garlic"/>
    <x v="12"/>
  </r>
  <r>
    <n v="732"/>
    <n v="319"/>
    <n v="1"/>
    <s v="ital_supr_m"/>
    <n v="1"/>
    <x v="5"/>
    <x v="5"/>
    <x v="317"/>
    <n v="16.5"/>
    <n v="16.5"/>
    <x v="0"/>
    <x v="2"/>
    <s v="Calabrese Salami, Capocollo, Tomatoes, Red Onions, Green Olives, Garlic"/>
    <x v="3"/>
  </r>
  <r>
    <n v="733"/>
    <n v="320"/>
    <n v="0.5"/>
    <s v="cali_ckn_m"/>
    <n v="1"/>
    <x v="5"/>
    <x v="5"/>
    <x v="318"/>
    <n v="16.75"/>
    <n v="16.75"/>
    <x v="0"/>
    <x v="3"/>
    <s v="Chicken, Artichoke, Spinach, Garlic, Jalapeno Peppers, Fontina Cheese, Gouda Cheese"/>
    <x v="16"/>
  </r>
  <r>
    <n v="734"/>
    <n v="320"/>
    <n v="0.5"/>
    <s v="ckn_pesto_l"/>
    <n v="1"/>
    <x v="5"/>
    <x v="5"/>
    <x v="318"/>
    <n v="20.75"/>
    <n v="20.75"/>
    <x v="1"/>
    <x v="3"/>
    <s v="Chicken, Tomatoes, Red Peppers, Spinach, Garlic, Pesto Sauce"/>
    <x v="18"/>
  </r>
  <r>
    <n v="735"/>
    <n v="321"/>
    <n v="1"/>
    <s v="ital_supr_l"/>
    <n v="1"/>
    <x v="5"/>
    <x v="5"/>
    <x v="319"/>
    <n v="20.75"/>
    <n v="20.75"/>
    <x v="1"/>
    <x v="2"/>
    <s v="Calabrese Salami, Capocollo, Tomatoes, Red Onions, Green Olives, Garlic"/>
    <x v="3"/>
  </r>
  <r>
    <n v="736"/>
    <n v="322"/>
    <n v="0.25"/>
    <s v="cali_ckn_l"/>
    <n v="1"/>
    <x v="5"/>
    <x v="5"/>
    <x v="320"/>
    <n v="20.75"/>
    <n v="20.75"/>
    <x v="1"/>
    <x v="3"/>
    <s v="Chicken, Artichoke, Spinach, Garlic, Jalapeno Peppers, Fontina Cheese, Gouda Cheese"/>
    <x v="16"/>
  </r>
  <r>
    <n v="737"/>
    <n v="322"/>
    <n v="0.25"/>
    <s v="ckn_pesto_l"/>
    <n v="1"/>
    <x v="5"/>
    <x v="5"/>
    <x v="320"/>
    <n v="20.75"/>
    <n v="20.75"/>
    <x v="1"/>
    <x v="3"/>
    <s v="Chicken, Tomatoes, Red Peppers, Spinach, Garlic, Pesto Sauce"/>
    <x v="18"/>
  </r>
  <r>
    <n v="738"/>
    <n v="322"/>
    <n v="0.25"/>
    <s v="classic_dlx_s"/>
    <n v="1"/>
    <x v="5"/>
    <x v="5"/>
    <x v="320"/>
    <n v="12"/>
    <n v="12"/>
    <x v="2"/>
    <x v="0"/>
    <s v="Pepperoni, Mushrooms, Red Onions, Red Peppers, Bacon"/>
    <x v="1"/>
  </r>
  <r>
    <n v="739"/>
    <n v="322"/>
    <n v="0.25"/>
    <s v="thai_ckn_l"/>
    <n v="1"/>
    <x v="5"/>
    <x v="5"/>
    <x v="320"/>
    <n v="20.75"/>
    <n v="20.75"/>
    <x v="1"/>
    <x v="3"/>
    <s v="Chicken, Pineapple, Tomatoes, Red Peppers, Thai Sweet Chilli Sauce"/>
    <x v="5"/>
  </r>
  <r>
    <n v="740"/>
    <n v="323"/>
    <n v="1"/>
    <s v="classic_dlx_m"/>
    <n v="1"/>
    <x v="5"/>
    <x v="5"/>
    <x v="321"/>
    <n v="16"/>
    <n v="16"/>
    <x v="0"/>
    <x v="0"/>
    <s v="Pepperoni, Mushrooms, Red Onions, Red Peppers, Bacon"/>
    <x v="1"/>
  </r>
  <r>
    <n v="741"/>
    <n v="324"/>
    <n v="1"/>
    <s v="five_cheese_l"/>
    <n v="1"/>
    <x v="5"/>
    <x v="5"/>
    <x v="322"/>
    <n v="18.5"/>
    <n v="18.5"/>
    <x v="1"/>
    <x v="1"/>
    <s v="Mozzarella Cheese, Provolone Cheese, Smoked Gouda Cheese, Romano Cheese, Blue Cheese, Garlic"/>
    <x v="2"/>
  </r>
  <r>
    <n v="742"/>
    <n v="325"/>
    <n v="0.5"/>
    <s v="classic_dlx_s"/>
    <n v="1"/>
    <x v="5"/>
    <x v="5"/>
    <x v="323"/>
    <n v="12"/>
    <n v="12"/>
    <x v="2"/>
    <x v="0"/>
    <s v="Pepperoni, Mushrooms, Red Onions, Red Peppers, Bacon"/>
    <x v="1"/>
  </r>
  <r>
    <n v="743"/>
    <n v="325"/>
    <n v="0.5"/>
    <s v="veggie_veg_s"/>
    <n v="1"/>
    <x v="5"/>
    <x v="5"/>
    <x v="323"/>
    <n v="12"/>
    <n v="12"/>
    <x v="2"/>
    <x v="1"/>
    <s v="Mushrooms, Tomatoes, Red Peppers, Green Peppers, Red Onions, Zucchini, Spinach, Garlic"/>
    <x v="14"/>
  </r>
  <r>
    <n v="744"/>
    <n v="326"/>
    <n v="0.5"/>
    <s v="cali_ckn_m"/>
    <n v="1"/>
    <x v="5"/>
    <x v="5"/>
    <x v="324"/>
    <n v="16.75"/>
    <n v="16.75"/>
    <x v="0"/>
    <x v="3"/>
    <s v="Chicken, Artichoke, Spinach, Garlic, Jalapeno Peppers, Fontina Cheese, Gouda Cheese"/>
    <x v="16"/>
  </r>
  <r>
    <n v="745"/>
    <n v="326"/>
    <n v="0.5"/>
    <s v="spinach_supr_l"/>
    <n v="1"/>
    <x v="5"/>
    <x v="5"/>
    <x v="324"/>
    <n v="20.75"/>
    <n v="20.75"/>
    <x v="1"/>
    <x v="2"/>
    <s v="Spinach, Red Onions, Pepperoni, Tomatoes, Artichokes, Kalamata Olives, Garlic, Asiago Cheese"/>
    <x v="9"/>
  </r>
  <r>
    <n v="746"/>
    <n v="327"/>
    <n v="1"/>
    <s v="classic_dlx_m"/>
    <n v="1"/>
    <x v="5"/>
    <x v="5"/>
    <x v="325"/>
    <n v="16"/>
    <n v="16"/>
    <x v="0"/>
    <x v="0"/>
    <s v="Pepperoni, Mushrooms, Red Onions, Red Peppers, Bacon"/>
    <x v="1"/>
  </r>
  <r>
    <n v="747"/>
    <n v="328"/>
    <n v="1"/>
    <s v="mediterraneo_l"/>
    <n v="1"/>
    <x v="5"/>
    <x v="5"/>
    <x v="326"/>
    <n v="20.25"/>
    <n v="20.25"/>
    <x v="1"/>
    <x v="1"/>
    <s v="Spinach, Artichokes, Kalamata Olives, Sun-dried Tomatoes, Feta Cheese, Plum Tomatoes, Red Onions"/>
    <x v="25"/>
  </r>
  <r>
    <n v="748"/>
    <n v="329"/>
    <n v="0.5"/>
    <s v="spicy_ital_l"/>
    <n v="1"/>
    <x v="5"/>
    <x v="5"/>
    <x v="327"/>
    <n v="20.75"/>
    <n v="20.75"/>
    <x v="1"/>
    <x v="2"/>
    <s v="Capocollo, Tomatoes, Goat Cheese, Artichokes, Peperoncini verdi, Garlic"/>
    <x v="12"/>
  </r>
  <r>
    <n v="749"/>
    <n v="329"/>
    <n v="0.5"/>
    <s v="spinach_supr_m"/>
    <n v="1"/>
    <x v="5"/>
    <x v="5"/>
    <x v="327"/>
    <n v="16.5"/>
    <n v="16.5"/>
    <x v="0"/>
    <x v="2"/>
    <s v="Spinach, Red Onions, Pepperoni, Tomatoes, Artichokes, Kalamata Olives, Garlic, Asiago Cheese"/>
    <x v="9"/>
  </r>
  <r>
    <n v="750"/>
    <n v="330"/>
    <n v="7.1428571428571425E-2"/>
    <s v="big_meat_s"/>
    <n v="1"/>
    <x v="5"/>
    <x v="5"/>
    <x v="328"/>
    <n v="12"/>
    <n v="12"/>
    <x v="2"/>
    <x v="0"/>
    <s v="Bacon, Pepperoni, Italian Sausage, Chorizo Sausage"/>
    <x v="19"/>
  </r>
  <r>
    <n v="751"/>
    <n v="330"/>
    <n v="7.1428571428571425E-2"/>
    <s v="ckn_alfredo_m"/>
    <n v="1"/>
    <x v="5"/>
    <x v="5"/>
    <x v="328"/>
    <n v="16.75"/>
    <n v="16.75"/>
    <x v="0"/>
    <x v="3"/>
    <s v="Chicken, Red Onions, Red Peppers, Mushrooms, Asiago Cheese, Alfredo Sauce"/>
    <x v="29"/>
  </r>
  <r>
    <n v="752"/>
    <n v="330"/>
    <n v="7.1428571428571425E-2"/>
    <s v="classic_dlx_m"/>
    <n v="1"/>
    <x v="5"/>
    <x v="5"/>
    <x v="328"/>
    <n v="16"/>
    <n v="16"/>
    <x v="0"/>
    <x v="0"/>
    <s v="Pepperoni, Mushrooms, Red Onions, Red Peppers, Bacon"/>
    <x v="1"/>
  </r>
  <r>
    <n v="753"/>
    <n v="330"/>
    <n v="7.1428571428571425E-2"/>
    <s v="classic_dlx_s"/>
    <n v="1"/>
    <x v="5"/>
    <x v="5"/>
    <x v="328"/>
    <n v="12"/>
    <n v="12"/>
    <x v="2"/>
    <x v="0"/>
    <s v="Pepperoni, Mushrooms, Red Onions, Red Peppers, Bacon"/>
    <x v="1"/>
  </r>
  <r>
    <n v="754"/>
    <n v="330"/>
    <n v="7.1428571428571425E-2"/>
    <s v="five_cheese_l"/>
    <n v="1"/>
    <x v="5"/>
    <x v="5"/>
    <x v="328"/>
    <n v="18.5"/>
    <n v="18.5"/>
    <x v="1"/>
    <x v="1"/>
    <s v="Mozzarella Cheese, Provolone Cheese, Smoked Gouda Cheese, Romano Cheese, Blue Cheese, Garlic"/>
    <x v="2"/>
  </r>
  <r>
    <n v="755"/>
    <n v="330"/>
    <n v="7.1428571428571425E-2"/>
    <s v="four_cheese_l"/>
    <n v="2"/>
    <x v="5"/>
    <x v="5"/>
    <x v="328"/>
    <n v="17.95"/>
    <n v="35.9"/>
    <x v="1"/>
    <x v="1"/>
    <s v="Ricotta Cheese, Gorgonzola Piccante Cheese, Mozzarella Cheese, Parmigiano Reggiano Cheese, Garlic"/>
    <x v="21"/>
  </r>
  <r>
    <n v="756"/>
    <n v="330"/>
    <n v="7.1428571428571425E-2"/>
    <s v="hawaiian_l"/>
    <n v="1"/>
    <x v="5"/>
    <x v="5"/>
    <x v="328"/>
    <n v="16.5"/>
    <n v="16.5"/>
    <x v="1"/>
    <x v="0"/>
    <s v="Sliced Ham, Pineapple, Mozzarella Cheese"/>
    <x v="0"/>
  </r>
  <r>
    <n v="757"/>
    <n v="330"/>
    <n v="7.1428571428571425E-2"/>
    <s v="pep_msh_pep_l"/>
    <n v="1"/>
    <x v="5"/>
    <x v="5"/>
    <x v="328"/>
    <n v="17.5"/>
    <n v="17.5"/>
    <x v="1"/>
    <x v="0"/>
    <s v="Pepperoni, Mushrooms, Green Peppers"/>
    <x v="30"/>
  </r>
  <r>
    <n v="758"/>
    <n v="330"/>
    <n v="7.1428571428571425E-2"/>
    <s v="peppr_salami_s"/>
    <n v="1"/>
    <x v="5"/>
    <x v="5"/>
    <x v="328"/>
    <n v="12.5"/>
    <n v="12.5"/>
    <x v="2"/>
    <x v="2"/>
    <s v="Genoa Salami, Capocollo, Pepperoni, Tomatoes, Asiago Cheese, Garlic"/>
    <x v="26"/>
  </r>
  <r>
    <n v="759"/>
    <n v="330"/>
    <n v="7.1428571428571425E-2"/>
    <s v="sicilian_l"/>
    <n v="1"/>
    <x v="5"/>
    <x v="5"/>
    <x v="328"/>
    <n v="20.25"/>
    <n v="20.25"/>
    <x v="1"/>
    <x v="2"/>
    <s v="Coarse Sicilian Salami, Tomatoes, Green Olives, Luganega Sausage, Onions, Garlic"/>
    <x v="28"/>
  </r>
  <r>
    <n v="760"/>
    <n v="330"/>
    <n v="7.1428571428571425E-2"/>
    <s v="spicy_ital_l"/>
    <n v="1"/>
    <x v="5"/>
    <x v="5"/>
    <x v="328"/>
    <n v="20.75"/>
    <n v="20.75"/>
    <x v="1"/>
    <x v="2"/>
    <s v="Capocollo, Tomatoes, Goat Cheese, Artichokes, Peperoncini verdi, Garlic"/>
    <x v="12"/>
  </r>
  <r>
    <n v="761"/>
    <n v="330"/>
    <n v="7.1428571428571425E-2"/>
    <s v="spicy_ital_m"/>
    <n v="1"/>
    <x v="5"/>
    <x v="5"/>
    <x v="328"/>
    <n v="16.5"/>
    <n v="16.5"/>
    <x v="0"/>
    <x v="2"/>
    <s v="Capocollo, Tomatoes, Goat Cheese, Artichokes, Peperoncini verdi, Garlic"/>
    <x v="12"/>
  </r>
  <r>
    <n v="762"/>
    <n v="330"/>
    <n v="7.1428571428571425E-2"/>
    <s v="spinach_fet_l"/>
    <n v="1"/>
    <x v="5"/>
    <x v="5"/>
    <x v="328"/>
    <n v="20.25"/>
    <n v="20.25"/>
    <x v="1"/>
    <x v="1"/>
    <s v="Spinach, Mushrooms, Red Onions, Feta Cheese, Garlic"/>
    <x v="27"/>
  </r>
  <r>
    <n v="763"/>
    <n v="330"/>
    <n v="7.1428571428571425E-2"/>
    <s v="the_greek_m"/>
    <n v="1"/>
    <x v="5"/>
    <x v="5"/>
    <x v="328"/>
    <n v="16"/>
    <n v="16"/>
    <x v="0"/>
    <x v="0"/>
    <s v="Kalamata Olives, Feta Cheese, Tomatoes, Garlic, Beef Chuck Roast, Red Onions"/>
    <x v="8"/>
  </r>
  <r>
    <n v="764"/>
    <n v="331"/>
    <n v="1"/>
    <s v="prsc_argla_m"/>
    <n v="1"/>
    <x v="5"/>
    <x v="5"/>
    <x v="329"/>
    <n v="16.5"/>
    <n v="16.5"/>
    <x v="0"/>
    <x v="2"/>
    <s v="Prosciutto di San Daniele, Arugula, Mozzarella Cheese"/>
    <x v="6"/>
  </r>
  <r>
    <n v="765"/>
    <n v="332"/>
    <n v="0.33333333333333331"/>
    <s v="sicilian_m"/>
    <n v="1"/>
    <x v="5"/>
    <x v="5"/>
    <x v="330"/>
    <n v="16.25"/>
    <n v="16.25"/>
    <x v="0"/>
    <x v="2"/>
    <s v="Coarse Sicilian Salami, Tomatoes, Green Olives, Luganega Sausage, Onions, Garlic"/>
    <x v="28"/>
  </r>
  <r>
    <n v="766"/>
    <n v="332"/>
    <n v="0.33333333333333331"/>
    <s v="southw_ckn_l"/>
    <n v="1"/>
    <x v="5"/>
    <x v="5"/>
    <x v="330"/>
    <n v="20.75"/>
    <n v="20.75"/>
    <x v="1"/>
    <x v="3"/>
    <s v="Chicken, Tomatoes, Red Peppers, Red Onions, Jalapeno Peppers, Corn, Cilantro, Chipotle Sauce"/>
    <x v="15"/>
  </r>
  <r>
    <n v="767"/>
    <n v="332"/>
    <n v="0.33333333333333331"/>
    <s v="thai_ckn_m"/>
    <n v="1"/>
    <x v="5"/>
    <x v="5"/>
    <x v="330"/>
    <n v="16.75"/>
    <n v="16.75"/>
    <x v="0"/>
    <x v="3"/>
    <s v="Chicken, Pineapple, Tomatoes, Red Peppers, Thai Sweet Chilli Sauce"/>
    <x v="5"/>
  </r>
  <r>
    <n v="768"/>
    <n v="333"/>
    <n v="1"/>
    <s v="ckn_alfredo_m"/>
    <n v="1"/>
    <x v="5"/>
    <x v="5"/>
    <x v="331"/>
    <n v="16.75"/>
    <n v="16.75"/>
    <x v="0"/>
    <x v="3"/>
    <s v="Chicken, Red Onions, Red Peppers, Mushrooms, Asiago Cheese, Alfredo Sauce"/>
    <x v="29"/>
  </r>
  <r>
    <n v="769"/>
    <n v="334"/>
    <n v="0.25"/>
    <s v="calabrese_l"/>
    <n v="1"/>
    <x v="5"/>
    <x v="5"/>
    <x v="332"/>
    <n v="20.25"/>
    <n v="20.25"/>
    <x v="1"/>
    <x v="2"/>
    <s v="?duja Salami, Pancetta, Tomatoes, Red Onions, Friggitello Peppers, Garlic"/>
    <x v="23"/>
  </r>
  <r>
    <n v="770"/>
    <n v="334"/>
    <n v="0.25"/>
    <s v="pepperoni_m"/>
    <n v="1"/>
    <x v="5"/>
    <x v="5"/>
    <x v="332"/>
    <n v="12.5"/>
    <n v="12.5"/>
    <x v="0"/>
    <x v="0"/>
    <s v="Mozzarella Cheese, Pepperoni"/>
    <x v="17"/>
  </r>
  <r>
    <n v="771"/>
    <n v="334"/>
    <n v="0.25"/>
    <s v="southw_ckn_m"/>
    <n v="1"/>
    <x v="5"/>
    <x v="5"/>
    <x v="332"/>
    <n v="16.75"/>
    <n v="16.75"/>
    <x v="0"/>
    <x v="3"/>
    <s v="Chicken, Tomatoes, Red Peppers, Red Onions, Jalapeno Peppers, Corn, Cilantro, Chipotle Sauce"/>
    <x v="15"/>
  </r>
  <r>
    <n v="772"/>
    <n v="334"/>
    <n v="0.25"/>
    <s v="thai_ckn_l"/>
    <n v="1"/>
    <x v="5"/>
    <x v="5"/>
    <x v="332"/>
    <n v="20.75"/>
    <n v="20.75"/>
    <x v="1"/>
    <x v="3"/>
    <s v="Chicken, Pineapple, Tomatoes, Red Peppers, Thai Sweet Chilli Sauce"/>
    <x v="5"/>
  </r>
  <r>
    <n v="773"/>
    <n v="335"/>
    <n v="1"/>
    <s v="mediterraneo_l"/>
    <n v="1"/>
    <x v="5"/>
    <x v="5"/>
    <x v="333"/>
    <n v="20.25"/>
    <n v="20.25"/>
    <x v="1"/>
    <x v="1"/>
    <s v="Spinach, Artichokes, Kalamata Olives, Sun-dried Tomatoes, Feta Cheese, Plum Tomatoes, Red Onions"/>
    <x v="25"/>
  </r>
  <r>
    <n v="774"/>
    <n v="336"/>
    <n v="1"/>
    <s v="prsc_argla_l"/>
    <n v="1"/>
    <x v="5"/>
    <x v="5"/>
    <x v="334"/>
    <n v="20.75"/>
    <n v="20.75"/>
    <x v="1"/>
    <x v="2"/>
    <s v="Prosciutto di San Daniele, Arugula, Mozzarella Cheese"/>
    <x v="6"/>
  </r>
  <r>
    <n v="775"/>
    <n v="337"/>
    <n v="0.5"/>
    <s v="hawaiian_l"/>
    <n v="1"/>
    <x v="5"/>
    <x v="5"/>
    <x v="335"/>
    <n v="16.5"/>
    <n v="16.5"/>
    <x v="1"/>
    <x v="0"/>
    <s v="Sliced Ham, Pineapple, Mozzarella Cheese"/>
    <x v="0"/>
  </r>
  <r>
    <n v="776"/>
    <n v="337"/>
    <n v="0.5"/>
    <s v="pepperoni_l"/>
    <n v="1"/>
    <x v="5"/>
    <x v="5"/>
    <x v="335"/>
    <n v="15.25"/>
    <n v="15.25"/>
    <x v="1"/>
    <x v="0"/>
    <s v="Mozzarella Cheese, Pepperoni"/>
    <x v="17"/>
  </r>
  <r>
    <n v="777"/>
    <n v="338"/>
    <n v="0.33333333333333331"/>
    <s v="mexicana_l"/>
    <n v="1"/>
    <x v="5"/>
    <x v="5"/>
    <x v="336"/>
    <n v="20.25"/>
    <n v="20.25"/>
    <x v="1"/>
    <x v="1"/>
    <s v="Tomatoes, Red Peppers, Jalapeno Peppers, Red Onions, Cilantro, Corn, Chipotle Sauce, Garlic"/>
    <x v="4"/>
  </r>
  <r>
    <n v="778"/>
    <n v="338"/>
    <n v="0.33333333333333331"/>
    <s v="thai_ckn_l"/>
    <n v="1"/>
    <x v="5"/>
    <x v="5"/>
    <x v="336"/>
    <n v="20.75"/>
    <n v="20.75"/>
    <x v="1"/>
    <x v="3"/>
    <s v="Chicken, Pineapple, Tomatoes, Red Peppers, Thai Sweet Chilli Sauce"/>
    <x v="5"/>
  </r>
  <r>
    <n v="779"/>
    <n v="338"/>
    <n v="0.33333333333333331"/>
    <s v="the_greek_xl"/>
    <n v="1"/>
    <x v="5"/>
    <x v="5"/>
    <x v="336"/>
    <n v="25.5"/>
    <n v="25.5"/>
    <x v="3"/>
    <x v="0"/>
    <s v="Kalamata Olives, Feta Cheese, Tomatoes, Garlic, Beef Chuck Roast, Red Onions"/>
    <x v="8"/>
  </r>
  <r>
    <n v="780"/>
    <n v="339"/>
    <n v="1"/>
    <s v="spicy_ital_m"/>
    <n v="1"/>
    <x v="5"/>
    <x v="5"/>
    <x v="337"/>
    <n v="16.5"/>
    <n v="16.5"/>
    <x v="0"/>
    <x v="2"/>
    <s v="Capocollo, Tomatoes, Goat Cheese, Artichokes, Peperoncini verdi, Garlic"/>
    <x v="12"/>
  </r>
  <r>
    <n v="781"/>
    <n v="340"/>
    <n v="1"/>
    <s v="peppr_salami_s"/>
    <n v="1"/>
    <x v="5"/>
    <x v="5"/>
    <x v="338"/>
    <n v="12.5"/>
    <n v="12.5"/>
    <x v="2"/>
    <x v="2"/>
    <s v="Genoa Salami, Capocollo, Pepperoni, Tomatoes, Asiago Cheese, Garlic"/>
    <x v="26"/>
  </r>
  <r>
    <n v="782"/>
    <n v="341"/>
    <n v="0.5"/>
    <s v="bbq_ckn_m"/>
    <n v="1"/>
    <x v="5"/>
    <x v="5"/>
    <x v="339"/>
    <n v="16.75"/>
    <n v="16.75"/>
    <x v="0"/>
    <x v="3"/>
    <s v="Barbecued Chicken, Red Peppers, Green Peppers, Tomatoes, Red Onions, Barbecue Sauce"/>
    <x v="7"/>
  </r>
  <r>
    <n v="783"/>
    <n v="341"/>
    <n v="0.5"/>
    <s v="pepperoni_s"/>
    <n v="1"/>
    <x v="5"/>
    <x v="5"/>
    <x v="339"/>
    <n v="9.75"/>
    <n v="9.75"/>
    <x v="2"/>
    <x v="0"/>
    <s v="Mozzarella Cheese, Pepperoni"/>
    <x v="17"/>
  </r>
  <r>
    <n v="784"/>
    <n v="342"/>
    <n v="0.5"/>
    <s v="sicilian_l"/>
    <n v="1"/>
    <x v="5"/>
    <x v="5"/>
    <x v="340"/>
    <n v="20.25"/>
    <n v="20.25"/>
    <x v="1"/>
    <x v="2"/>
    <s v="Coarse Sicilian Salami, Tomatoes, Green Olives, Luganega Sausage, Onions, Garlic"/>
    <x v="28"/>
  </r>
  <r>
    <n v="785"/>
    <n v="342"/>
    <n v="0.5"/>
    <s v="southw_ckn_l"/>
    <n v="1"/>
    <x v="5"/>
    <x v="5"/>
    <x v="340"/>
    <n v="20.75"/>
    <n v="20.75"/>
    <x v="1"/>
    <x v="3"/>
    <s v="Chicken, Tomatoes, Red Peppers, Red Onions, Jalapeno Peppers, Corn, Cilantro, Chipotle Sauce"/>
    <x v="15"/>
  </r>
  <r>
    <n v="786"/>
    <n v="343"/>
    <n v="0.5"/>
    <s v="five_cheese_l"/>
    <n v="1"/>
    <x v="5"/>
    <x v="5"/>
    <x v="341"/>
    <n v="18.5"/>
    <n v="18.5"/>
    <x v="1"/>
    <x v="1"/>
    <s v="Mozzarella Cheese, Provolone Cheese, Smoked Gouda Cheese, Romano Cheese, Blue Cheese, Garlic"/>
    <x v="2"/>
  </r>
  <r>
    <n v="787"/>
    <n v="343"/>
    <n v="0.5"/>
    <s v="four_cheese_m"/>
    <n v="1"/>
    <x v="5"/>
    <x v="5"/>
    <x v="341"/>
    <n v="14.75"/>
    <n v="14.75"/>
    <x v="0"/>
    <x v="1"/>
    <s v="Ricotta Cheese, Gorgonzola Piccante Cheese, Mozzarella Cheese, Parmigiano Reggiano Cheese, Garlic"/>
    <x v="21"/>
  </r>
  <r>
    <n v="788"/>
    <n v="344"/>
    <n v="1"/>
    <s v="ital_cpcllo_m"/>
    <n v="1"/>
    <x v="5"/>
    <x v="5"/>
    <x v="342"/>
    <n v="16"/>
    <n v="16"/>
    <x v="0"/>
    <x v="0"/>
    <s v="Capocollo, Red Peppers, Tomatoes, Goat Cheese, Garlic, Oregano"/>
    <x v="11"/>
  </r>
  <r>
    <n v="789"/>
    <n v="345"/>
    <n v="0.5"/>
    <s v="peppr_salami_s"/>
    <n v="1"/>
    <x v="5"/>
    <x v="5"/>
    <x v="343"/>
    <n v="12.5"/>
    <n v="12.5"/>
    <x v="2"/>
    <x v="2"/>
    <s v="Genoa Salami, Capocollo, Pepperoni, Tomatoes, Asiago Cheese, Garlic"/>
    <x v="26"/>
  </r>
  <r>
    <n v="790"/>
    <n v="345"/>
    <n v="0.5"/>
    <s v="spinach_fet_s"/>
    <n v="1"/>
    <x v="5"/>
    <x v="5"/>
    <x v="343"/>
    <n v="12"/>
    <n v="12"/>
    <x v="2"/>
    <x v="1"/>
    <s v="Spinach, Mushrooms, Red Onions, Feta Cheese, Garlic"/>
    <x v="27"/>
  </r>
  <r>
    <n v="791"/>
    <n v="346"/>
    <n v="0.25"/>
    <s v="green_garden_s"/>
    <n v="1"/>
    <x v="5"/>
    <x v="5"/>
    <x v="344"/>
    <n v="12"/>
    <n v="12"/>
    <x v="2"/>
    <x v="1"/>
    <s v="Spinach, Mushrooms, Tomatoes, Green Olives, Feta Cheese"/>
    <x v="10"/>
  </r>
  <r>
    <n v="792"/>
    <n v="346"/>
    <n v="0.25"/>
    <s v="hawaiian_s"/>
    <n v="1"/>
    <x v="5"/>
    <x v="5"/>
    <x v="344"/>
    <n v="10.5"/>
    <n v="10.5"/>
    <x v="2"/>
    <x v="0"/>
    <s v="Sliced Ham, Pineapple, Mozzarella Cheese"/>
    <x v="0"/>
  </r>
  <r>
    <n v="793"/>
    <n v="346"/>
    <n v="0.25"/>
    <s v="ital_cpcllo_l"/>
    <n v="1"/>
    <x v="5"/>
    <x v="5"/>
    <x v="344"/>
    <n v="20.5"/>
    <n v="20.5"/>
    <x v="1"/>
    <x v="0"/>
    <s v="Capocollo, Red Peppers, Tomatoes, Goat Cheese, Garlic, Oregano"/>
    <x v="11"/>
  </r>
  <r>
    <n v="794"/>
    <n v="346"/>
    <n v="0.25"/>
    <s v="napolitana_s"/>
    <n v="1"/>
    <x v="5"/>
    <x v="5"/>
    <x v="344"/>
    <n v="12"/>
    <n v="12"/>
    <x v="2"/>
    <x v="0"/>
    <s v="Tomatoes, Anchovies, Green Olives, Red Onions, Garlic"/>
    <x v="22"/>
  </r>
  <r>
    <n v="795"/>
    <n v="347"/>
    <n v="0.33333333333333331"/>
    <s v="spinach_fet_l"/>
    <n v="1"/>
    <x v="5"/>
    <x v="5"/>
    <x v="345"/>
    <n v="20.25"/>
    <n v="20.25"/>
    <x v="1"/>
    <x v="1"/>
    <s v="Spinach, Mushrooms, Red Onions, Feta Cheese, Garlic"/>
    <x v="27"/>
  </r>
  <r>
    <n v="796"/>
    <n v="347"/>
    <n v="0.33333333333333331"/>
    <s v="thai_ckn_l"/>
    <n v="1"/>
    <x v="5"/>
    <x v="5"/>
    <x v="345"/>
    <n v="20.75"/>
    <n v="20.75"/>
    <x v="1"/>
    <x v="3"/>
    <s v="Chicken, Pineapple, Tomatoes, Red Peppers, Thai Sweet Chilli Sauce"/>
    <x v="5"/>
  </r>
  <r>
    <n v="797"/>
    <n v="347"/>
    <n v="0.33333333333333331"/>
    <s v="veggie_veg_m"/>
    <n v="1"/>
    <x v="5"/>
    <x v="5"/>
    <x v="345"/>
    <n v="16"/>
    <n v="16"/>
    <x v="0"/>
    <x v="1"/>
    <s v="Mushrooms, Tomatoes, Red Peppers, Green Peppers, Red Onions, Zucchini, Spinach, Garlic"/>
    <x v="14"/>
  </r>
  <r>
    <n v="798"/>
    <n v="348"/>
    <n v="0.33333333333333331"/>
    <s v="classic_dlx_m"/>
    <n v="1"/>
    <x v="5"/>
    <x v="5"/>
    <x v="346"/>
    <n v="16"/>
    <n v="16"/>
    <x v="0"/>
    <x v="0"/>
    <s v="Pepperoni, Mushrooms, Red Onions, Red Peppers, Bacon"/>
    <x v="1"/>
  </r>
  <r>
    <n v="799"/>
    <n v="348"/>
    <n v="0.33333333333333331"/>
    <s v="thai_ckn_l"/>
    <n v="1"/>
    <x v="5"/>
    <x v="5"/>
    <x v="346"/>
    <n v="20.75"/>
    <n v="20.75"/>
    <x v="1"/>
    <x v="3"/>
    <s v="Chicken, Pineapple, Tomatoes, Red Peppers, Thai Sweet Chilli Sauce"/>
    <x v="5"/>
  </r>
  <r>
    <n v="800"/>
    <n v="348"/>
    <n v="0.33333333333333331"/>
    <s v="thai_ckn_s"/>
    <n v="1"/>
    <x v="5"/>
    <x v="5"/>
    <x v="346"/>
    <n v="12.75"/>
    <n v="12.75"/>
    <x v="2"/>
    <x v="3"/>
    <s v="Chicken, Pineapple, Tomatoes, Red Peppers, Thai Sweet Chilli Sauce"/>
    <x v="5"/>
  </r>
  <r>
    <n v="801"/>
    <n v="349"/>
    <n v="1"/>
    <s v="pepperoni_l"/>
    <n v="1"/>
    <x v="5"/>
    <x v="5"/>
    <x v="347"/>
    <n v="15.25"/>
    <n v="15.25"/>
    <x v="1"/>
    <x v="0"/>
    <s v="Mozzarella Cheese, Pepperoni"/>
    <x v="17"/>
  </r>
  <r>
    <n v="802"/>
    <n v="350"/>
    <n v="0.33333333333333331"/>
    <s v="classic_dlx_l"/>
    <n v="1"/>
    <x v="5"/>
    <x v="5"/>
    <x v="348"/>
    <n v="20.5"/>
    <n v="20.5"/>
    <x v="1"/>
    <x v="0"/>
    <s v="Pepperoni, Mushrooms, Red Onions, Red Peppers, Bacon"/>
    <x v="1"/>
  </r>
  <r>
    <n v="803"/>
    <n v="350"/>
    <n v="0.33333333333333331"/>
    <s v="pepperoni_m"/>
    <n v="2"/>
    <x v="5"/>
    <x v="5"/>
    <x v="348"/>
    <n v="12.5"/>
    <n v="25"/>
    <x v="0"/>
    <x v="0"/>
    <s v="Mozzarella Cheese, Pepperoni"/>
    <x v="17"/>
  </r>
  <r>
    <n v="804"/>
    <n v="350"/>
    <n v="0.33333333333333331"/>
    <s v="spicy_ital_s"/>
    <n v="1"/>
    <x v="5"/>
    <x v="5"/>
    <x v="348"/>
    <n v="12.5"/>
    <n v="12.5"/>
    <x v="2"/>
    <x v="2"/>
    <s v="Capocollo, Tomatoes, Goat Cheese, Artichokes, Peperoncini verdi, Garlic"/>
    <x v="12"/>
  </r>
  <r>
    <n v="805"/>
    <n v="351"/>
    <n v="0.5"/>
    <s v="big_meat_s"/>
    <n v="1"/>
    <x v="5"/>
    <x v="5"/>
    <x v="349"/>
    <n v="12"/>
    <n v="12"/>
    <x v="2"/>
    <x v="0"/>
    <s v="Bacon, Pepperoni, Italian Sausage, Chorizo Sausage"/>
    <x v="19"/>
  </r>
  <r>
    <n v="806"/>
    <n v="351"/>
    <n v="0.5"/>
    <s v="hawaiian_m"/>
    <n v="1"/>
    <x v="5"/>
    <x v="5"/>
    <x v="349"/>
    <n v="13.25"/>
    <n v="13.25"/>
    <x v="0"/>
    <x v="0"/>
    <s v="Sliced Ham, Pineapple, Mozzarella Cheese"/>
    <x v="0"/>
  </r>
  <r>
    <n v="807"/>
    <n v="352"/>
    <n v="0.5"/>
    <s v="big_meat_s"/>
    <n v="1"/>
    <x v="5"/>
    <x v="5"/>
    <x v="350"/>
    <n v="12"/>
    <n v="12"/>
    <x v="2"/>
    <x v="0"/>
    <s v="Bacon, Pepperoni, Italian Sausage, Chorizo Sausage"/>
    <x v="19"/>
  </r>
  <r>
    <n v="808"/>
    <n v="352"/>
    <n v="0.5"/>
    <s v="ital_cpcllo_l"/>
    <n v="1"/>
    <x v="5"/>
    <x v="5"/>
    <x v="350"/>
    <n v="20.5"/>
    <n v="20.5"/>
    <x v="1"/>
    <x v="0"/>
    <s v="Capocollo, Red Peppers, Tomatoes, Goat Cheese, Garlic, Oregano"/>
    <x v="11"/>
  </r>
  <r>
    <n v="809"/>
    <n v="353"/>
    <n v="0.33333333333333331"/>
    <s v="bbq_ckn_l"/>
    <n v="1"/>
    <x v="5"/>
    <x v="5"/>
    <x v="351"/>
    <n v="20.75"/>
    <n v="20.75"/>
    <x v="1"/>
    <x v="3"/>
    <s v="Barbecued Chicken, Red Peppers, Green Peppers, Tomatoes, Red Onions, Barbecue Sauce"/>
    <x v="7"/>
  </r>
  <r>
    <n v="810"/>
    <n v="353"/>
    <n v="0.33333333333333331"/>
    <s v="cali_ckn_l"/>
    <n v="1"/>
    <x v="5"/>
    <x v="5"/>
    <x v="351"/>
    <n v="20.75"/>
    <n v="20.75"/>
    <x v="1"/>
    <x v="3"/>
    <s v="Chicken, Artichoke, Spinach, Garlic, Jalapeno Peppers, Fontina Cheese, Gouda Cheese"/>
    <x v="16"/>
  </r>
  <r>
    <n v="811"/>
    <n v="353"/>
    <n v="0.33333333333333331"/>
    <s v="prsc_argla_s"/>
    <n v="1"/>
    <x v="5"/>
    <x v="5"/>
    <x v="351"/>
    <n v="12.5"/>
    <n v="12.5"/>
    <x v="2"/>
    <x v="2"/>
    <s v="Prosciutto di San Daniele, Arugula, Mozzarella Cheese"/>
    <x v="6"/>
  </r>
  <r>
    <n v="812"/>
    <n v="354"/>
    <n v="0.5"/>
    <s v="green_garden_s"/>
    <n v="1"/>
    <x v="5"/>
    <x v="5"/>
    <x v="352"/>
    <n v="12"/>
    <n v="12"/>
    <x v="2"/>
    <x v="1"/>
    <s v="Spinach, Mushrooms, Tomatoes, Green Olives, Feta Cheese"/>
    <x v="10"/>
  </r>
  <r>
    <n v="813"/>
    <n v="354"/>
    <n v="0.5"/>
    <s v="veggie_veg_l"/>
    <n v="1"/>
    <x v="5"/>
    <x v="5"/>
    <x v="352"/>
    <n v="20.25"/>
    <n v="20.25"/>
    <x v="1"/>
    <x v="1"/>
    <s v="Mushrooms, Tomatoes, Red Peppers, Green Peppers, Red Onions, Zucchini, Spinach, Garlic"/>
    <x v="14"/>
  </r>
  <r>
    <n v="814"/>
    <n v="355"/>
    <n v="0.5"/>
    <s v="ckn_alfredo_m"/>
    <n v="1"/>
    <x v="5"/>
    <x v="5"/>
    <x v="353"/>
    <n v="16.75"/>
    <n v="16.75"/>
    <x v="0"/>
    <x v="3"/>
    <s v="Chicken, Red Onions, Red Peppers, Mushrooms, Asiago Cheese, Alfredo Sauce"/>
    <x v="29"/>
  </r>
  <r>
    <n v="815"/>
    <n v="355"/>
    <n v="0.5"/>
    <s v="ital_supr_m"/>
    <n v="1"/>
    <x v="5"/>
    <x v="5"/>
    <x v="353"/>
    <n v="16.5"/>
    <n v="16.5"/>
    <x v="0"/>
    <x v="2"/>
    <s v="Calabrese Salami, Capocollo, Tomatoes, Red Onions, Green Olives, Garlic"/>
    <x v="3"/>
  </r>
  <r>
    <n v="816"/>
    <n v="356"/>
    <n v="1"/>
    <s v="ckn_alfredo_m"/>
    <n v="1"/>
    <x v="5"/>
    <x v="5"/>
    <x v="354"/>
    <n v="16.75"/>
    <n v="16.75"/>
    <x v="0"/>
    <x v="3"/>
    <s v="Chicken, Red Onions, Red Peppers, Mushrooms, Asiago Cheese, Alfredo Sauce"/>
    <x v="29"/>
  </r>
  <r>
    <n v="817"/>
    <n v="357"/>
    <n v="0.33333333333333331"/>
    <s v="cali_ckn_l"/>
    <n v="1"/>
    <x v="5"/>
    <x v="5"/>
    <x v="355"/>
    <n v="20.75"/>
    <n v="20.75"/>
    <x v="1"/>
    <x v="3"/>
    <s v="Chicken, Artichoke, Spinach, Garlic, Jalapeno Peppers, Fontina Cheese, Gouda Cheese"/>
    <x v="16"/>
  </r>
  <r>
    <n v="818"/>
    <n v="357"/>
    <n v="0.33333333333333331"/>
    <s v="southw_ckn_s"/>
    <n v="1"/>
    <x v="5"/>
    <x v="5"/>
    <x v="355"/>
    <n v="12.75"/>
    <n v="12.75"/>
    <x v="2"/>
    <x v="3"/>
    <s v="Chicken, Tomatoes, Red Peppers, Red Onions, Jalapeno Peppers, Corn, Cilantro, Chipotle Sauce"/>
    <x v="15"/>
  </r>
  <r>
    <n v="819"/>
    <n v="357"/>
    <n v="0.33333333333333331"/>
    <s v="spinach_fet_s"/>
    <n v="1"/>
    <x v="5"/>
    <x v="5"/>
    <x v="355"/>
    <n v="12"/>
    <n v="12"/>
    <x v="2"/>
    <x v="1"/>
    <s v="Spinach, Mushrooms, Red Onions, Feta Cheese, Garlic"/>
    <x v="27"/>
  </r>
  <r>
    <n v="820"/>
    <n v="358"/>
    <n v="1"/>
    <s v="ital_supr_m"/>
    <n v="1"/>
    <x v="5"/>
    <x v="5"/>
    <x v="356"/>
    <n v="16.5"/>
    <n v="16.5"/>
    <x v="0"/>
    <x v="2"/>
    <s v="Calabrese Salami, Capocollo, Tomatoes, Red Onions, Green Olives, Garlic"/>
    <x v="3"/>
  </r>
  <r>
    <n v="821"/>
    <n v="359"/>
    <n v="0.5"/>
    <s v="green_garden_m"/>
    <n v="1"/>
    <x v="5"/>
    <x v="5"/>
    <x v="357"/>
    <n v="16"/>
    <n v="16"/>
    <x v="0"/>
    <x v="1"/>
    <s v="Spinach, Mushrooms, Tomatoes, Green Olives, Feta Cheese"/>
    <x v="10"/>
  </r>
  <r>
    <n v="822"/>
    <n v="359"/>
    <n v="0.5"/>
    <s v="thai_ckn_l"/>
    <n v="1"/>
    <x v="5"/>
    <x v="5"/>
    <x v="357"/>
    <n v="20.75"/>
    <n v="20.75"/>
    <x v="1"/>
    <x v="3"/>
    <s v="Chicken, Pineapple, Tomatoes, Red Peppers, Thai Sweet Chilli Sauce"/>
    <x v="5"/>
  </r>
  <r>
    <n v="823"/>
    <n v="360"/>
    <n v="0.33333333333333331"/>
    <s v="bbq_ckn_l"/>
    <n v="1"/>
    <x v="5"/>
    <x v="5"/>
    <x v="358"/>
    <n v="20.75"/>
    <n v="20.75"/>
    <x v="1"/>
    <x v="3"/>
    <s v="Barbecued Chicken, Red Peppers, Green Peppers, Tomatoes, Red Onions, Barbecue Sauce"/>
    <x v="7"/>
  </r>
  <r>
    <n v="824"/>
    <n v="360"/>
    <n v="0.33333333333333331"/>
    <s v="green_garden_s"/>
    <n v="1"/>
    <x v="5"/>
    <x v="5"/>
    <x v="358"/>
    <n v="12"/>
    <n v="12"/>
    <x v="2"/>
    <x v="1"/>
    <s v="Spinach, Mushrooms, Tomatoes, Green Olives, Feta Cheese"/>
    <x v="10"/>
  </r>
  <r>
    <n v="825"/>
    <n v="360"/>
    <n v="0.33333333333333331"/>
    <s v="hawaiian_s"/>
    <n v="1"/>
    <x v="5"/>
    <x v="5"/>
    <x v="358"/>
    <n v="10.5"/>
    <n v="10.5"/>
    <x v="2"/>
    <x v="0"/>
    <s v="Sliced Ham, Pineapple, Mozzarella Cheese"/>
    <x v="0"/>
  </r>
  <r>
    <n v="826"/>
    <n v="361"/>
    <n v="0.5"/>
    <s v="big_meat_s"/>
    <n v="2"/>
    <x v="5"/>
    <x v="5"/>
    <x v="359"/>
    <n v="12"/>
    <n v="24"/>
    <x v="2"/>
    <x v="0"/>
    <s v="Bacon, Pepperoni, Italian Sausage, Chorizo Sausage"/>
    <x v="19"/>
  </r>
  <r>
    <n v="827"/>
    <n v="361"/>
    <n v="0.5"/>
    <s v="ital_cpcllo_s"/>
    <n v="1"/>
    <x v="5"/>
    <x v="5"/>
    <x v="359"/>
    <n v="12"/>
    <n v="12"/>
    <x v="2"/>
    <x v="0"/>
    <s v="Capocollo, Red Peppers, Tomatoes, Goat Cheese, Garlic, Oregano"/>
    <x v="11"/>
  </r>
  <r>
    <n v="828"/>
    <n v="362"/>
    <n v="0.5"/>
    <s v="bbq_ckn_m"/>
    <n v="1"/>
    <x v="5"/>
    <x v="5"/>
    <x v="360"/>
    <n v="16.75"/>
    <n v="16.75"/>
    <x v="0"/>
    <x v="3"/>
    <s v="Barbecued Chicken, Red Peppers, Green Peppers, Tomatoes, Red Onions, Barbecue Sauce"/>
    <x v="7"/>
  </r>
  <r>
    <n v="829"/>
    <n v="362"/>
    <n v="0.5"/>
    <s v="mexicana_l"/>
    <n v="1"/>
    <x v="5"/>
    <x v="5"/>
    <x v="360"/>
    <n v="20.25"/>
    <n v="20.25"/>
    <x v="1"/>
    <x v="1"/>
    <s v="Tomatoes, Red Peppers, Jalapeno Peppers, Red Onions, Cilantro, Corn, Chipotle Sauce, Garlic"/>
    <x v="4"/>
  </r>
  <r>
    <n v="830"/>
    <n v="363"/>
    <n v="0.5"/>
    <s v="mediterraneo_l"/>
    <n v="1"/>
    <x v="5"/>
    <x v="5"/>
    <x v="361"/>
    <n v="20.25"/>
    <n v="20.25"/>
    <x v="1"/>
    <x v="1"/>
    <s v="Spinach, Artichokes, Kalamata Olives, Sun-dried Tomatoes, Feta Cheese, Plum Tomatoes, Red Onions"/>
    <x v="25"/>
  </r>
  <r>
    <n v="831"/>
    <n v="363"/>
    <n v="0.5"/>
    <s v="mexicana_l"/>
    <n v="1"/>
    <x v="5"/>
    <x v="5"/>
    <x v="361"/>
    <n v="20.25"/>
    <n v="20.25"/>
    <x v="1"/>
    <x v="1"/>
    <s v="Tomatoes, Red Peppers, Jalapeno Peppers, Red Onions, Cilantro, Corn, Chipotle Sauce, Garlic"/>
    <x v="4"/>
  </r>
  <r>
    <n v="832"/>
    <n v="364"/>
    <n v="0.5"/>
    <s v="ital_supr_m"/>
    <n v="1"/>
    <x v="5"/>
    <x v="5"/>
    <x v="362"/>
    <n v="16.5"/>
    <n v="16.5"/>
    <x v="0"/>
    <x v="2"/>
    <s v="Calabrese Salami, Capocollo, Tomatoes, Red Onions, Green Olives, Garlic"/>
    <x v="3"/>
  </r>
  <r>
    <n v="833"/>
    <n v="364"/>
    <n v="0.5"/>
    <s v="the_greek_xl"/>
    <n v="1"/>
    <x v="5"/>
    <x v="5"/>
    <x v="362"/>
    <n v="25.5"/>
    <n v="25.5"/>
    <x v="3"/>
    <x v="0"/>
    <s v="Kalamata Olives, Feta Cheese, Tomatoes, Garlic, Beef Chuck Roast, Red Onions"/>
    <x v="8"/>
  </r>
  <r>
    <n v="834"/>
    <n v="365"/>
    <n v="0.33333333333333331"/>
    <s v="four_cheese_m"/>
    <n v="1"/>
    <x v="5"/>
    <x v="5"/>
    <x v="363"/>
    <n v="14.75"/>
    <n v="14.75"/>
    <x v="0"/>
    <x v="1"/>
    <s v="Ricotta Cheese, Gorgonzola Piccante Cheese, Mozzarella Cheese, Parmigiano Reggiano Cheese, Garlic"/>
    <x v="21"/>
  </r>
  <r>
    <n v="835"/>
    <n v="365"/>
    <n v="0.33333333333333331"/>
    <s v="mediterraneo_l"/>
    <n v="1"/>
    <x v="5"/>
    <x v="5"/>
    <x v="363"/>
    <n v="20.25"/>
    <n v="20.25"/>
    <x v="1"/>
    <x v="1"/>
    <s v="Spinach, Artichokes, Kalamata Olives, Sun-dried Tomatoes, Feta Cheese, Plum Tomatoes, Red Onions"/>
    <x v="25"/>
  </r>
  <r>
    <n v="836"/>
    <n v="365"/>
    <n v="0.33333333333333331"/>
    <s v="pepperoni_m"/>
    <n v="1"/>
    <x v="5"/>
    <x v="5"/>
    <x v="363"/>
    <n v="12.5"/>
    <n v="12.5"/>
    <x v="0"/>
    <x v="0"/>
    <s v="Mozzarella Cheese, Pepperoni"/>
    <x v="17"/>
  </r>
  <r>
    <n v="837"/>
    <n v="366"/>
    <n v="1"/>
    <s v="ital_cpcllo_l"/>
    <n v="1"/>
    <x v="5"/>
    <x v="5"/>
    <x v="364"/>
    <n v="20.5"/>
    <n v="20.5"/>
    <x v="1"/>
    <x v="0"/>
    <s v="Capocollo, Red Peppers, Tomatoes, Goat Cheese, Garlic, Oregano"/>
    <x v="11"/>
  </r>
  <r>
    <n v="838"/>
    <n v="367"/>
    <n v="0.5"/>
    <s v="hawaiian_l"/>
    <n v="1"/>
    <x v="5"/>
    <x v="5"/>
    <x v="365"/>
    <n v="16.5"/>
    <n v="16.5"/>
    <x v="1"/>
    <x v="0"/>
    <s v="Sliced Ham, Pineapple, Mozzarella Cheese"/>
    <x v="0"/>
  </r>
  <r>
    <n v="839"/>
    <n v="367"/>
    <n v="0.5"/>
    <s v="spinach_fet_m"/>
    <n v="1"/>
    <x v="5"/>
    <x v="5"/>
    <x v="365"/>
    <n v="16"/>
    <n v="16"/>
    <x v="0"/>
    <x v="1"/>
    <s v="Spinach, Mushrooms, Red Onions, Feta Cheese, Garlic"/>
    <x v="27"/>
  </r>
  <r>
    <n v="840"/>
    <n v="368"/>
    <n v="0.5"/>
    <s v="spin_pesto_m"/>
    <n v="1"/>
    <x v="5"/>
    <x v="5"/>
    <x v="366"/>
    <n v="16.5"/>
    <n v="16.5"/>
    <x v="0"/>
    <x v="1"/>
    <s v="Spinach, Artichokes, Tomatoes, Sun-dried Tomatoes, Garlic, Pesto Sauce"/>
    <x v="13"/>
  </r>
  <r>
    <n v="841"/>
    <n v="368"/>
    <n v="0.5"/>
    <s v="thai_ckn_l"/>
    <n v="1"/>
    <x v="5"/>
    <x v="5"/>
    <x v="366"/>
    <n v="20.75"/>
    <n v="20.75"/>
    <x v="1"/>
    <x v="3"/>
    <s v="Chicken, Pineapple, Tomatoes, Red Peppers, Thai Sweet Chilli Sauce"/>
    <x v="5"/>
  </r>
  <r>
    <n v="842"/>
    <n v="369"/>
    <n v="1"/>
    <s v="spinach_fet_m"/>
    <n v="1"/>
    <x v="5"/>
    <x v="5"/>
    <x v="367"/>
    <n v="16"/>
    <n v="16"/>
    <x v="0"/>
    <x v="1"/>
    <s v="Spinach, Mushrooms, Red Onions, Feta Cheese, Garlic"/>
    <x v="27"/>
  </r>
  <r>
    <n v="843"/>
    <n v="370"/>
    <n v="0.5"/>
    <s v="four_cheese_l"/>
    <n v="1"/>
    <x v="5"/>
    <x v="5"/>
    <x v="368"/>
    <n v="17.95"/>
    <n v="17.95"/>
    <x v="1"/>
    <x v="1"/>
    <s v="Ricotta Cheese, Gorgonzola Piccante Cheese, Mozzarella Cheese, Parmigiano Reggiano Cheese, Garlic"/>
    <x v="21"/>
  </r>
  <r>
    <n v="844"/>
    <n v="370"/>
    <n v="0.5"/>
    <s v="hawaiian_s"/>
    <n v="1"/>
    <x v="5"/>
    <x v="5"/>
    <x v="368"/>
    <n v="10.5"/>
    <n v="10.5"/>
    <x v="2"/>
    <x v="0"/>
    <s v="Sliced Ham, Pineapple, Mozzarella Cheese"/>
    <x v="0"/>
  </r>
  <r>
    <n v="845"/>
    <n v="371"/>
    <n v="1"/>
    <s v="pepperoni_m"/>
    <n v="1"/>
    <x v="5"/>
    <x v="5"/>
    <x v="369"/>
    <n v="12.5"/>
    <n v="12.5"/>
    <x v="0"/>
    <x v="0"/>
    <s v="Mozzarella Cheese, Pepperoni"/>
    <x v="17"/>
  </r>
  <r>
    <n v="846"/>
    <n v="372"/>
    <n v="1"/>
    <s v="spinach_fet_s"/>
    <n v="1"/>
    <x v="5"/>
    <x v="5"/>
    <x v="370"/>
    <n v="12"/>
    <n v="12"/>
    <x v="2"/>
    <x v="1"/>
    <s v="Spinach, Mushrooms, Red Onions, Feta Cheese, Garlic"/>
    <x v="27"/>
  </r>
  <r>
    <n v="847"/>
    <n v="373"/>
    <n v="0.33333333333333331"/>
    <s v="ckn_pesto_s"/>
    <n v="1"/>
    <x v="6"/>
    <x v="6"/>
    <x v="371"/>
    <n v="12.75"/>
    <n v="12.75"/>
    <x v="2"/>
    <x v="3"/>
    <s v="Chicken, Tomatoes, Red Peppers, Spinach, Garlic, Pesto Sauce"/>
    <x v="18"/>
  </r>
  <r>
    <n v="848"/>
    <n v="373"/>
    <n v="0.33333333333333331"/>
    <s v="classic_dlx_m"/>
    <n v="1"/>
    <x v="6"/>
    <x v="6"/>
    <x v="371"/>
    <n v="16"/>
    <n v="16"/>
    <x v="0"/>
    <x v="0"/>
    <s v="Pepperoni, Mushrooms, Red Onions, Red Peppers, Bacon"/>
    <x v="1"/>
  </r>
  <r>
    <n v="849"/>
    <n v="373"/>
    <n v="0.33333333333333331"/>
    <s v="sicilian_l"/>
    <n v="1"/>
    <x v="6"/>
    <x v="6"/>
    <x v="371"/>
    <n v="20.25"/>
    <n v="20.25"/>
    <x v="1"/>
    <x v="2"/>
    <s v="Coarse Sicilian Salami, Tomatoes, Green Olives, Luganega Sausage, Onions, Garlic"/>
    <x v="28"/>
  </r>
  <r>
    <n v="850"/>
    <n v="374"/>
    <n v="0.33333333333333331"/>
    <s v="big_meat_s"/>
    <n v="1"/>
    <x v="6"/>
    <x v="6"/>
    <x v="372"/>
    <n v="12"/>
    <n v="12"/>
    <x v="2"/>
    <x v="0"/>
    <s v="Bacon, Pepperoni, Italian Sausage, Chorizo Sausage"/>
    <x v="19"/>
  </r>
  <r>
    <n v="851"/>
    <n v="374"/>
    <n v="0.33333333333333331"/>
    <s v="ckn_alfredo_m"/>
    <n v="1"/>
    <x v="6"/>
    <x v="6"/>
    <x v="372"/>
    <n v="16.75"/>
    <n v="16.75"/>
    <x v="0"/>
    <x v="3"/>
    <s v="Chicken, Red Onions, Red Peppers, Mushrooms, Asiago Cheese, Alfredo Sauce"/>
    <x v="29"/>
  </r>
  <r>
    <n v="852"/>
    <n v="374"/>
    <n v="0.33333333333333331"/>
    <s v="peppr_salami_s"/>
    <n v="1"/>
    <x v="6"/>
    <x v="6"/>
    <x v="372"/>
    <n v="12.5"/>
    <n v="12.5"/>
    <x v="2"/>
    <x v="2"/>
    <s v="Genoa Salami, Capocollo, Pepperoni, Tomatoes, Asiago Cheese, Garlic"/>
    <x v="26"/>
  </r>
  <r>
    <n v="853"/>
    <n v="375"/>
    <n v="1"/>
    <s v="mexicana_m"/>
    <n v="1"/>
    <x v="6"/>
    <x v="6"/>
    <x v="373"/>
    <n v="16"/>
    <n v="16"/>
    <x v="0"/>
    <x v="1"/>
    <s v="Tomatoes, Red Peppers, Jalapeno Peppers, Red Onions, Cilantro, Corn, Chipotle Sauce, Garlic"/>
    <x v="4"/>
  </r>
  <r>
    <n v="854"/>
    <n v="376"/>
    <n v="0.5"/>
    <s v="the_greek_xl"/>
    <n v="1"/>
    <x v="6"/>
    <x v="6"/>
    <x v="374"/>
    <n v="25.5"/>
    <n v="25.5"/>
    <x v="3"/>
    <x v="0"/>
    <s v="Kalamata Olives, Feta Cheese, Tomatoes, Garlic, Beef Chuck Roast, Red Onions"/>
    <x v="8"/>
  </r>
  <r>
    <n v="855"/>
    <n v="376"/>
    <n v="0.5"/>
    <s v="veggie_veg_l"/>
    <n v="1"/>
    <x v="6"/>
    <x v="6"/>
    <x v="374"/>
    <n v="20.25"/>
    <n v="20.25"/>
    <x v="1"/>
    <x v="1"/>
    <s v="Mushrooms, Tomatoes, Red Peppers, Green Peppers, Red Onions, Zucchini, Spinach, Garlic"/>
    <x v="14"/>
  </r>
  <r>
    <n v="856"/>
    <n v="377"/>
    <n v="0.5"/>
    <s v="hawaiian_m"/>
    <n v="1"/>
    <x v="6"/>
    <x v="6"/>
    <x v="375"/>
    <n v="13.25"/>
    <n v="13.25"/>
    <x v="0"/>
    <x v="0"/>
    <s v="Sliced Ham, Pineapple, Mozzarella Cheese"/>
    <x v="0"/>
  </r>
  <r>
    <n v="857"/>
    <n v="377"/>
    <n v="0.5"/>
    <s v="thai_ckn_l"/>
    <n v="1"/>
    <x v="6"/>
    <x v="6"/>
    <x v="375"/>
    <n v="20.75"/>
    <n v="20.75"/>
    <x v="1"/>
    <x v="3"/>
    <s v="Chicken, Pineapple, Tomatoes, Red Peppers, Thai Sweet Chilli Sauce"/>
    <x v="5"/>
  </r>
  <r>
    <n v="858"/>
    <n v="378"/>
    <n v="1"/>
    <s v="ital_veggie_s"/>
    <n v="1"/>
    <x v="6"/>
    <x v="6"/>
    <x v="376"/>
    <n v="12.75"/>
    <n v="12.75"/>
    <x v="2"/>
    <x v="1"/>
    <s v="Eggplant, Artichokes, Tomatoes, Zucchini, Red Peppers, Garlic, Pesto Sauce"/>
    <x v="24"/>
  </r>
  <r>
    <n v="859"/>
    <n v="379"/>
    <n v="1"/>
    <s v="thai_ckn_l"/>
    <n v="1"/>
    <x v="6"/>
    <x v="6"/>
    <x v="377"/>
    <n v="20.75"/>
    <n v="20.75"/>
    <x v="1"/>
    <x v="3"/>
    <s v="Chicken, Pineapple, Tomatoes, Red Peppers, Thai Sweet Chilli Sauce"/>
    <x v="5"/>
  </r>
  <r>
    <n v="860"/>
    <n v="380"/>
    <n v="0.5"/>
    <s v="calabrese_m"/>
    <n v="1"/>
    <x v="6"/>
    <x v="6"/>
    <x v="378"/>
    <n v="16.25"/>
    <n v="16.25"/>
    <x v="0"/>
    <x v="2"/>
    <s v="?duja Salami, Pancetta, Tomatoes, Red Onions, Friggitello Peppers, Garlic"/>
    <x v="23"/>
  </r>
  <r>
    <n v="861"/>
    <n v="380"/>
    <n v="0.5"/>
    <s v="cali_ckn_m"/>
    <n v="1"/>
    <x v="6"/>
    <x v="6"/>
    <x v="378"/>
    <n v="16.75"/>
    <n v="16.75"/>
    <x v="0"/>
    <x v="3"/>
    <s v="Chicken, Artichoke, Spinach, Garlic, Jalapeno Peppers, Fontina Cheese, Gouda Cheese"/>
    <x v="16"/>
  </r>
  <r>
    <n v="862"/>
    <n v="381"/>
    <n v="1"/>
    <s v="southw_ckn_m"/>
    <n v="1"/>
    <x v="6"/>
    <x v="6"/>
    <x v="379"/>
    <n v="16.75"/>
    <n v="16.75"/>
    <x v="0"/>
    <x v="3"/>
    <s v="Chicken, Tomatoes, Red Peppers, Red Onions, Jalapeno Peppers, Corn, Cilantro, Chipotle Sauce"/>
    <x v="15"/>
  </r>
  <r>
    <n v="863"/>
    <n v="382"/>
    <n v="0.5"/>
    <s v="thai_ckn_s"/>
    <n v="1"/>
    <x v="6"/>
    <x v="6"/>
    <x v="380"/>
    <n v="12.75"/>
    <n v="12.75"/>
    <x v="2"/>
    <x v="3"/>
    <s v="Chicken, Pineapple, Tomatoes, Red Peppers, Thai Sweet Chilli Sauce"/>
    <x v="5"/>
  </r>
  <r>
    <n v="864"/>
    <n v="382"/>
    <n v="0.5"/>
    <s v="veggie_veg_m"/>
    <n v="1"/>
    <x v="6"/>
    <x v="6"/>
    <x v="380"/>
    <n v="16"/>
    <n v="16"/>
    <x v="0"/>
    <x v="1"/>
    <s v="Mushrooms, Tomatoes, Red Peppers, Green Peppers, Red Onions, Zucchini, Spinach, Garlic"/>
    <x v="14"/>
  </r>
  <r>
    <n v="865"/>
    <n v="383"/>
    <n v="1"/>
    <s v="spicy_ital_m"/>
    <n v="1"/>
    <x v="6"/>
    <x v="6"/>
    <x v="381"/>
    <n v="16.5"/>
    <n v="16.5"/>
    <x v="0"/>
    <x v="2"/>
    <s v="Capocollo, Tomatoes, Goat Cheese, Artichokes, Peperoncini verdi, Garlic"/>
    <x v="12"/>
  </r>
  <r>
    <n v="866"/>
    <n v="384"/>
    <n v="0.25"/>
    <s v="hawaiian_s"/>
    <n v="1"/>
    <x v="6"/>
    <x v="6"/>
    <x v="382"/>
    <n v="10.5"/>
    <n v="10.5"/>
    <x v="2"/>
    <x v="0"/>
    <s v="Sliced Ham, Pineapple, Mozzarella Cheese"/>
    <x v="0"/>
  </r>
  <r>
    <n v="867"/>
    <n v="384"/>
    <n v="0.25"/>
    <s v="ital_cpcllo_m"/>
    <n v="1"/>
    <x v="6"/>
    <x v="6"/>
    <x v="382"/>
    <n v="16"/>
    <n v="16"/>
    <x v="0"/>
    <x v="0"/>
    <s v="Capocollo, Red Peppers, Tomatoes, Goat Cheese, Garlic, Oregano"/>
    <x v="11"/>
  </r>
  <r>
    <n v="868"/>
    <n v="384"/>
    <n v="0.25"/>
    <s v="mediterraneo_m"/>
    <n v="1"/>
    <x v="6"/>
    <x v="6"/>
    <x v="382"/>
    <n v="16"/>
    <n v="16"/>
    <x v="0"/>
    <x v="1"/>
    <s v="Spinach, Artichokes, Kalamata Olives, Sun-dried Tomatoes, Feta Cheese, Plum Tomatoes, Red Onions"/>
    <x v="25"/>
  </r>
  <r>
    <n v="869"/>
    <n v="384"/>
    <n v="0.25"/>
    <s v="the_greek_s"/>
    <n v="1"/>
    <x v="6"/>
    <x v="6"/>
    <x v="382"/>
    <n v="12"/>
    <n v="12"/>
    <x v="2"/>
    <x v="0"/>
    <s v="Kalamata Olives, Feta Cheese, Tomatoes, Garlic, Beef Chuck Roast, Red Onions"/>
    <x v="8"/>
  </r>
  <r>
    <n v="870"/>
    <n v="385"/>
    <n v="1"/>
    <s v="veggie_veg_l"/>
    <n v="1"/>
    <x v="6"/>
    <x v="6"/>
    <x v="383"/>
    <n v="20.25"/>
    <n v="20.25"/>
    <x v="1"/>
    <x v="1"/>
    <s v="Mushrooms, Tomatoes, Red Peppers, Green Peppers, Red Onions, Zucchini, Spinach, Garlic"/>
    <x v="14"/>
  </r>
  <r>
    <n v="871"/>
    <n v="386"/>
    <n v="0.33333333333333331"/>
    <s v="ital_veggie_s"/>
    <n v="1"/>
    <x v="6"/>
    <x v="6"/>
    <x v="384"/>
    <n v="12.75"/>
    <n v="12.75"/>
    <x v="2"/>
    <x v="1"/>
    <s v="Eggplant, Artichokes, Tomatoes, Zucchini, Red Peppers, Garlic, Pesto Sauce"/>
    <x v="24"/>
  </r>
  <r>
    <n v="872"/>
    <n v="386"/>
    <n v="0.33333333333333331"/>
    <s v="soppressata_m"/>
    <n v="1"/>
    <x v="6"/>
    <x v="6"/>
    <x v="384"/>
    <n v="16.5"/>
    <n v="16.5"/>
    <x v="0"/>
    <x v="2"/>
    <s v="Soppressata Salami, Fontina Cheese, Mozzarella Cheese, Mushrooms, Garlic"/>
    <x v="20"/>
  </r>
  <r>
    <n v="873"/>
    <n v="386"/>
    <n v="0.33333333333333331"/>
    <s v="thai_ckn_m"/>
    <n v="1"/>
    <x v="6"/>
    <x v="6"/>
    <x v="384"/>
    <n v="16.75"/>
    <n v="16.75"/>
    <x v="0"/>
    <x v="3"/>
    <s v="Chicken, Pineapple, Tomatoes, Red Peppers, Thai Sweet Chilli Sauce"/>
    <x v="5"/>
  </r>
  <r>
    <n v="874"/>
    <n v="387"/>
    <n v="0.14285714285714285"/>
    <s v="bbq_ckn_s"/>
    <n v="1"/>
    <x v="6"/>
    <x v="6"/>
    <x v="385"/>
    <n v="12.75"/>
    <n v="12.75"/>
    <x v="2"/>
    <x v="3"/>
    <s v="Barbecued Chicken, Red Peppers, Green Peppers, Tomatoes, Red Onions, Barbecue Sauce"/>
    <x v="7"/>
  </r>
  <r>
    <n v="875"/>
    <n v="387"/>
    <n v="0.14285714285714285"/>
    <s v="big_meat_s"/>
    <n v="1"/>
    <x v="6"/>
    <x v="6"/>
    <x v="385"/>
    <n v="12"/>
    <n v="12"/>
    <x v="2"/>
    <x v="0"/>
    <s v="Bacon, Pepperoni, Italian Sausage, Chorizo Sausage"/>
    <x v="19"/>
  </r>
  <r>
    <n v="876"/>
    <n v="387"/>
    <n v="0.14285714285714285"/>
    <s v="ckn_pesto_m"/>
    <n v="1"/>
    <x v="6"/>
    <x v="6"/>
    <x v="385"/>
    <n v="16.75"/>
    <n v="16.75"/>
    <x v="0"/>
    <x v="3"/>
    <s v="Chicken, Tomatoes, Red Peppers, Spinach, Garlic, Pesto Sauce"/>
    <x v="18"/>
  </r>
  <r>
    <n v="877"/>
    <n v="387"/>
    <n v="0.14285714285714285"/>
    <s v="five_cheese_l"/>
    <n v="1"/>
    <x v="6"/>
    <x v="6"/>
    <x v="385"/>
    <n v="18.5"/>
    <n v="18.5"/>
    <x v="1"/>
    <x v="1"/>
    <s v="Mozzarella Cheese, Provolone Cheese, Smoked Gouda Cheese, Romano Cheese, Blue Cheese, Garlic"/>
    <x v="2"/>
  </r>
  <r>
    <n v="878"/>
    <n v="387"/>
    <n v="0.14285714285714285"/>
    <s v="pepperoni_s"/>
    <n v="1"/>
    <x v="6"/>
    <x v="6"/>
    <x v="385"/>
    <n v="9.75"/>
    <n v="9.75"/>
    <x v="2"/>
    <x v="0"/>
    <s v="Mozzarella Cheese, Pepperoni"/>
    <x v="17"/>
  </r>
  <r>
    <n v="879"/>
    <n v="387"/>
    <n v="0.14285714285714285"/>
    <s v="spicy_ital_l"/>
    <n v="1"/>
    <x v="6"/>
    <x v="6"/>
    <x v="385"/>
    <n v="20.75"/>
    <n v="20.75"/>
    <x v="1"/>
    <x v="2"/>
    <s v="Capocollo, Tomatoes, Goat Cheese, Artichokes, Peperoncini verdi, Garlic"/>
    <x v="12"/>
  </r>
  <r>
    <n v="880"/>
    <n v="387"/>
    <n v="0.14285714285714285"/>
    <s v="spinach_fet_s"/>
    <n v="1"/>
    <x v="6"/>
    <x v="6"/>
    <x v="385"/>
    <n v="12"/>
    <n v="12"/>
    <x v="2"/>
    <x v="1"/>
    <s v="Spinach, Mushrooms, Red Onions, Feta Cheese, Garlic"/>
    <x v="27"/>
  </r>
  <r>
    <n v="881"/>
    <n v="388"/>
    <n v="0.25"/>
    <s v="bbq_ckn_s"/>
    <n v="1"/>
    <x v="6"/>
    <x v="6"/>
    <x v="386"/>
    <n v="12.75"/>
    <n v="12.75"/>
    <x v="2"/>
    <x v="3"/>
    <s v="Barbecued Chicken, Red Peppers, Green Peppers, Tomatoes, Red Onions, Barbecue Sauce"/>
    <x v="7"/>
  </r>
  <r>
    <n v="882"/>
    <n v="388"/>
    <n v="0.25"/>
    <s v="ckn_alfredo_m"/>
    <n v="1"/>
    <x v="6"/>
    <x v="6"/>
    <x v="386"/>
    <n v="16.75"/>
    <n v="16.75"/>
    <x v="0"/>
    <x v="3"/>
    <s v="Chicken, Red Onions, Red Peppers, Mushrooms, Asiago Cheese, Alfredo Sauce"/>
    <x v="29"/>
  </r>
  <r>
    <n v="883"/>
    <n v="388"/>
    <n v="0.25"/>
    <s v="mediterraneo_m"/>
    <n v="1"/>
    <x v="6"/>
    <x v="6"/>
    <x v="386"/>
    <n v="16"/>
    <n v="16"/>
    <x v="0"/>
    <x v="1"/>
    <s v="Spinach, Artichokes, Kalamata Olives, Sun-dried Tomatoes, Feta Cheese, Plum Tomatoes, Red Onions"/>
    <x v="25"/>
  </r>
  <r>
    <n v="884"/>
    <n v="388"/>
    <n v="0.25"/>
    <s v="veggie_veg_s"/>
    <n v="1"/>
    <x v="6"/>
    <x v="6"/>
    <x v="386"/>
    <n v="12"/>
    <n v="12"/>
    <x v="2"/>
    <x v="1"/>
    <s v="Mushrooms, Tomatoes, Red Peppers, Green Peppers, Red Onions, Zucchini, Spinach, Garlic"/>
    <x v="14"/>
  </r>
  <r>
    <n v="885"/>
    <n v="389"/>
    <n v="1"/>
    <s v="spin_pesto_l"/>
    <n v="1"/>
    <x v="6"/>
    <x v="6"/>
    <x v="387"/>
    <n v="20.75"/>
    <n v="20.75"/>
    <x v="1"/>
    <x v="1"/>
    <s v="Spinach, Artichokes, Tomatoes, Sun-dried Tomatoes, Garlic, Pesto Sauce"/>
    <x v="13"/>
  </r>
  <r>
    <n v="886"/>
    <n v="390"/>
    <n v="1"/>
    <s v="pep_msh_pep_l"/>
    <n v="1"/>
    <x v="6"/>
    <x v="6"/>
    <x v="388"/>
    <n v="17.5"/>
    <n v="17.5"/>
    <x v="1"/>
    <x v="0"/>
    <s v="Pepperoni, Mushrooms, Green Peppers"/>
    <x v="30"/>
  </r>
  <r>
    <n v="887"/>
    <n v="391"/>
    <n v="1"/>
    <s v="the_greek_m"/>
    <n v="1"/>
    <x v="6"/>
    <x v="6"/>
    <x v="389"/>
    <n v="16"/>
    <n v="16"/>
    <x v="0"/>
    <x v="0"/>
    <s v="Kalamata Olives, Feta Cheese, Tomatoes, Garlic, Beef Chuck Roast, Red Onions"/>
    <x v="8"/>
  </r>
  <r>
    <n v="888"/>
    <n v="392"/>
    <n v="0.125"/>
    <s v="big_meat_s"/>
    <n v="1"/>
    <x v="6"/>
    <x v="6"/>
    <x v="390"/>
    <n v="12"/>
    <n v="12"/>
    <x v="2"/>
    <x v="0"/>
    <s v="Bacon, Pepperoni, Italian Sausage, Chorizo Sausage"/>
    <x v="19"/>
  </r>
  <r>
    <n v="889"/>
    <n v="392"/>
    <n v="0.125"/>
    <s v="calabrese_s"/>
    <n v="1"/>
    <x v="6"/>
    <x v="6"/>
    <x v="390"/>
    <n v="12.25"/>
    <n v="12.25"/>
    <x v="2"/>
    <x v="2"/>
    <s v="?duja Salami, Pancetta, Tomatoes, Red Onions, Friggitello Peppers, Garlic"/>
    <x v="23"/>
  </r>
  <r>
    <n v="890"/>
    <n v="392"/>
    <n v="0.125"/>
    <s v="cali_ckn_l"/>
    <n v="1"/>
    <x v="6"/>
    <x v="6"/>
    <x v="390"/>
    <n v="20.75"/>
    <n v="20.75"/>
    <x v="1"/>
    <x v="3"/>
    <s v="Chicken, Artichoke, Spinach, Garlic, Jalapeno Peppers, Fontina Cheese, Gouda Cheese"/>
    <x v="16"/>
  </r>
  <r>
    <n v="891"/>
    <n v="392"/>
    <n v="0.125"/>
    <s v="pepperoni_s"/>
    <n v="2"/>
    <x v="6"/>
    <x v="6"/>
    <x v="390"/>
    <n v="9.75"/>
    <n v="19.5"/>
    <x v="2"/>
    <x v="0"/>
    <s v="Mozzarella Cheese, Pepperoni"/>
    <x v="17"/>
  </r>
  <r>
    <n v="892"/>
    <n v="392"/>
    <n v="0.125"/>
    <s v="prsc_argla_l"/>
    <n v="1"/>
    <x v="6"/>
    <x v="6"/>
    <x v="390"/>
    <n v="20.75"/>
    <n v="20.75"/>
    <x v="1"/>
    <x v="2"/>
    <s v="Prosciutto di San Daniele, Arugula, Mozzarella Cheese"/>
    <x v="6"/>
  </r>
  <r>
    <n v="893"/>
    <n v="392"/>
    <n v="0.125"/>
    <s v="sicilian_l"/>
    <n v="1"/>
    <x v="6"/>
    <x v="6"/>
    <x v="390"/>
    <n v="20.25"/>
    <n v="20.25"/>
    <x v="1"/>
    <x v="2"/>
    <s v="Coarse Sicilian Salami, Tomatoes, Green Olives, Luganega Sausage, Onions, Garlic"/>
    <x v="28"/>
  </r>
  <r>
    <n v="894"/>
    <n v="392"/>
    <n v="0.125"/>
    <s v="soppressata_l"/>
    <n v="1"/>
    <x v="6"/>
    <x v="6"/>
    <x v="390"/>
    <n v="20.75"/>
    <n v="20.75"/>
    <x v="1"/>
    <x v="2"/>
    <s v="Soppressata Salami, Fontina Cheese, Mozzarella Cheese, Mushrooms, Garlic"/>
    <x v="20"/>
  </r>
  <r>
    <n v="895"/>
    <n v="392"/>
    <n v="0.125"/>
    <s v="spicy_ital_l"/>
    <n v="1"/>
    <x v="6"/>
    <x v="6"/>
    <x v="390"/>
    <n v="20.75"/>
    <n v="20.75"/>
    <x v="1"/>
    <x v="2"/>
    <s v="Capocollo, Tomatoes, Goat Cheese, Artichokes, Peperoncini verdi, Garlic"/>
    <x v="12"/>
  </r>
  <r>
    <n v="896"/>
    <n v="393"/>
    <n v="0.5"/>
    <s v="green_garden_s"/>
    <n v="1"/>
    <x v="6"/>
    <x v="6"/>
    <x v="391"/>
    <n v="12"/>
    <n v="12"/>
    <x v="2"/>
    <x v="1"/>
    <s v="Spinach, Mushrooms, Tomatoes, Green Olives, Feta Cheese"/>
    <x v="10"/>
  </r>
  <r>
    <n v="897"/>
    <n v="393"/>
    <n v="0.5"/>
    <s v="hawaiian_l"/>
    <n v="1"/>
    <x v="6"/>
    <x v="6"/>
    <x v="391"/>
    <n v="16.5"/>
    <n v="16.5"/>
    <x v="1"/>
    <x v="0"/>
    <s v="Sliced Ham, Pineapple, Mozzarella Cheese"/>
    <x v="0"/>
  </r>
  <r>
    <n v="898"/>
    <n v="394"/>
    <n v="8.3333333333333329E-2"/>
    <s v="big_meat_s"/>
    <n v="1"/>
    <x v="6"/>
    <x v="6"/>
    <x v="392"/>
    <n v="12"/>
    <n v="12"/>
    <x v="2"/>
    <x v="0"/>
    <s v="Bacon, Pepperoni, Italian Sausage, Chorizo Sausage"/>
    <x v="19"/>
  </r>
  <r>
    <n v="899"/>
    <n v="394"/>
    <n v="8.3333333333333329E-2"/>
    <s v="ckn_pesto_s"/>
    <n v="1"/>
    <x v="6"/>
    <x v="6"/>
    <x v="392"/>
    <n v="12.75"/>
    <n v="12.75"/>
    <x v="2"/>
    <x v="3"/>
    <s v="Chicken, Tomatoes, Red Peppers, Spinach, Garlic, Pesto Sauce"/>
    <x v="18"/>
  </r>
  <r>
    <n v="900"/>
    <n v="394"/>
    <n v="8.3333333333333329E-2"/>
    <s v="hawaiian_l"/>
    <n v="1"/>
    <x v="6"/>
    <x v="6"/>
    <x v="392"/>
    <n v="16.5"/>
    <n v="16.5"/>
    <x v="1"/>
    <x v="0"/>
    <s v="Sliced Ham, Pineapple, Mozzarella Cheese"/>
    <x v="0"/>
  </r>
  <r>
    <n v="901"/>
    <n v="394"/>
    <n v="8.3333333333333329E-2"/>
    <s v="hawaiian_s"/>
    <n v="1"/>
    <x v="6"/>
    <x v="6"/>
    <x v="392"/>
    <n v="10.5"/>
    <n v="10.5"/>
    <x v="2"/>
    <x v="0"/>
    <s v="Sliced Ham, Pineapple, Mozzarella Cheese"/>
    <x v="0"/>
  </r>
  <r>
    <n v="902"/>
    <n v="394"/>
    <n v="8.3333333333333329E-2"/>
    <s v="pep_msh_pep_l"/>
    <n v="1"/>
    <x v="6"/>
    <x v="6"/>
    <x v="392"/>
    <n v="17.5"/>
    <n v="17.5"/>
    <x v="1"/>
    <x v="0"/>
    <s v="Pepperoni, Mushrooms, Green Peppers"/>
    <x v="30"/>
  </r>
  <r>
    <n v="903"/>
    <n v="394"/>
    <n v="8.3333333333333329E-2"/>
    <s v="pepperoni_m"/>
    <n v="3"/>
    <x v="6"/>
    <x v="6"/>
    <x v="392"/>
    <n v="12.5"/>
    <n v="37.5"/>
    <x v="0"/>
    <x v="0"/>
    <s v="Mozzarella Cheese, Pepperoni"/>
    <x v="17"/>
  </r>
  <r>
    <n v="904"/>
    <n v="394"/>
    <n v="8.3333333333333329E-2"/>
    <s v="pepperoni_s"/>
    <n v="1"/>
    <x v="6"/>
    <x v="6"/>
    <x v="392"/>
    <n v="9.75"/>
    <n v="9.75"/>
    <x v="2"/>
    <x v="0"/>
    <s v="Mozzarella Cheese, Pepperoni"/>
    <x v="17"/>
  </r>
  <r>
    <n v="905"/>
    <n v="394"/>
    <n v="8.3333333333333329E-2"/>
    <s v="sicilian_l"/>
    <n v="1"/>
    <x v="6"/>
    <x v="6"/>
    <x v="392"/>
    <n v="20.25"/>
    <n v="20.25"/>
    <x v="1"/>
    <x v="2"/>
    <s v="Coarse Sicilian Salami, Tomatoes, Green Olives, Luganega Sausage, Onions, Garlic"/>
    <x v="28"/>
  </r>
  <r>
    <n v="906"/>
    <n v="394"/>
    <n v="8.3333333333333329E-2"/>
    <s v="spicy_ital_l"/>
    <n v="1"/>
    <x v="6"/>
    <x v="6"/>
    <x v="392"/>
    <n v="20.75"/>
    <n v="20.75"/>
    <x v="1"/>
    <x v="2"/>
    <s v="Capocollo, Tomatoes, Goat Cheese, Artichokes, Peperoncini verdi, Garlic"/>
    <x v="12"/>
  </r>
  <r>
    <n v="907"/>
    <n v="394"/>
    <n v="8.3333333333333329E-2"/>
    <s v="spin_pesto_s"/>
    <n v="1"/>
    <x v="6"/>
    <x v="6"/>
    <x v="392"/>
    <n v="12.5"/>
    <n v="12.5"/>
    <x v="2"/>
    <x v="1"/>
    <s v="Spinach, Artichokes, Tomatoes, Sun-dried Tomatoes, Garlic, Pesto Sauce"/>
    <x v="13"/>
  </r>
  <r>
    <n v="908"/>
    <n v="394"/>
    <n v="8.3333333333333329E-2"/>
    <s v="thai_ckn_l"/>
    <n v="1"/>
    <x v="6"/>
    <x v="6"/>
    <x v="392"/>
    <n v="20.75"/>
    <n v="20.75"/>
    <x v="1"/>
    <x v="3"/>
    <s v="Chicken, Pineapple, Tomatoes, Red Peppers, Thai Sweet Chilli Sauce"/>
    <x v="5"/>
  </r>
  <r>
    <n v="909"/>
    <n v="394"/>
    <n v="8.3333333333333329E-2"/>
    <s v="veggie_veg_s"/>
    <n v="1"/>
    <x v="6"/>
    <x v="6"/>
    <x v="392"/>
    <n v="12"/>
    <n v="12"/>
    <x v="2"/>
    <x v="1"/>
    <s v="Mushrooms, Tomatoes, Red Peppers, Green Peppers, Red Onions, Zucchini, Spinach, Garlic"/>
    <x v="14"/>
  </r>
  <r>
    <n v="910"/>
    <n v="395"/>
    <n v="1"/>
    <s v="napolitana_m"/>
    <n v="1"/>
    <x v="6"/>
    <x v="6"/>
    <x v="393"/>
    <n v="16"/>
    <n v="16"/>
    <x v="0"/>
    <x v="0"/>
    <s v="Tomatoes, Anchovies, Green Olives, Red Onions, Garlic"/>
    <x v="22"/>
  </r>
  <r>
    <n v="911"/>
    <n v="396"/>
    <n v="1"/>
    <s v="spinach_fet_s"/>
    <n v="1"/>
    <x v="6"/>
    <x v="6"/>
    <x v="394"/>
    <n v="12"/>
    <n v="12"/>
    <x v="2"/>
    <x v="1"/>
    <s v="Spinach, Mushrooms, Red Onions, Feta Cheese, Garlic"/>
    <x v="27"/>
  </r>
  <r>
    <n v="912"/>
    <n v="397"/>
    <n v="0.33333333333333331"/>
    <s v="five_cheese_l"/>
    <n v="2"/>
    <x v="6"/>
    <x v="6"/>
    <x v="395"/>
    <n v="18.5"/>
    <n v="37"/>
    <x v="1"/>
    <x v="1"/>
    <s v="Mozzarella Cheese, Provolone Cheese, Smoked Gouda Cheese, Romano Cheese, Blue Cheese, Garlic"/>
    <x v="2"/>
  </r>
  <r>
    <n v="913"/>
    <n v="397"/>
    <n v="0.33333333333333331"/>
    <s v="hawaiian_l"/>
    <n v="1"/>
    <x v="6"/>
    <x v="6"/>
    <x v="395"/>
    <n v="16.5"/>
    <n v="16.5"/>
    <x v="1"/>
    <x v="0"/>
    <s v="Sliced Ham, Pineapple, Mozzarella Cheese"/>
    <x v="0"/>
  </r>
  <r>
    <n v="914"/>
    <n v="397"/>
    <n v="0.33333333333333331"/>
    <s v="pepperoni_m"/>
    <n v="1"/>
    <x v="6"/>
    <x v="6"/>
    <x v="395"/>
    <n v="12.5"/>
    <n v="12.5"/>
    <x v="0"/>
    <x v="0"/>
    <s v="Mozzarella Cheese, Pepperoni"/>
    <x v="17"/>
  </r>
  <r>
    <n v="915"/>
    <n v="398"/>
    <n v="1"/>
    <s v="pepperoni_s"/>
    <n v="1"/>
    <x v="6"/>
    <x v="6"/>
    <x v="396"/>
    <n v="9.75"/>
    <n v="9.75"/>
    <x v="2"/>
    <x v="0"/>
    <s v="Mozzarella Cheese, Pepperoni"/>
    <x v="17"/>
  </r>
  <r>
    <n v="916"/>
    <n v="399"/>
    <n v="0.25"/>
    <s v="bbq_ckn_m"/>
    <n v="1"/>
    <x v="6"/>
    <x v="6"/>
    <x v="397"/>
    <n v="16.75"/>
    <n v="16.75"/>
    <x v="0"/>
    <x v="3"/>
    <s v="Barbecued Chicken, Red Peppers, Green Peppers, Tomatoes, Red Onions, Barbecue Sauce"/>
    <x v="7"/>
  </r>
  <r>
    <n v="917"/>
    <n v="399"/>
    <n v="0.25"/>
    <s v="cali_ckn_l"/>
    <n v="1"/>
    <x v="6"/>
    <x v="6"/>
    <x v="397"/>
    <n v="20.75"/>
    <n v="20.75"/>
    <x v="1"/>
    <x v="3"/>
    <s v="Chicken, Artichoke, Spinach, Garlic, Jalapeno Peppers, Fontina Cheese, Gouda Cheese"/>
    <x v="16"/>
  </r>
  <r>
    <n v="918"/>
    <n v="399"/>
    <n v="0.25"/>
    <s v="four_cheese_m"/>
    <n v="1"/>
    <x v="6"/>
    <x v="6"/>
    <x v="397"/>
    <n v="14.75"/>
    <n v="14.75"/>
    <x v="0"/>
    <x v="1"/>
    <s v="Ricotta Cheese, Gorgonzola Piccante Cheese, Mozzarella Cheese, Parmigiano Reggiano Cheese, Garlic"/>
    <x v="21"/>
  </r>
  <r>
    <n v="919"/>
    <n v="399"/>
    <n v="0.25"/>
    <s v="the_greek_m"/>
    <n v="1"/>
    <x v="6"/>
    <x v="6"/>
    <x v="397"/>
    <n v="16"/>
    <n v="16"/>
    <x v="0"/>
    <x v="0"/>
    <s v="Kalamata Olives, Feta Cheese, Tomatoes, Garlic, Beef Chuck Roast, Red Onions"/>
    <x v="8"/>
  </r>
  <r>
    <n v="920"/>
    <n v="400"/>
    <n v="0.5"/>
    <s v="pepperoni_m"/>
    <n v="1"/>
    <x v="6"/>
    <x v="6"/>
    <x v="398"/>
    <n v="12.5"/>
    <n v="12.5"/>
    <x v="0"/>
    <x v="0"/>
    <s v="Mozzarella Cheese, Pepperoni"/>
    <x v="17"/>
  </r>
  <r>
    <n v="921"/>
    <n v="400"/>
    <n v="0.5"/>
    <s v="thai_ckn_l"/>
    <n v="1"/>
    <x v="6"/>
    <x v="6"/>
    <x v="398"/>
    <n v="20.75"/>
    <n v="20.75"/>
    <x v="1"/>
    <x v="3"/>
    <s v="Chicken, Pineapple, Tomatoes, Red Peppers, Thai Sweet Chilli Sauce"/>
    <x v="5"/>
  </r>
  <r>
    <n v="922"/>
    <n v="401"/>
    <n v="1"/>
    <s v="veggie_veg_m"/>
    <n v="1"/>
    <x v="6"/>
    <x v="6"/>
    <x v="399"/>
    <n v="16"/>
    <n v="16"/>
    <x v="0"/>
    <x v="1"/>
    <s v="Mushrooms, Tomatoes, Red Peppers, Green Peppers, Red Onions, Zucchini, Spinach, Garlic"/>
    <x v="14"/>
  </r>
  <r>
    <n v="923"/>
    <n v="402"/>
    <n v="0.5"/>
    <s v="four_cheese_l"/>
    <n v="1"/>
    <x v="6"/>
    <x v="6"/>
    <x v="400"/>
    <n v="17.95"/>
    <n v="17.95"/>
    <x v="1"/>
    <x v="1"/>
    <s v="Ricotta Cheese, Gorgonzola Piccante Cheese, Mozzarella Cheese, Parmigiano Reggiano Cheese, Garlic"/>
    <x v="21"/>
  </r>
  <r>
    <n v="924"/>
    <n v="402"/>
    <n v="0.5"/>
    <s v="ital_supr_m"/>
    <n v="1"/>
    <x v="6"/>
    <x v="6"/>
    <x v="400"/>
    <n v="16.5"/>
    <n v="16.5"/>
    <x v="0"/>
    <x v="2"/>
    <s v="Calabrese Salami, Capocollo, Tomatoes, Red Onions, Green Olives, Garlic"/>
    <x v="3"/>
  </r>
  <r>
    <n v="925"/>
    <n v="403"/>
    <n v="0.33333333333333331"/>
    <s v="bbq_ckn_s"/>
    <n v="1"/>
    <x v="6"/>
    <x v="6"/>
    <x v="401"/>
    <n v="12.75"/>
    <n v="12.75"/>
    <x v="2"/>
    <x v="3"/>
    <s v="Barbecued Chicken, Red Peppers, Green Peppers, Tomatoes, Red Onions, Barbecue Sauce"/>
    <x v="7"/>
  </r>
  <r>
    <n v="926"/>
    <n v="403"/>
    <n v="0.33333333333333331"/>
    <s v="classic_dlx_l"/>
    <n v="1"/>
    <x v="6"/>
    <x v="6"/>
    <x v="401"/>
    <n v="20.5"/>
    <n v="20.5"/>
    <x v="1"/>
    <x v="0"/>
    <s v="Pepperoni, Mushrooms, Red Onions, Red Peppers, Bacon"/>
    <x v="1"/>
  </r>
  <r>
    <n v="927"/>
    <n v="403"/>
    <n v="0.33333333333333331"/>
    <s v="prsc_argla_s"/>
    <n v="1"/>
    <x v="6"/>
    <x v="6"/>
    <x v="401"/>
    <n v="12.5"/>
    <n v="12.5"/>
    <x v="2"/>
    <x v="2"/>
    <s v="Prosciutto di San Daniele, Arugula, Mozzarella Cheese"/>
    <x v="6"/>
  </r>
  <r>
    <n v="928"/>
    <n v="404"/>
    <n v="1"/>
    <s v="ckn_pesto_l"/>
    <n v="1"/>
    <x v="6"/>
    <x v="6"/>
    <x v="402"/>
    <n v="20.75"/>
    <n v="20.75"/>
    <x v="1"/>
    <x v="3"/>
    <s v="Chicken, Tomatoes, Red Peppers, Spinach, Garlic, Pesto Sauce"/>
    <x v="18"/>
  </r>
  <r>
    <n v="929"/>
    <n v="405"/>
    <n v="1"/>
    <s v="sicilian_l"/>
    <n v="1"/>
    <x v="6"/>
    <x v="6"/>
    <x v="403"/>
    <n v="20.25"/>
    <n v="20.25"/>
    <x v="1"/>
    <x v="2"/>
    <s v="Coarse Sicilian Salami, Tomatoes, Green Olives, Luganega Sausage, Onions, Garlic"/>
    <x v="28"/>
  </r>
  <r>
    <n v="930"/>
    <n v="406"/>
    <n v="0.33333333333333331"/>
    <s v="ckn_alfredo_m"/>
    <n v="1"/>
    <x v="6"/>
    <x v="6"/>
    <x v="404"/>
    <n v="16.75"/>
    <n v="16.75"/>
    <x v="0"/>
    <x v="3"/>
    <s v="Chicken, Red Onions, Red Peppers, Mushrooms, Asiago Cheese, Alfredo Sauce"/>
    <x v="29"/>
  </r>
  <r>
    <n v="931"/>
    <n v="406"/>
    <n v="0.33333333333333331"/>
    <s v="classic_dlx_m"/>
    <n v="1"/>
    <x v="6"/>
    <x v="6"/>
    <x v="404"/>
    <n v="16"/>
    <n v="16"/>
    <x v="0"/>
    <x v="0"/>
    <s v="Pepperoni, Mushrooms, Red Onions, Red Peppers, Bacon"/>
    <x v="1"/>
  </r>
  <r>
    <n v="932"/>
    <n v="406"/>
    <n v="0.33333333333333331"/>
    <s v="ital_veggie_s"/>
    <n v="1"/>
    <x v="6"/>
    <x v="6"/>
    <x v="404"/>
    <n v="12.75"/>
    <n v="12.75"/>
    <x v="2"/>
    <x v="1"/>
    <s v="Eggplant, Artichokes, Tomatoes, Zucchini, Red Peppers, Garlic, Pesto Sauce"/>
    <x v="24"/>
  </r>
  <r>
    <n v="933"/>
    <n v="407"/>
    <n v="0.33333333333333331"/>
    <s v="cali_ckn_m"/>
    <n v="1"/>
    <x v="6"/>
    <x v="6"/>
    <x v="405"/>
    <n v="16.75"/>
    <n v="16.75"/>
    <x v="0"/>
    <x v="3"/>
    <s v="Chicken, Artichoke, Spinach, Garlic, Jalapeno Peppers, Fontina Cheese, Gouda Cheese"/>
    <x v="16"/>
  </r>
  <r>
    <n v="934"/>
    <n v="407"/>
    <n v="0.33333333333333331"/>
    <s v="classic_dlx_l"/>
    <n v="1"/>
    <x v="6"/>
    <x v="6"/>
    <x v="405"/>
    <n v="20.5"/>
    <n v="20.5"/>
    <x v="1"/>
    <x v="0"/>
    <s v="Pepperoni, Mushrooms, Red Onions, Red Peppers, Bacon"/>
    <x v="1"/>
  </r>
  <r>
    <n v="935"/>
    <n v="407"/>
    <n v="0.33333333333333331"/>
    <s v="pepperoni_m"/>
    <n v="1"/>
    <x v="6"/>
    <x v="6"/>
    <x v="405"/>
    <n v="12.5"/>
    <n v="12.5"/>
    <x v="0"/>
    <x v="0"/>
    <s v="Mozzarella Cheese, Pepperoni"/>
    <x v="17"/>
  </r>
  <r>
    <n v="936"/>
    <n v="408"/>
    <n v="0.5"/>
    <s v="brie_carre_s"/>
    <n v="1"/>
    <x v="6"/>
    <x v="6"/>
    <x v="406"/>
    <n v="23.65"/>
    <n v="23.65"/>
    <x v="2"/>
    <x v="2"/>
    <s v="Brie Carre Cheese, Prosciutto, Caramelized Onions, Pears, Thyme, Garlic"/>
    <x v="31"/>
  </r>
  <r>
    <n v="937"/>
    <n v="408"/>
    <n v="0.5"/>
    <s v="peppr_salami_m"/>
    <n v="1"/>
    <x v="6"/>
    <x v="6"/>
    <x v="406"/>
    <n v="16.5"/>
    <n v="16.5"/>
    <x v="0"/>
    <x v="2"/>
    <s v="Genoa Salami, Capocollo, Pepperoni, Tomatoes, Asiago Cheese, Garlic"/>
    <x v="26"/>
  </r>
  <r>
    <n v="938"/>
    <n v="409"/>
    <n v="1"/>
    <s v="pepperoni_l"/>
    <n v="1"/>
    <x v="6"/>
    <x v="6"/>
    <x v="407"/>
    <n v="15.25"/>
    <n v="15.25"/>
    <x v="1"/>
    <x v="0"/>
    <s v="Mozzarella Cheese, Pepperoni"/>
    <x v="17"/>
  </r>
  <r>
    <n v="939"/>
    <n v="410"/>
    <n v="0.33333333333333331"/>
    <s v="big_meat_s"/>
    <n v="2"/>
    <x v="6"/>
    <x v="6"/>
    <x v="408"/>
    <n v="12"/>
    <n v="24"/>
    <x v="2"/>
    <x v="0"/>
    <s v="Bacon, Pepperoni, Italian Sausage, Chorizo Sausage"/>
    <x v="19"/>
  </r>
  <r>
    <n v="940"/>
    <n v="410"/>
    <n v="0.33333333333333331"/>
    <s v="mediterraneo_m"/>
    <n v="1"/>
    <x v="6"/>
    <x v="6"/>
    <x v="408"/>
    <n v="16"/>
    <n v="16"/>
    <x v="0"/>
    <x v="1"/>
    <s v="Spinach, Artichokes, Kalamata Olives, Sun-dried Tomatoes, Feta Cheese, Plum Tomatoes, Red Onions"/>
    <x v="25"/>
  </r>
  <r>
    <n v="941"/>
    <n v="410"/>
    <n v="0.33333333333333331"/>
    <s v="the_greek_xl"/>
    <n v="1"/>
    <x v="6"/>
    <x v="6"/>
    <x v="408"/>
    <n v="25.5"/>
    <n v="25.5"/>
    <x v="3"/>
    <x v="0"/>
    <s v="Kalamata Olives, Feta Cheese, Tomatoes, Garlic, Beef Chuck Roast, Red Onions"/>
    <x v="8"/>
  </r>
  <r>
    <n v="942"/>
    <n v="411"/>
    <n v="0.5"/>
    <s v="ital_supr_m"/>
    <n v="1"/>
    <x v="6"/>
    <x v="6"/>
    <x v="409"/>
    <n v="16.5"/>
    <n v="16.5"/>
    <x v="0"/>
    <x v="2"/>
    <s v="Calabrese Salami, Capocollo, Tomatoes, Red Onions, Green Olives, Garlic"/>
    <x v="3"/>
  </r>
  <r>
    <n v="943"/>
    <n v="411"/>
    <n v="0.5"/>
    <s v="southw_ckn_l"/>
    <n v="1"/>
    <x v="6"/>
    <x v="6"/>
    <x v="409"/>
    <n v="20.75"/>
    <n v="20.75"/>
    <x v="1"/>
    <x v="3"/>
    <s v="Chicken, Tomatoes, Red Peppers, Red Onions, Jalapeno Peppers, Corn, Cilantro, Chipotle Sauce"/>
    <x v="15"/>
  </r>
  <r>
    <n v="944"/>
    <n v="412"/>
    <n v="0.5"/>
    <s v="brie_carre_s"/>
    <n v="1"/>
    <x v="6"/>
    <x v="6"/>
    <x v="410"/>
    <n v="23.65"/>
    <n v="23.65"/>
    <x v="2"/>
    <x v="2"/>
    <s v="Brie Carre Cheese, Prosciutto, Caramelized Onions, Pears, Thyme, Garlic"/>
    <x v="31"/>
  </r>
  <r>
    <n v="945"/>
    <n v="412"/>
    <n v="0.5"/>
    <s v="spinach_supr_m"/>
    <n v="1"/>
    <x v="6"/>
    <x v="6"/>
    <x v="410"/>
    <n v="16.5"/>
    <n v="16.5"/>
    <x v="0"/>
    <x v="2"/>
    <s v="Spinach, Red Onions, Pepperoni, Tomatoes, Artichokes, Kalamata Olives, Garlic, Asiago Cheese"/>
    <x v="9"/>
  </r>
  <r>
    <n v="946"/>
    <n v="413"/>
    <n v="1"/>
    <s v="the_greek_s"/>
    <n v="1"/>
    <x v="6"/>
    <x v="6"/>
    <x v="411"/>
    <n v="12"/>
    <n v="12"/>
    <x v="2"/>
    <x v="0"/>
    <s v="Kalamata Olives, Feta Cheese, Tomatoes, Garlic, Beef Chuck Roast, Red Onions"/>
    <x v="8"/>
  </r>
  <r>
    <n v="947"/>
    <n v="414"/>
    <n v="0.33333333333333331"/>
    <s v="classic_dlx_s"/>
    <n v="1"/>
    <x v="6"/>
    <x v="6"/>
    <x v="412"/>
    <n v="12"/>
    <n v="12"/>
    <x v="2"/>
    <x v="0"/>
    <s v="Pepperoni, Mushrooms, Red Onions, Red Peppers, Bacon"/>
    <x v="1"/>
  </r>
  <r>
    <n v="948"/>
    <n v="414"/>
    <n v="0.33333333333333331"/>
    <s v="five_cheese_l"/>
    <n v="1"/>
    <x v="6"/>
    <x v="6"/>
    <x v="412"/>
    <n v="18.5"/>
    <n v="18.5"/>
    <x v="1"/>
    <x v="1"/>
    <s v="Mozzarella Cheese, Provolone Cheese, Smoked Gouda Cheese, Romano Cheese, Blue Cheese, Garlic"/>
    <x v="2"/>
  </r>
  <r>
    <n v="949"/>
    <n v="414"/>
    <n v="0.33333333333333331"/>
    <s v="ital_supr_m"/>
    <n v="1"/>
    <x v="6"/>
    <x v="6"/>
    <x v="412"/>
    <n v="16.5"/>
    <n v="16.5"/>
    <x v="0"/>
    <x v="2"/>
    <s v="Calabrese Salami, Capocollo, Tomatoes, Red Onions, Green Olives, Garlic"/>
    <x v="3"/>
  </r>
  <r>
    <n v="950"/>
    <n v="415"/>
    <n v="1"/>
    <s v="cali_ckn_s"/>
    <n v="1"/>
    <x v="6"/>
    <x v="6"/>
    <x v="413"/>
    <n v="12.75"/>
    <n v="12.75"/>
    <x v="2"/>
    <x v="3"/>
    <s v="Chicken, Artichoke, Spinach, Garlic, Jalapeno Peppers, Fontina Cheese, Gouda Cheese"/>
    <x v="16"/>
  </r>
  <r>
    <n v="951"/>
    <n v="416"/>
    <n v="1"/>
    <s v="spinach_fet_l"/>
    <n v="1"/>
    <x v="6"/>
    <x v="6"/>
    <x v="414"/>
    <n v="20.25"/>
    <n v="20.25"/>
    <x v="1"/>
    <x v="1"/>
    <s v="Spinach, Mushrooms, Red Onions, Feta Cheese, Garlic"/>
    <x v="27"/>
  </r>
  <r>
    <n v="952"/>
    <n v="417"/>
    <n v="1"/>
    <s v="pepperoni_s"/>
    <n v="1"/>
    <x v="6"/>
    <x v="6"/>
    <x v="415"/>
    <n v="9.75"/>
    <n v="9.75"/>
    <x v="2"/>
    <x v="0"/>
    <s v="Mozzarella Cheese, Pepperoni"/>
    <x v="17"/>
  </r>
  <r>
    <n v="953"/>
    <n v="418"/>
    <n v="0.5"/>
    <s v="ckn_pesto_m"/>
    <n v="1"/>
    <x v="6"/>
    <x v="6"/>
    <x v="416"/>
    <n v="16.75"/>
    <n v="16.75"/>
    <x v="0"/>
    <x v="3"/>
    <s v="Chicken, Tomatoes, Red Peppers, Spinach, Garlic, Pesto Sauce"/>
    <x v="18"/>
  </r>
  <r>
    <n v="954"/>
    <n v="418"/>
    <n v="0.5"/>
    <s v="sicilian_m"/>
    <n v="1"/>
    <x v="6"/>
    <x v="6"/>
    <x v="416"/>
    <n v="16.25"/>
    <n v="16.25"/>
    <x v="0"/>
    <x v="2"/>
    <s v="Coarse Sicilian Salami, Tomatoes, Green Olives, Luganega Sausage, Onions, Garlic"/>
    <x v="28"/>
  </r>
  <r>
    <n v="955"/>
    <n v="419"/>
    <n v="0.25"/>
    <s v="bbq_ckn_l"/>
    <n v="1"/>
    <x v="6"/>
    <x v="6"/>
    <x v="417"/>
    <n v="20.75"/>
    <n v="20.75"/>
    <x v="1"/>
    <x v="3"/>
    <s v="Barbecued Chicken, Red Peppers, Green Peppers, Tomatoes, Red Onions, Barbecue Sauce"/>
    <x v="7"/>
  </r>
  <r>
    <n v="956"/>
    <n v="419"/>
    <n v="0.25"/>
    <s v="hawaiian_l"/>
    <n v="1"/>
    <x v="6"/>
    <x v="6"/>
    <x v="417"/>
    <n v="16.5"/>
    <n v="16.5"/>
    <x v="1"/>
    <x v="0"/>
    <s v="Sliced Ham, Pineapple, Mozzarella Cheese"/>
    <x v="0"/>
  </r>
  <r>
    <n v="957"/>
    <n v="419"/>
    <n v="0.25"/>
    <s v="ital_veggie_m"/>
    <n v="1"/>
    <x v="6"/>
    <x v="6"/>
    <x v="417"/>
    <n v="16.75"/>
    <n v="16.75"/>
    <x v="0"/>
    <x v="1"/>
    <s v="Eggplant, Artichokes, Tomatoes, Zucchini, Red Peppers, Garlic, Pesto Sauce"/>
    <x v="24"/>
  </r>
  <r>
    <n v="958"/>
    <n v="419"/>
    <n v="0.25"/>
    <s v="veggie_veg_s"/>
    <n v="1"/>
    <x v="6"/>
    <x v="6"/>
    <x v="417"/>
    <n v="12"/>
    <n v="12"/>
    <x v="2"/>
    <x v="1"/>
    <s v="Mushrooms, Tomatoes, Red Peppers, Green Peppers, Red Onions, Zucchini, Spinach, Garlic"/>
    <x v="14"/>
  </r>
  <r>
    <n v="959"/>
    <n v="420"/>
    <n v="0.5"/>
    <s v="five_cheese_l"/>
    <n v="1"/>
    <x v="6"/>
    <x v="6"/>
    <x v="418"/>
    <n v="18.5"/>
    <n v="18.5"/>
    <x v="1"/>
    <x v="1"/>
    <s v="Mozzarella Cheese, Provolone Cheese, Smoked Gouda Cheese, Romano Cheese, Blue Cheese, Garlic"/>
    <x v="2"/>
  </r>
  <r>
    <n v="960"/>
    <n v="420"/>
    <n v="0.5"/>
    <s v="pep_msh_pep_s"/>
    <n v="1"/>
    <x v="6"/>
    <x v="6"/>
    <x v="418"/>
    <n v="11"/>
    <n v="11"/>
    <x v="2"/>
    <x v="0"/>
    <s v="Pepperoni, Mushrooms, Green Peppers"/>
    <x v="30"/>
  </r>
  <r>
    <n v="961"/>
    <n v="421"/>
    <n v="0.33333333333333331"/>
    <s v="bbq_ckn_l"/>
    <n v="1"/>
    <x v="6"/>
    <x v="6"/>
    <x v="419"/>
    <n v="20.75"/>
    <n v="20.75"/>
    <x v="1"/>
    <x v="3"/>
    <s v="Barbecued Chicken, Red Peppers, Green Peppers, Tomatoes, Red Onions, Barbecue Sauce"/>
    <x v="7"/>
  </r>
  <r>
    <n v="962"/>
    <n v="421"/>
    <n v="0.33333333333333331"/>
    <s v="calabrese_l"/>
    <n v="1"/>
    <x v="6"/>
    <x v="6"/>
    <x v="419"/>
    <n v="20.25"/>
    <n v="20.25"/>
    <x v="1"/>
    <x v="2"/>
    <s v="?duja Salami, Pancetta, Tomatoes, Red Onions, Friggitello Peppers, Garlic"/>
    <x v="23"/>
  </r>
  <r>
    <n v="963"/>
    <n v="421"/>
    <n v="0.33333333333333331"/>
    <s v="ckn_pesto_s"/>
    <n v="1"/>
    <x v="6"/>
    <x v="6"/>
    <x v="419"/>
    <n v="12.75"/>
    <n v="12.75"/>
    <x v="2"/>
    <x v="3"/>
    <s v="Chicken, Tomatoes, Red Peppers, Spinach, Garlic, Pesto Sauce"/>
    <x v="18"/>
  </r>
  <r>
    <n v="964"/>
    <n v="422"/>
    <n v="0.33333333333333331"/>
    <s v="four_cheese_l"/>
    <n v="1"/>
    <x v="6"/>
    <x v="6"/>
    <x v="420"/>
    <n v="17.95"/>
    <n v="17.95"/>
    <x v="1"/>
    <x v="1"/>
    <s v="Ricotta Cheese, Gorgonzola Piccante Cheese, Mozzarella Cheese, Parmigiano Reggiano Cheese, Garlic"/>
    <x v="21"/>
  </r>
  <r>
    <n v="965"/>
    <n v="422"/>
    <n v="0.33333333333333331"/>
    <s v="ital_supr_m"/>
    <n v="1"/>
    <x v="6"/>
    <x v="6"/>
    <x v="420"/>
    <n v="16.5"/>
    <n v="16.5"/>
    <x v="0"/>
    <x v="2"/>
    <s v="Calabrese Salami, Capocollo, Tomatoes, Red Onions, Green Olives, Garlic"/>
    <x v="3"/>
  </r>
  <r>
    <n v="966"/>
    <n v="422"/>
    <n v="0.33333333333333331"/>
    <s v="spinach_fet_m"/>
    <n v="1"/>
    <x v="6"/>
    <x v="6"/>
    <x v="420"/>
    <n v="16"/>
    <n v="16"/>
    <x v="0"/>
    <x v="1"/>
    <s v="Spinach, Mushrooms, Red Onions, Feta Cheese, Garlic"/>
    <x v="27"/>
  </r>
  <r>
    <n v="967"/>
    <n v="423"/>
    <n v="0.5"/>
    <s v="ital_supr_l"/>
    <n v="1"/>
    <x v="6"/>
    <x v="6"/>
    <x v="421"/>
    <n v="20.75"/>
    <n v="20.75"/>
    <x v="1"/>
    <x v="2"/>
    <s v="Calabrese Salami, Capocollo, Tomatoes, Red Onions, Green Olives, Garlic"/>
    <x v="3"/>
  </r>
  <r>
    <n v="968"/>
    <n v="423"/>
    <n v="0.5"/>
    <s v="sicilian_s"/>
    <n v="1"/>
    <x v="6"/>
    <x v="6"/>
    <x v="421"/>
    <n v="12.25"/>
    <n v="12.25"/>
    <x v="2"/>
    <x v="2"/>
    <s v="Coarse Sicilian Salami, Tomatoes, Green Olives, Luganega Sausage, Onions, Garlic"/>
    <x v="28"/>
  </r>
  <r>
    <n v="969"/>
    <n v="424"/>
    <n v="1"/>
    <s v="pepperoni_m"/>
    <n v="1"/>
    <x v="6"/>
    <x v="6"/>
    <x v="422"/>
    <n v="12.5"/>
    <n v="12.5"/>
    <x v="0"/>
    <x v="0"/>
    <s v="Mozzarella Cheese, Pepperoni"/>
    <x v="17"/>
  </r>
  <r>
    <n v="970"/>
    <n v="425"/>
    <n v="1"/>
    <s v="soppressata_m"/>
    <n v="1"/>
    <x v="6"/>
    <x v="6"/>
    <x v="423"/>
    <n v="16.5"/>
    <n v="16.5"/>
    <x v="0"/>
    <x v="2"/>
    <s v="Soppressata Salami, Fontina Cheese, Mozzarella Cheese, Mushrooms, Garlic"/>
    <x v="20"/>
  </r>
  <r>
    <n v="971"/>
    <n v="426"/>
    <n v="0.33333333333333331"/>
    <s v="classic_dlx_m"/>
    <n v="1"/>
    <x v="6"/>
    <x v="6"/>
    <x v="424"/>
    <n v="16"/>
    <n v="16"/>
    <x v="0"/>
    <x v="0"/>
    <s v="Pepperoni, Mushrooms, Red Onions, Red Peppers, Bacon"/>
    <x v="1"/>
  </r>
  <r>
    <n v="972"/>
    <n v="426"/>
    <n v="0.33333333333333331"/>
    <s v="sicilian_s"/>
    <n v="1"/>
    <x v="6"/>
    <x v="6"/>
    <x v="424"/>
    <n v="12.25"/>
    <n v="12.25"/>
    <x v="2"/>
    <x v="2"/>
    <s v="Coarse Sicilian Salami, Tomatoes, Green Olives, Luganega Sausage, Onions, Garlic"/>
    <x v="28"/>
  </r>
  <r>
    <n v="973"/>
    <n v="426"/>
    <n v="0.33333333333333331"/>
    <s v="soppressata_m"/>
    <n v="1"/>
    <x v="6"/>
    <x v="6"/>
    <x v="424"/>
    <n v="16.5"/>
    <n v="16.5"/>
    <x v="0"/>
    <x v="2"/>
    <s v="Soppressata Salami, Fontina Cheese, Mozzarella Cheese, Mushrooms, Garlic"/>
    <x v="20"/>
  </r>
  <r>
    <n v="974"/>
    <n v="427"/>
    <n v="1"/>
    <s v="spinach_fet_l"/>
    <n v="1"/>
    <x v="6"/>
    <x v="6"/>
    <x v="425"/>
    <n v="20.25"/>
    <n v="20.25"/>
    <x v="1"/>
    <x v="1"/>
    <s v="Spinach, Mushrooms, Red Onions, Feta Cheese, Garlic"/>
    <x v="27"/>
  </r>
  <r>
    <n v="975"/>
    <n v="428"/>
    <n v="0.5"/>
    <s v="calabrese_l"/>
    <n v="1"/>
    <x v="6"/>
    <x v="6"/>
    <x v="426"/>
    <n v="20.25"/>
    <n v="20.25"/>
    <x v="1"/>
    <x v="2"/>
    <s v="?duja Salami, Pancetta, Tomatoes, Red Onions, Friggitello Peppers, Garlic"/>
    <x v="23"/>
  </r>
  <r>
    <n v="976"/>
    <n v="428"/>
    <n v="0.5"/>
    <s v="ital_cpcllo_s"/>
    <n v="1"/>
    <x v="6"/>
    <x v="6"/>
    <x v="426"/>
    <n v="12"/>
    <n v="12"/>
    <x v="2"/>
    <x v="0"/>
    <s v="Capocollo, Red Peppers, Tomatoes, Goat Cheese, Garlic, Oregano"/>
    <x v="11"/>
  </r>
  <r>
    <n v="977"/>
    <n v="429"/>
    <n v="1"/>
    <s v="spicy_ital_m"/>
    <n v="1"/>
    <x v="6"/>
    <x v="6"/>
    <x v="427"/>
    <n v="16.5"/>
    <n v="16.5"/>
    <x v="0"/>
    <x v="2"/>
    <s v="Capocollo, Tomatoes, Goat Cheese, Artichokes, Peperoncini verdi, Garlic"/>
    <x v="12"/>
  </r>
  <r>
    <n v="978"/>
    <n v="430"/>
    <n v="0.5"/>
    <s v="green_garden_m"/>
    <n v="1"/>
    <x v="6"/>
    <x v="6"/>
    <x v="428"/>
    <n v="16"/>
    <n v="16"/>
    <x v="0"/>
    <x v="1"/>
    <s v="Spinach, Mushrooms, Tomatoes, Green Olives, Feta Cheese"/>
    <x v="10"/>
  </r>
  <r>
    <n v="979"/>
    <n v="430"/>
    <n v="0.5"/>
    <s v="sicilian_s"/>
    <n v="1"/>
    <x v="6"/>
    <x v="6"/>
    <x v="428"/>
    <n v="12.25"/>
    <n v="12.25"/>
    <x v="2"/>
    <x v="2"/>
    <s v="Coarse Sicilian Salami, Tomatoes, Green Olives, Luganega Sausage, Onions, Garlic"/>
    <x v="28"/>
  </r>
  <r>
    <n v="980"/>
    <n v="431"/>
    <n v="0.25"/>
    <s v="big_meat_s"/>
    <n v="1"/>
    <x v="7"/>
    <x v="0"/>
    <x v="429"/>
    <n v="12"/>
    <n v="12"/>
    <x v="2"/>
    <x v="0"/>
    <s v="Bacon, Pepperoni, Italian Sausage, Chorizo Sausage"/>
    <x v="19"/>
  </r>
  <r>
    <n v="981"/>
    <n v="431"/>
    <n v="0.25"/>
    <s v="ckn_alfredo_s"/>
    <n v="1"/>
    <x v="7"/>
    <x v="0"/>
    <x v="429"/>
    <n v="12.75"/>
    <n v="12.75"/>
    <x v="2"/>
    <x v="3"/>
    <s v="Chicken, Red Onions, Red Peppers, Mushrooms, Asiago Cheese, Alfredo Sauce"/>
    <x v="29"/>
  </r>
  <r>
    <n v="982"/>
    <n v="431"/>
    <n v="0.25"/>
    <s v="four_cheese_l"/>
    <n v="1"/>
    <x v="7"/>
    <x v="0"/>
    <x v="429"/>
    <n v="17.95"/>
    <n v="17.95"/>
    <x v="1"/>
    <x v="1"/>
    <s v="Ricotta Cheese, Gorgonzola Piccante Cheese, Mozzarella Cheese, Parmigiano Reggiano Cheese, Garlic"/>
    <x v="21"/>
  </r>
  <r>
    <n v="983"/>
    <n v="431"/>
    <n v="0.25"/>
    <s v="hawaiian_l"/>
    <n v="1"/>
    <x v="7"/>
    <x v="0"/>
    <x v="429"/>
    <n v="16.5"/>
    <n v="16.5"/>
    <x v="1"/>
    <x v="0"/>
    <s v="Sliced Ham, Pineapple, Mozzarella Cheese"/>
    <x v="0"/>
  </r>
  <r>
    <n v="984"/>
    <n v="432"/>
    <n v="0.33333333333333331"/>
    <s v="ital_cpcllo_s"/>
    <n v="1"/>
    <x v="7"/>
    <x v="0"/>
    <x v="430"/>
    <n v="12"/>
    <n v="12"/>
    <x v="2"/>
    <x v="0"/>
    <s v="Capocollo, Red Peppers, Tomatoes, Goat Cheese, Garlic, Oregano"/>
    <x v="11"/>
  </r>
  <r>
    <n v="985"/>
    <n v="432"/>
    <n v="0.33333333333333331"/>
    <s v="thai_ckn_l"/>
    <n v="1"/>
    <x v="7"/>
    <x v="0"/>
    <x v="430"/>
    <n v="20.75"/>
    <n v="20.75"/>
    <x v="1"/>
    <x v="3"/>
    <s v="Chicken, Pineapple, Tomatoes, Red Peppers, Thai Sweet Chilli Sauce"/>
    <x v="5"/>
  </r>
  <r>
    <n v="986"/>
    <n v="432"/>
    <n v="0.33333333333333331"/>
    <s v="veggie_veg_s"/>
    <n v="1"/>
    <x v="7"/>
    <x v="0"/>
    <x v="430"/>
    <n v="12"/>
    <n v="12"/>
    <x v="2"/>
    <x v="1"/>
    <s v="Mushrooms, Tomatoes, Red Peppers, Green Peppers, Red Onions, Zucchini, Spinach, Garlic"/>
    <x v="14"/>
  </r>
  <r>
    <n v="987"/>
    <n v="433"/>
    <n v="1"/>
    <s v="spicy_ital_l"/>
    <n v="1"/>
    <x v="7"/>
    <x v="0"/>
    <x v="431"/>
    <n v="20.75"/>
    <n v="20.75"/>
    <x v="1"/>
    <x v="2"/>
    <s v="Capocollo, Tomatoes, Goat Cheese, Artichokes, Peperoncini verdi, Garlic"/>
    <x v="12"/>
  </r>
  <r>
    <n v="988"/>
    <n v="434"/>
    <n v="0.33333333333333331"/>
    <s v="napolitana_m"/>
    <n v="1"/>
    <x v="7"/>
    <x v="0"/>
    <x v="432"/>
    <n v="16"/>
    <n v="16"/>
    <x v="0"/>
    <x v="0"/>
    <s v="Tomatoes, Anchovies, Green Olives, Red Onions, Garlic"/>
    <x v="22"/>
  </r>
  <r>
    <n v="989"/>
    <n v="434"/>
    <n v="0.33333333333333331"/>
    <s v="spicy_ital_l"/>
    <n v="1"/>
    <x v="7"/>
    <x v="0"/>
    <x v="432"/>
    <n v="20.75"/>
    <n v="20.75"/>
    <x v="1"/>
    <x v="2"/>
    <s v="Capocollo, Tomatoes, Goat Cheese, Artichokes, Peperoncini verdi, Garlic"/>
    <x v="12"/>
  </r>
  <r>
    <n v="990"/>
    <n v="434"/>
    <n v="0.33333333333333331"/>
    <s v="veggie_veg_l"/>
    <n v="1"/>
    <x v="7"/>
    <x v="0"/>
    <x v="432"/>
    <n v="20.25"/>
    <n v="20.25"/>
    <x v="1"/>
    <x v="1"/>
    <s v="Mushrooms, Tomatoes, Red Peppers, Green Peppers, Red Onions, Zucchini, Spinach, Garlic"/>
    <x v="14"/>
  </r>
  <r>
    <n v="991"/>
    <n v="435"/>
    <n v="0.33333333333333331"/>
    <s v="classic_dlx_m"/>
    <n v="1"/>
    <x v="7"/>
    <x v="0"/>
    <x v="433"/>
    <n v="16"/>
    <n v="16"/>
    <x v="0"/>
    <x v="0"/>
    <s v="Pepperoni, Mushrooms, Red Onions, Red Peppers, Bacon"/>
    <x v="1"/>
  </r>
  <r>
    <n v="992"/>
    <n v="435"/>
    <n v="0.33333333333333331"/>
    <s v="pep_msh_pep_m"/>
    <n v="1"/>
    <x v="7"/>
    <x v="0"/>
    <x v="433"/>
    <n v="14.5"/>
    <n v="14.5"/>
    <x v="0"/>
    <x v="0"/>
    <s v="Pepperoni, Mushrooms, Green Peppers"/>
    <x v="30"/>
  </r>
  <r>
    <n v="993"/>
    <n v="435"/>
    <n v="0.33333333333333331"/>
    <s v="spinach_supr_s"/>
    <n v="1"/>
    <x v="7"/>
    <x v="0"/>
    <x v="433"/>
    <n v="12.5"/>
    <n v="12.5"/>
    <x v="2"/>
    <x v="2"/>
    <s v="Spinach, Red Onions, Pepperoni, Tomatoes, Artichokes, Kalamata Olives, Garlic, Asiago Cheese"/>
    <x v="9"/>
  </r>
  <r>
    <n v="994"/>
    <n v="436"/>
    <n v="0.25"/>
    <s v="classic_dlx_l"/>
    <n v="1"/>
    <x v="7"/>
    <x v="0"/>
    <x v="434"/>
    <n v="20.5"/>
    <n v="20.5"/>
    <x v="1"/>
    <x v="0"/>
    <s v="Pepperoni, Mushrooms, Red Onions, Red Peppers, Bacon"/>
    <x v="1"/>
  </r>
  <r>
    <n v="995"/>
    <n v="436"/>
    <n v="0.25"/>
    <s v="ital_supr_m"/>
    <n v="1"/>
    <x v="7"/>
    <x v="0"/>
    <x v="434"/>
    <n v="16.5"/>
    <n v="16.5"/>
    <x v="0"/>
    <x v="2"/>
    <s v="Calabrese Salami, Capocollo, Tomatoes, Red Onions, Green Olives, Garlic"/>
    <x v="3"/>
  </r>
  <r>
    <n v="996"/>
    <n v="436"/>
    <n v="0.25"/>
    <s v="pep_msh_pep_s"/>
    <n v="1"/>
    <x v="7"/>
    <x v="0"/>
    <x v="434"/>
    <n v="11"/>
    <n v="11"/>
    <x v="2"/>
    <x v="0"/>
    <s v="Pepperoni, Mushrooms, Green Peppers"/>
    <x v="30"/>
  </r>
  <r>
    <n v="997"/>
    <n v="436"/>
    <n v="0.25"/>
    <s v="peppr_salami_s"/>
    <n v="1"/>
    <x v="7"/>
    <x v="0"/>
    <x v="434"/>
    <n v="12.5"/>
    <n v="12.5"/>
    <x v="2"/>
    <x v="2"/>
    <s v="Genoa Salami, Capocollo, Pepperoni, Tomatoes, Asiago Cheese, Garlic"/>
    <x v="26"/>
  </r>
  <r>
    <n v="998"/>
    <n v="437"/>
    <n v="1"/>
    <s v="bbq_ckn_m"/>
    <n v="1"/>
    <x v="7"/>
    <x v="0"/>
    <x v="435"/>
    <n v="16.75"/>
    <n v="16.75"/>
    <x v="0"/>
    <x v="3"/>
    <s v="Barbecued Chicken, Red Peppers, Green Peppers, Tomatoes, Red Onions, Barbecue Sauce"/>
    <x v="7"/>
  </r>
  <r>
    <n v="999"/>
    <n v="438"/>
    <n v="1"/>
    <s v="veggie_veg_m"/>
    <n v="1"/>
    <x v="7"/>
    <x v="0"/>
    <x v="436"/>
    <n v="16"/>
    <n v="16"/>
    <x v="0"/>
    <x v="1"/>
    <s v="Mushrooms, Tomatoes, Red Peppers, Green Peppers, Red Onions, Zucchini, Spinach, Garlic"/>
    <x v="14"/>
  </r>
  <r>
    <n v="1000"/>
    <n v="439"/>
    <n v="0.33333333333333331"/>
    <s v="ckn_alfredo_m"/>
    <n v="1"/>
    <x v="7"/>
    <x v="0"/>
    <x v="437"/>
    <n v="16.75"/>
    <n v="16.75"/>
    <x v="0"/>
    <x v="3"/>
    <s v="Chicken, Red Onions, Red Peppers, Mushrooms, Asiago Cheese, Alfredo Sauce"/>
    <x v="29"/>
  </r>
  <r>
    <n v="1001"/>
    <n v="439"/>
    <n v="0.33333333333333331"/>
    <s v="pepperoni_m"/>
    <n v="1"/>
    <x v="7"/>
    <x v="0"/>
    <x v="437"/>
    <n v="12.5"/>
    <n v="12.5"/>
    <x v="0"/>
    <x v="0"/>
    <s v="Mozzarella Cheese, Pepperoni"/>
    <x v="17"/>
  </r>
  <r>
    <n v="1002"/>
    <n v="439"/>
    <n v="0.33333333333333331"/>
    <s v="the_greek_s"/>
    <n v="1"/>
    <x v="7"/>
    <x v="0"/>
    <x v="437"/>
    <n v="12"/>
    <n v="12"/>
    <x v="2"/>
    <x v="0"/>
    <s v="Kalamata Olives, Feta Cheese, Tomatoes, Garlic, Beef Chuck Roast, Red Onions"/>
    <x v="8"/>
  </r>
  <r>
    <n v="1003"/>
    <n v="440"/>
    <n v="7.1428571428571425E-2"/>
    <s v="calabrese_m"/>
    <n v="1"/>
    <x v="7"/>
    <x v="0"/>
    <x v="438"/>
    <n v="16.25"/>
    <n v="16.25"/>
    <x v="0"/>
    <x v="2"/>
    <s v="?duja Salami, Pancetta, Tomatoes, Red Onions, Friggitello Peppers, Garlic"/>
    <x v="23"/>
  </r>
  <r>
    <n v="1004"/>
    <n v="440"/>
    <n v="7.1428571428571425E-2"/>
    <s v="ckn_alfredo_m"/>
    <n v="1"/>
    <x v="7"/>
    <x v="0"/>
    <x v="438"/>
    <n v="16.75"/>
    <n v="16.75"/>
    <x v="0"/>
    <x v="3"/>
    <s v="Chicken, Red Onions, Red Peppers, Mushrooms, Asiago Cheese, Alfredo Sauce"/>
    <x v="29"/>
  </r>
  <r>
    <n v="1005"/>
    <n v="440"/>
    <n v="7.1428571428571425E-2"/>
    <s v="five_cheese_l"/>
    <n v="1"/>
    <x v="7"/>
    <x v="0"/>
    <x v="438"/>
    <n v="18.5"/>
    <n v="18.5"/>
    <x v="1"/>
    <x v="1"/>
    <s v="Mozzarella Cheese, Provolone Cheese, Smoked Gouda Cheese, Romano Cheese, Blue Cheese, Garlic"/>
    <x v="2"/>
  </r>
  <r>
    <n v="1006"/>
    <n v="440"/>
    <n v="7.1428571428571425E-2"/>
    <s v="four_cheese_l"/>
    <n v="1"/>
    <x v="7"/>
    <x v="0"/>
    <x v="438"/>
    <n v="17.95"/>
    <n v="17.95"/>
    <x v="1"/>
    <x v="1"/>
    <s v="Ricotta Cheese, Gorgonzola Piccante Cheese, Mozzarella Cheese, Parmigiano Reggiano Cheese, Garlic"/>
    <x v="21"/>
  </r>
  <r>
    <n v="1007"/>
    <n v="440"/>
    <n v="7.1428571428571425E-2"/>
    <s v="four_cheese_m"/>
    <n v="1"/>
    <x v="7"/>
    <x v="0"/>
    <x v="438"/>
    <n v="14.75"/>
    <n v="14.75"/>
    <x v="0"/>
    <x v="1"/>
    <s v="Ricotta Cheese, Gorgonzola Piccante Cheese, Mozzarella Cheese, Parmigiano Reggiano Cheese, Garlic"/>
    <x v="21"/>
  </r>
  <r>
    <n v="1008"/>
    <n v="440"/>
    <n v="7.1428571428571425E-2"/>
    <s v="green_garden_l"/>
    <n v="1"/>
    <x v="7"/>
    <x v="0"/>
    <x v="438"/>
    <n v="20.25"/>
    <n v="20.25"/>
    <x v="1"/>
    <x v="1"/>
    <s v="Spinach, Mushrooms, Tomatoes, Green Olives, Feta Cheese"/>
    <x v="10"/>
  </r>
  <r>
    <n v="1009"/>
    <n v="440"/>
    <n v="7.1428571428571425E-2"/>
    <s v="green_garden_m"/>
    <n v="1"/>
    <x v="7"/>
    <x v="0"/>
    <x v="438"/>
    <n v="16"/>
    <n v="16"/>
    <x v="0"/>
    <x v="1"/>
    <s v="Spinach, Mushrooms, Tomatoes, Green Olives, Feta Cheese"/>
    <x v="10"/>
  </r>
  <r>
    <n v="1010"/>
    <n v="440"/>
    <n v="7.1428571428571425E-2"/>
    <s v="hawaiian_l"/>
    <n v="1"/>
    <x v="7"/>
    <x v="0"/>
    <x v="438"/>
    <n v="16.5"/>
    <n v="16.5"/>
    <x v="1"/>
    <x v="0"/>
    <s v="Sliced Ham, Pineapple, Mozzarella Cheese"/>
    <x v="0"/>
  </r>
  <r>
    <n v="1011"/>
    <n v="440"/>
    <n v="7.1428571428571425E-2"/>
    <s v="ital_veggie_l"/>
    <n v="1"/>
    <x v="7"/>
    <x v="0"/>
    <x v="438"/>
    <n v="21"/>
    <n v="21"/>
    <x v="1"/>
    <x v="1"/>
    <s v="Eggplant, Artichokes, Tomatoes, Zucchini, Red Peppers, Garlic, Pesto Sauce"/>
    <x v="24"/>
  </r>
  <r>
    <n v="1012"/>
    <n v="440"/>
    <n v="7.1428571428571425E-2"/>
    <s v="pepperoni_l"/>
    <n v="1"/>
    <x v="7"/>
    <x v="0"/>
    <x v="438"/>
    <n v="15.25"/>
    <n v="15.25"/>
    <x v="1"/>
    <x v="0"/>
    <s v="Mozzarella Cheese, Pepperoni"/>
    <x v="17"/>
  </r>
  <r>
    <n v="1013"/>
    <n v="440"/>
    <n v="7.1428571428571425E-2"/>
    <s v="spicy_ital_l"/>
    <n v="1"/>
    <x v="7"/>
    <x v="0"/>
    <x v="438"/>
    <n v="20.75"/>
    <n v="20.75"/>
    <x v="1"/>
    <x v="2"/>
    <s v="Capocollo, Tomatoes, Goat Cheese, Artichokes, Peperoncini verdi, Garlic"/>
    <x v="12"/>
  </r>
  <r>
    <n v="1014"/>
    <n v="440"/>
    <n v="7.1428571428571425E-2"/>
    <s v="spinach_fet_s"/>
    <n v="1"/>
    <x v="7"/>
    <x v="0"/>
    <x v="438"/>
    <n v="12"/>
    <n v="12"/>
    <x v="2"/>
    <x v="1"/>
    <s v="Spinach, Mushrooms, Red Onions, Feta Cheese, Garlic"/>
    <x v="27"/>
  </r>
  <r>
    <n v="1015"/>
    <n v="440"/>
    <n v="7.1428571428571425E-2"/>
    <s v="thai_ckn_l"/>
    <n v="1"/>
    <x v="7"/>
    <x v="0"/>
    <x v="438"/>
    <n v="20.75"/>
    <n v="20.75"/>
    <x v="1"/>
    <x v="3"/>
    <s v="Chicken, Pineapple, Tomatoes, Red Peppers, Thai Sweet Chilli Sauce"/>
    <x v="5"/>
  </r>
  <r>
    <n v="1016"/>
    <n v="440"/>
    <n v="7.1428571428571425E-2"/>
    <s v="veggie_veg_m"/>
    <n v="1"/>
    <x v="7"/>
    <x v="0"/>
    <x v="438"/>
    <n v="16"/>
    <n v="16"/>
    <x v="0"/>
    <x v="1"/>
    <s v="Mushrooms, Tomatoes, Red Peppers, Green Peppers, Red Onions, Zucchini, Spinach, Garlic"/>
    <x v="14"/>
  </r>
  <r>
    <n v="1017"/>
    <n v="441"/>
    <n v="0.5"/>
    <s v="spicy_ital_l"/>
    <n v="1"/>
    <x v="7"/>
    <x v="0"/>
    <x v="439"/>
    <n v="20.75"/>
    <n v="20.75"/>
    <x v="1"/>
    <x v="2"/>
    <s v="Capocollo, Tomatoes, Goat Cheese, Artichokes, Peperoncini verdi, Garlic"/>
    <x v="12"/>
  </r>
  <r>
    <n v="1018"/>
    <n v="441"/>
    <n v="0.5"/>
    <s v="thai_ckn_l"/>
    <n v="1"/>
    <x v="7"/>
    <x v="0"/>
    <x v="439"/>
    <n v="20.75"/>
    <n v="20.75"/>
    <x v="1"/>
    <x v="3"/>
    <s v="Chicken, Pineapple, Tomatoes, Red Peppers, Thai Sweet Chilli Sauce"/>
    <x v="5"/>
  </r>
  <r>
    <n v="1019"/>
    <n v="442"/>
    <n v="1"/>
    <s v="peppr_salami_l"/>
    <n v="1"/>
    <x v="7"/>
    <x v="0"/>
    <x v="440"/>
    <n v="20.75"/>
    <n v="20.75"/>
    <x v="1"/>
    <x v="2"/>
    <s v="Genoa Salami, Capocollo, Pepperoni, Tomatoes, Asiago Cheese, Garlic"/>
    <x v="26"/>
  </r>
  <r>
    <n v="1020"/>
    <n v="443"/>
    <n v="7.1428571428571425E-2"/>
    <s v="big_meat_s"/>
    <n v="1"/>
    <x v="7"/>
    <x v="0"/>
    <x v="441"/>
    <n v="12"/>
    <n v="12"/>
    <x v="2"/>
    <x v="0"/>
    <s v="Bacon, Pepperoni, Italian Sausage, Chorizo Sausage"/>
    <x v="19"/>
  </r>
  <r>
    <n v="1021"/>
    <n v="443"/>
    <n v="7.1428571428571425E-2"/>
    <s v="cali_ckn_m"/>
    <n v="2"/>
    <x v="7"/>
    <x v="0"/>
    <x v="441"/>
    <n v="16.75"/>
    <n v="33.5"/>
    <x v="0"/>
    <x v="3"/>
    <s v="Chicken, Artichoke, Spinach, Garlic, Jalapeno Peppers, Fontina Cheese, Gouda Cheese"/>
    <x v="16"/>
  </r>
  <r>
    <n v="1022"/>
    <n v="443"/>
    <n v="7.1428571428571425E-2"/>
    <s v="four_cheese_l"/>
    <n v="1"/>
    <x v="7"/>
    <x v="0"/>
    <x v="441"/>
    <n v="17.95"/>
    <n v="17.95"/>
    <x v="1"/>
    <x v="1"/>
    <s v="Ricotta Cheese, Gorgonzola Piccante Cheese, Mozzarella Cheese, Parmigiano Reggiano Cheese, Garlic"/>
    <x v="21"/>
  </r>
  <r>
    <n v="1023"/>
    <n v="443"/>
    <n v="7.1428571428571425E-2"/>
    <s v="ital_cpcllo_m"/>
    <n v="1"/>
    <x v="7"/>
    <x v="0"/>
    <x v="441"/>
    <n v="16"/>
    <n v="16"/>
    <x v="0"/>
    <x v="0"/>
    <s v="Capocollo, Red Peppers, Tomatoes, Goat Cheese, Garlic, Oregano"/>
    <x v="11"/>
  </r>
  <r>
    <n v="1024"/>
    <n v="443"/>
    <n v="7.1428571428571425E-2"/>
    <s v="ital_veggie_m"/>
    <n v="1"/>
    <x v="7"/>
    <x v="0"/>
    <x v="441"/>
    <n v="16.75"/>
    <n v="16.75"/>
    <x v="0"/>
    <x v="1"/>
    <s v="Eggplant, Artichokes, Tomatoes, Zucchini, Red Peppers, Garlic, Pesto Sauce"/>
    <x v="24"/>
  </r>
  <r>
    <n v="1025"/>
    <n v="443"/>
    <n v="7.1428571428571425E-2"/>
    <s v="mexicana_l"/>
    <n v="1"/>
    <x v="7"/>
    <x v="0"/>
    <x v="441"/>
    <n v="20.25"/>
    <n v="20.25"/>
    <x v="1"/>
    <x v="1"/>
    <s v="Tomatoes, Red Peppers, Jalapeno Peppers, Red Onions, Cilantro, Corn, Chipotle Sauce, Garlic"/>
    <x v="4"/>
  </r>
  <r>
    <n v="1026"/>
    <n v="443"/>
    <n v="7.1428571428571425E-2"/>
    <s v="pepperoni_l"/>
    <n v="1"/>
    <x v="7"/>
    <x v="0"/>
    <x v="441"/>
    <n v="15.25"/>
    <n v="15.25"/>
    <x v="1"/>
    <x v="0"/>
    <s v="Mozzarella Cheese, Pepperoni"/>
    <x v="17"/>
  </r>
  <r>
    <n v="1027"/>
    <n v="443"/>
    <n v="7.1428571428571425E-2"/>
    <s v="sicilian_l"/>
    <n v="1"/>
    <x v="7"/>
    <x v="0"/>
    <x v="441"/>
    <n v="20.25"/>
    <n v="20.25"/>
    <x v="1"/>
    <x v="2"/>
    <s v="Coarse Sicilian Salami, Tomatoes, Green Olives, Luganega Sausage, Onions, Garlic"/>
    <x v="28"/>
  </r>
  <r>
    <n v="1028"/>
    <n v="443"/>
    <n v="7.1428571428571425E-2"/>
    <s v="sicilian_m"/>
    <n v="1"/>
    <x v="7"/>
    <x v="0"/>
    <x v="441"/>
    <n v="16.25"/>
    <n v="16.25"/>
    <x v="0"/>
    <x v="2"/>
    <s v="Coarse Sicilian Salami, Tomatoes, Green Olives, Luganega Sausage, Onions, Garlic"/>
    <x v="28"/>
  </r>
  <r>
    <n v="1029"/>
    <n v="443"/>
    <n v="7.1428571428571425E-2"/>
    <s v="southw_ckn_m"/>
    <n v="1"/>
    <x v="7"/>
    <x v="0"/>
    <x v="441"/>
    <n v="16.75"/>
    <n v="16.75"/>
    <x v="0"/>
    <x v="3"/>
    <s v="Chicken, Tomatoes, Red Peppers, Red Onions, Jalapeno Peppers, Corn, Cilantro, Chipotle Sauce"/>
    <x v="15"/>
  </r>
  <r>
    <n v="1030"/>
    <n v="443"/>
    <n v="7.1428571428571425E-2"/>
    <s v="spicy_ital_l"/>
    <n v="1"/>
    <x v="7"/>
    <x v="0"/>
    <x v="441"/>
    <n v="20.75"/>
    <n v="20.75"/>
    <x v="1"/>
    <x v="2"/>
    <s v="Capocollo, Tomatoes, Goat Cheese, Artichokes, Peperoncini verdi, Garlic"/>
    <x v="12"/>
  </r>
  <r>
    <n v="1031"/>
    <n v="443"/>
    <n v="7.1428571428571425E-2"/>
    <s v="spicy_ital_s"/>
    <n v="1"/>
    <x v="7"/>
    <x v="0"/>
    <x v="441"/>
    <n v="12.5"/>
    <n v="12.5"/>
    <x v="2"/>
    <x v="2"/>
    <s v="Capocollo, Tomatoes, Goat Cheese, Artichokes, Peperoncini verdi, Garlic"/>
    <x v="12"/>
  </r>
  <r>
    <n v="1032"/>
    <n v="443"/>
    <n v="7.1428571428571425E-2"/>
    <s v="spinach_supr_m"/>
    <n v="1"/>
    <x v="7"/>
    <x v="0"/>
    <x v="441"/>
    <n v="16.5"/>
    <n v="16.5"/>
    <x v="0"/>
    <x v="2"/>
    <s v="Spinach, Red Onions, Pepperoni, Tomatoes, Artichokes, Kalamata Olives, Garlic, Asiago Cheese"/>
    <x v="9"/>
  </r>
  <r>
    <n v="1033"/>
    <n v="443"/>
    <n v="7.1428571428571425E-2"/>
    <s v="thai_ckn_m"/>
    <n v="1"/>
    <x v="7"/>
    <x v="0"/>
    <x v="441"/>
    <n v="16.75"/>
    <n v="16.75"/>
    <x v="0"/>
    <x v="3"/>
    <s v="Chicken, Pineapple, Tomatoes, Red Peppers, Thai Sweet Chilli Sauce"/>
    <x v="5"/>
  </r>
  <r>
    <n v="1034"/>
    <n v="444"/>
    <n v="1"/>
    <s v="four_cheese_m"/>
    <n v="1"/>
    <x v="7"/>
    <x v="0"/>
    <x v="442"/>
    <n v="14.75"/>
    <n v="14.75"/>
    <x v="0"/>
    <x v="1"/>
    <s v="Ricotta Cheese, Gorgonzola Piccante Cheese, Mozzarella Cheese, Parmigiano Reggiano Cheese, Garlic"/>
    <x v="21"/>
  </r>
  <r>
    <n v="1035"/>
    <n v="445"/>
    <n v="1"/>
    <s v="hawaiian_l"/>
    <n v="1"/>
    <x v="7"/>
    <x v="0"/>
    <x v="443"/>
    <n v="16.5"/>
    <n v="16.5"/>
    <x v="1"/>
    <x v="0"/>
    <s v="Sliced Ham, Pineapple, Mozzarella Cheese"/>
    <x v="0"/>
  </r>
  <r>
    <n v="1036"/>
    <n v="446"/>
    <n v="0.33333333333333331"/>
    <s v="big_meat_s"/>
    <n v="1"/>
    <x v="7"/>
    <x v="0"/>
    <x v="444"/>
    <n v="12"/>
    <n v="12"/>
    <x v="2"/>
    <x v="0"/>
    <s v="Bacon, Pepperoni, Italian Sausage, Chorizo Sausage"/>
    <x v="19"/>
  </r>
  <r>
    <n v="1037"/>
    <n v="446"/>
    <n v="0.33333333333333331"/>
    <s v="ital_veggie_m"/>
    <n v="1"/>
    <x v="7"/>
    <x v="0"/>
    <x v="444"/>
    <n v="16.75"/>
    <n v="16.75"/>
    <x v="0"/>
    <x v="1"/>
    <s v="Eggplant, Artichokes, Tomatoes, Zucchini, Red Peppers, Garlic, Pesto Sauce"/>
    <x v="24"/>
  </r>
  <r>
    <n v="1038"/>
    <n v="446"/>
    <n v="0.33333333333333331"/>
    <s v="sicilian_l"/>
    <n v="1"/>
    <x v="7"/>
    <x v="0"/>
    <x v="444"/>
    <n v="20.25"/>
    <n v="20.25"/>
    <x v="1"/>
    <x v="2"/>
    <s v="Coarse Sicilian Salami, Tomatoes, Green Olives, Luganega Sausage, Onions, Garlic"/>
    <x v="28"/>
  </r>
  <r>
    <n v="1039"/>
    <n v="447"/>
    <n v="1"/>
    <s v="five_cheese_l"/>
    <n v="1"/>
    <x v="7"/>
    <x v="0"/>
    <x v="445"/>
    <n v="18.5"/>
    <n v="18.5"/>
    <x v="1"/>
    <x v="1"/>
    <s v="Mozzarella Cheese, Provolone Cheese, Smoked Gouda Cheese, Romano Cheese, Blue Cheese, Garlic"/>
    <x v="2"/>
  </r>
  <r>
    <n v="1040"/>
    <n v="448"/>
    <n v="0.33333333333333331"/>
    <s v="hawaiian_s"/>
    <n v="1"/>
    <x v="7"/>
    <x v="0"/>
    <x v="446"/>
    <n v="10.5"/>
    <n v="10.5"/>
    <x v="2"/>
    <x v="0"/>
    <s v="Sliced Ham, Pineapple, Mozzarella Cheese"/>
    <x v="0"/>
  </r>
  <r>
    <n v="1041"/>
    <n v="448"/>
    <n v="0.33333333333333331"/>
    <s v="pep_msh_pep_m"/>
    <n v="1"/>
    <x v="7"/>
    <x v="0"/>
    <x v="446"/>
    <n v="14.5"/>
    <n v="14.5"/>
    <x v="0"/>
    <x v="0"/>
    <s v="Pepperoni, Mushrooms, Green Peppers"/>
    <x v="30"/>
  </r>
  <r>
    <n v="1042"/>
    <n v="448"/>
    <n v="0.33333333333333331"/>
    <s v="sicilian_m"/>
    <n v="1"/>
    <x v="7"/>
    <x v="0"/>
    <x v="446"/>
    <n v="16.25"/>
    <n v="16.25"/>
    <x v="0"/>
    <x v="2"/>
    <s v="Coarse Sicilian Salami, Tomatoes, Green Olives, Luganega Sausage, Onions, Garlic"/>
    <x v="28"/>
  </r>
  <r>
    <n v="1043"/>
    <n v="449"/>
    <n v="1"/>
    <s v="thai_ckn_l"/>
    <n v="1"/>
    <x v="7"/>
    <x v="0"/>
    <x v="447"/>
    <n v="20.75"/>
    <n v="20.75"/>
    <x v="1"/>
    <x v="3"/>
    <s v="Chicken, Pineapple, Tomatoes, Red Peppers, Thai Sweet Chilli Sauce"/>
    <x v="5"/>
  </r>
  <r>
    <n v="1044"/>
    <n v="450"/>
    <n v="1"/>
    <s v="big_meat_s"/>
    <n v="1"/>
    <x v="7"/>
    <x v="0"/>
    <x v="448"/>
    <n v="12"/>
    <n v="12"/>
    <x v="2"/>
    <x v="0"/>
    <s v="Bacon, Pepperoni, Italian Sausage, Chorizo Sausage"/>
    <x v="19"/>
  </r>
  <r>
    <n v="1045"/>
    <n v="451"/>
    <n v="0.33333333333333331"/>
    <s v="five_cheese_l"/>
    <n v="1"/>
    <x v="7"/>
    <x v="0"/>
    <x v="449"/>
    <n v="18.5"/>
    <n v="18.5"/>
    <x v="1"/>
    <x v="1"/>
    <s v="Mozzarella Cheese, Provolone Cheese, Smoked Gouda Cheese, Romano Cheese, Blue Cheese, Garlic"/>
    <x v="2"/>
  </r>
  <r>
    <n v="1046"/>
    <n v="451"/>
    <n v="0.33333333333333331"/>
    <s v="ital_cpcllo_m"/>
    <n v="1"/>
    <x v="7"/>
    <x v="0"/>
    <x v="449"/>
    <n v="16"/>
    <n v="16"/>
    <x v="0"/>
    <x v="0"/>
    <s v="Capocollo, Red Peppers, Tomatoes, Goat Cheese, Garlic, Oregano"/>
    <x v="11"/>
  </r>
  <r>
    <n v="1047"/>
    <n v="451"/>
    <n v="0.33333333333333331"/>
    <s v="southw_ckn_l"/>
    <n v="1"/>
    <x v="7"/>
    <x v="0"/>
    <x v="449"/>
    <n v="20.75"/>
    <n v="20.75"/>
    <x v="1"/>
    <x v="3"/>
    <s v="Chicken, Tomatoes, Red Peppers, Red Onions, Jalapeno Peppers, Corn, Cilantro, Chipotle Sauce"/>
    <x v="15"/>
  </r>
  <r>
    <n v="1048"/>
    <n v="452"/>
    <n v="0.33333333333333331"/>
    <s v="bbq_ckn_m"/>
    <n v="1"/>
    <x v="7"/>
    <x v="0"/>
    <x v="450"/>
    <n v="16.75"/>
    <n v="16.75"/>
    <x v="0"/>
    <x v="3"/>
    <s v="Barbecued Chicken, Red Peppers, Green Peppers, Tomatoes, Red Onions, Barbecue Sauce"/>
    <x v="7"/>
  </r>
  <r>
    <n v="1049"/>
    <n v="452"/>
    <n v="0.33333333333333331"/>
    <s v="big_meat_s"/>
    <n v="1"/>
    <x v="7"/>
    <x v="0"/>
    <x v="450"/>
    <n v="12"/>
    <n v="12"/>
    <x v="2"/>
    <x v="0"/>
    <s v="Bacon, Pepperoni, Italian Sausage, Chorizo Sausage"/>
    <x v="19"/>
  </r>
  <r>
    <n v="1050"/>
    <n v="452"/>
    <n v="0.33333333333333331"/>
    <s v="sicilian_m"/>
    <n v="1"/>
    <x v="7"/>
    <x v="0"/>
    <x v="450"/>
    <n v="16.25"/>
    <n v="16.25"/>
    <x v="0"/>
    <x v="2"/>
    <s v="Coarse Sicilian Salami, Tomatoes, Green Olives, Luganega Sausage, Onions, Garlic"/>
    <x v="28"/>
  </r>
  <r>
    <n v="1051"/>
    <n v="453"/>
    <n v="0.25"/>
    <s v="cali_ckn_s"/>
    <n v="1"/>
    <x v="7"/>
    <x v="0"/>
    <x v="451"/>
    <n v="12.75"/>
    <n v="12.75"/>
    <x v="2"/>
    <x v="3"/>
    <s v="Chicken, Artichoke, Spinach, Garlic, Jalapeno Peppers, Fontina Cheese, Gouda Cheese"/>
    <x v="16"/>
  </r>
  <r>
    <n v="1052"/>
    <n v="453"/>
    <n v="0.25"/>
    <s v="four_cheese_l"/>
    <n v="1"/>
    <x v="7"/>
    <x v="0"/>
    <x v="451"/>
    <n v="17.95"/>
    <n v="17.95"/>
    <x v="1"/>
    <x v="1"/>
    <s v="Ricotta Cheese, Gorgonzola Piccante Cheese, Mozzarella Cheese, Parmigiano Reggiano Cheese, Garlic"/>
    <x v="21"/>
  </r>
  <r>
    <n v="1053"/>
    <n v="453"/>
    <n v="0.25"/>
    <s v="sicilian_m"/>
    <n v="1"/>
    <x v="7"/>
    <x v="0"/>
    <x v="451"/>
    <n v="16.25"/>
    <n v="16.25"/>
    <x v="0"/>
    <x v="2"/>
    <s v="Coarse Sicilian Salami, Tomatoes, Green Olives, Luganega Sausage, Onions, Garlic"/>
    <x v="28"/>
  </r>
  <r>
    <n v="1054"/>
    <n v="453"/>
    <n v="0.25"/>
    <s v="thai_ckn_l"/>
    <n v="1"/>
    <x v="7"/>
    <x v="0"/>
    <x v="451"/>
    <n v="20.75"/>
    <n v="20.75"/>
    <x v="1"/>
    <x v="3"/>
    <s v="Chicken, Pineapple, Tomatoes, Red Peppers, Thai Sweet Chilli Sauce"/>
    <x v="5"/>
  </r>
  <r>
    <n v="1055"/>
    <n v="454"/>
    <n v="1"/>
    <s v="spicy_ital_m"/>
    <n v="1"/>
    <x v="7"/>
    <x v="0"/>
    <x v="452"/>
    <n v="16.5"/>
    <n v="16.5"/>
    <x v="0"/>
    <x v="2"/>
    <s v="Capocollo, Tomatoes, Goat Cheese, Artichokes, Peperoncini verdi, Garlic"/>
    <x v="12"/>
  </r>
  <r>
    <n v="1056"/>
    <n v="455"/>
    <n v="1"/>
    <s v="ital_supr_l"/>
    <n v="1"/>
    <x v="7"/>
    <x v="0"/>
    <x v="453"/>
    <n v="20.75"/>
    <n v="20.75"/>
    <x v="1"/>
    <x v="2"/>
    <s v="Calabrese Salami, Capocollo, Tomatoes, Red Onions, Green Olives, Garlic"/>
    <x v="3"/>
  </r>
  <r>
    <n v="1057"/>
    <n v="456"/>
    <n v="1"/>
    <s v="spinach_fet_l"/>
    <n v="1"/>
    <x v="7"/>
    <x v="0"/>
    <x v="454"/>
    <n v="20.25"/>
    <n v="20.25"/>
    <x v="1"/>
    <x v="1"/>
    <s v="Spinach, Mushrooms, Red Onions, Feta Cheese, Garlic"/>
    <x v="27"/>
  </r>
  <r>
    <n v="1058"/>
    <n v="457"/>
    <n v="0.33333333333333331"/>
    <s v="cali_ckn_l"/>
    <n v="1"/>
    <x v="7"/>
    <x v="0"/>
    <x v="455"/>
    <n v="20.75"/>
    <n v="20.75"/>
    <x v="1"/>
    <x v="3"/>
    <s v="Chicken, Artichoke, Spinach, Garlic, Jalapeno Peppers, Fontina Cheese, Gouda Cheese"/>
    <x v="16"/>
  </r>
  <r>
    <n v="1059"/>
    <n v="457"/>
    <n v="0.33333333333333331"/>
    <s v="ckn_alfredo_m"/>
    <n v="1"/>
    <x v="7"/>
    <x v="0"/>
    <x v="455"/>
    <n v="16.75"/>
    <n v="16.75"/>
    <x v="0"/>
    <x v="3"/>
    <s v="Chicken, Red Onions, Red Peppers, Mushrooms, Asiago Cheese, Alfredo Sauce"/>
    <x v="29"/>
  </r>
  <r>
    <n v="1060"/>
    <n v="457"/>
    <n v="0.33333333333333331"/>
    <s v="classic_dlx_m"/>
    <n v="1"/>
    <x v="7"/>
    <x v="0"/>
    <x v="455"/>
    <n v="16"/>
    <n v="16"/>
    <x v="0"/>
    <x v="0"/>
    <s v="Pepperoni, Mushrooms, Red Onions, Red Peppers, Bacon"/>
    <x v="1"/>
  </r>
  <r>
    <n v="1061"/>
    <n v="458"/>
    <n v="0.33333333333333331"/>
    <s v="prsc_argla_m"/>
    <n v="1"/>
    <x v="7"/>
    <x v="0"/>
    <x v="456"/>
    <n v="16.5"/>
    <n v="16.5"/>
    <x v="0"/>
    <x v="2"/>
    <s v="Prosciutto di San Daniele, Arugula, Mozzarella Cheese"/>
    <x v="6"/>
  </r>
  <r>
    <n v="1062"/>
    <n v="458"/>
    <n v="0.33333333333333331"/>
    <s v="spinach_supr_m"/>
    <n v="1"/>
    <x v="7"/>
    <x v="0"/>
    <x v="456"/>
    <n v="16.5"/>
    <n v="16.5"/>
    <x v="0"/>
    <x v="2"/>
    <s v="Spinach, Red Onions, Pepperoni, Tomatoes, Artichokes, Kalamata Olives, Garlic, Asiago Cheese"/>
    <x v="9"/>
  </r>
  <r>
    <n v="1063"/>
    <n v="458"/>
    <n v="0.33333333333333331"/>
    <s v="the_greek_s"/>
    <n v="1"/>
    <x v="7"/>
    <x v="0"/>
    <x v="456"/>
    <n v="12"/>
    <n v="12"/>
    <x v="2"/>
    <x v="0"/>
    <s v="Kalamata Olives, Feta Cheese, Tomatoes, Garlic, Beef Chuck Roast, Red Onions"/>
    <x v="8"/>
  </r>
  <r>
    <n v="1064"/>
    <n v="459"/>
    <n v="1"/>
    <s v="spicy_ital_l"/>
    <n v="1"/>
    <x v="7"/>
    <x v="0"/>
    <x v="457"/>
    <n v="20.75"/>
    <n v="20.75"/>
    <x v="1"/>
    <x v="2"/>
    <s v="Capocollo, Tomatoes, Goat Cheese, Artichokes, Peperoncini verdi, Garlic"/>
    <x v="12"/>
  </r>
  <r>
    <n v="1065"/>
    <n v="460"/>
    <n v="0.5"/>
    <s v="green_garden_s"/>
    <n v="1"/>
    <x v="7"/>
    <x v="0"/>
    <x v="458"/>
    <n v="12"/>
    <n v="12"/>
    <x v="2"/>
    <x v="1"/>
    <s v="Spinach, Mushrooms, Tomatoes, Green Olives, Feta Cheese"/>
    <x v="10"/>
  </r>
  <r>
    <n v="1066"/>
    <n v="460"/>
    <n v="0.5"/>
    <s v="ital_supr_m"/>
    <n v="1"/>
    <x v="7"/>
    <x v="0"/>
    <x v="458"/>
    <n v="16.5"/>
    <n v="16.5"/>
    <x v="0"/>
    <x v="2"/>
    <s v="Calabrese Salami, Capocollo, Tomatoes, Red Onions, Green Olives, Garlic"/>
    <x v="3"/>
  </r>
  <r>
    <n v="1067"/>
    <n v="461"/>
    <n v="0.5"/>
    <s v="cali_ckn_m"/>
    <n v="1"/>
    <x v="7"/>
    <x v="0"/>
    <x v="459"/>
    <n v="16.75"/>
    <n v="16.75"/>
    <x v="0"/>
    <x v="3"/>
    <s v="Chicken, Artichoke, Spinach, Garlic, Jalapeno Peppers, Fontina Cheese, Gouda Cheese"/>
    <x v="16"/>
  </r>
  <r>
    <n v="1068"/>
    <n v="461"/>
    <n v="0.5"/>
    <s v="hawaiian_s"/>
    <n v="1"/>
    <x v="7"/>
    <x v="0"/>
    <x v="459"/>
    <n v="10.5"/>
    <n v="10.5"/>
    <x v="2"/>
    <x v="0"/>
    <s v="Sliced Ham, Pineapple, Mozzarella Cheese"/>
    <x v="0"/>
  </r>
  <r>
    <n v="1069"/>
    <n v="462"/>
    <n v="1"/>
    <s v="spinach_fet_s"/>
    <n v="1"/>
    <x v="7"/>
    <x v="0"/>
    <x v="460"/>
    <n v="12"/>
    <n v="12"/>
    <x v="2"/>
    <x v="1"/>
    <s v="Spinach, Mushrooms, Red Onions, Feta Cheese, Garlic"/>
    <x v="27"/>
  </r>
  <r>
    <n v="1070"/>
    <n v="463"/>
    <n v="0.5"/>
    <s v="bbq_ckn_l"/>
    <n v="1"/>
    <x v="7"/>
    <x v="0"/>
    <x v="461"/>
    <n v="20.75"/>
    <n v="20.75"/>
    <x v="1"/>
    <x v="3"/>
    <s v="Barbecued Chicken, Red Peppers, Green Peppers, Tomatoes, Red Onions, Barbecue Sauce"/>
    <x v="7"/>
  </r>
  <r>
    <n v="1071"/>
    <n v="463"/>
    <n v="0.5"/>
    <s v="prsc_argla_m"/>
    <n v="1"/>
    <x v="7"/>
    <x v="0"/>
    <x v="461"/>
    <n v="16.5"/>
    <n v="16.5"/>
    <x v="0"/>
    <x v="2"/>
    <s v="Prosciutto di San Daniele, Arugula, Mozzarella Cheese"/>
    <x v="6"/>
  </r>
  <r>
    <n v="1072"/>
    <n v="464"/>
    <n v="0.5"/>
    <s v="bbq_ckn_l"/>
    <n v="1"/>
    <x v="7"/>
    <x v="0"/>
    <x v="462"/>
    <n v="20.75"/>
    <n v="20.75"/>
    <x v="1"/>
    <x v="3"/>
    <s v="Barbecued Chicken, Red Peppers, Green Peppers, Tomatoes, Red Onions, Barbecue Sauce"/>
    <x v="7"/>
  </r>
  <r>
    <n v="1073"/>
    <n v="464"/>
    <n v="0.5"/>
    <s v="calabrese_m"/>
    <n v="1"/>
    <x v="7"/>
    <x v="0"/>
    <x v="462"/>
    <n v="16.25"/>
    <n v="16.25"/>
    <x v="0"/>
    <x v="2"/>
    <s v="?duja Salami, Pancetta, Tomatoes, Red Onions, Friggitello Peppers, Garlic"/>
    <x v="23"/>
  </r>
  <r>
    <n v="1074"/>
    <n v="465"/>
    <n v="1"/>
    <s v="napolitana_s"/>
    <n v="1"/>
    <x v="7"/>
    <x v="0"/>
    <x v="463"/>
    <n v="12"/>
    <n v="12"/>
    <x v="2"/>
    <x v="0"/>
    <s v="Tomatoes, Anchovies, Green Olives, Red Onions, Garlic"/>
    <x v="22"/>
  </r>
  <r>
    <n v="1075"/>
    <n v="466"/>
    <n v="0.5"/>
    <s v="spinach_fet_l"/>
    <n v="1"/>
    <x v="7"/>
    <x v="0"/>
    <x v="464"/>
    <n v="20.25"/>
    <n v="20.25"/>
    <x v="1"/>
    <x v="1"/>
    <s v="Spinach, Mushrooms, Red Onions, Feta Cheese, Garlic"/>
    <x v="27"/>
  </r>
  <r>
    <n v="1076"/>
    <n v="466"/>
    <n v="0.5"/>
    <s v="the_greek_xl"/>
    <n v="1"/>
    <x v="7"/>
    <x v="0"/>
    <x v="464"/>
    <n v="25.5"/>
    <n v="25.5"/>
    <x v="3"/>
    <x v="0"/>
    <s v="Kalamata Olives, Feta Cheese, Tomatoes, Garlic, Beef Chuck Roast, Red Onions"/>
    <x v="8"/>
  </r>
  <r>
    <n v="1077"/>
    <n v="467"/>
    <n v="1"/>
    <s v="prsc_argla_s"/>
    <n v="1"/>
    <x v="7"/>
    <x v="0"/>
    <x v="465"/>
    <n v="12.5"/>
    <n v="12.5"/>
    <x v="2"/>
    <x v="2"/>
    <s v="Prosciutto di San Daniele, Arugula, Mozzarella Cheese"/>
    <x v="6"/>
  </r>
  <r>
    <n v="1078"/>
    <n v="468"/>
    <n v="0.5"/>
    <s v="four_cheese_l"/>
    <n v="1"/>
    <x v="7"/>
    <x v="0"/>
    <x v="466"/>
    <n v="17.95"/>
    <n v="17.95"/>
    <x v="1"/>
    <x v="1"/>
    <s v="Ricotta Cheese, Gorgonzola Piccante Cheese, Mozzarella Cheese, Parmigiano Reggiano Cheese, Garlic"/>
    <x v="21"/>
  </r>
  <r>
    <n v="1079"/>
    <n v="468"/>
    <n v="0.5"/>
    <s v="pepperoni_l"/>
    <n v="1"/>
    <x v="7"/>
    <x v="0"/>
    <x v="466"/>
    <n v="15.25"/>
    <n v="15.25"/>
    <x v="1"/>
    <x v="0"/>
    <s v="Mozzarella Cheese, Pepperoni"/>
    <x v="17"/>
  </r>
  <r>
    <n v="1080"/>
    <n v="469"/>
    <n v="0.5"/>
    <s v="bbq_ckn_m"/>
    <n v="1"/>
    <x v="7"/>
    <x v="0"/>
    <x v="467"/>
    <n v="16.75"/>
    <n v="16.75"/>
    <x v="0"/>
    <x v="3"/>
    <s v="Barbecued Chicken, Red Peppers, Green Peppers, Tomatoes, Red Onions, Barbecue Sauce"/>
    <x v="7"/>
  </r>
  <r>
    <n v="1081"/>
    <n v="469"/>
    <n v="0.5"/>
    <s v="sicilian_s"/>
    <n v="1"/>
    <x v="7"/>
    <x v="0"/>
    <x v="467"/>
    <n v="12.25"/>
    <n v="12.25"/>
    <x v="2"/>
    <x v="2"/>
    <s v="Coarse Sicilian Salami, Tomatoes, Green Olives, Luganega Sausage, Onions, Garlic"/>
    <x v="28"/>
  </r>
  <r>
    <n v="1082"/>
    <n v="470"/>
    <n v="1"/>
    <s v="veggie_veg_s"/>
    <n v="1"/>
    <x v="7"/>
    <x v="0"/>
    <x v="468"/>
    <n v="12"/>
    <n v="12"/>
    <x v="2"/>
    <x v="1"/>
    <s v="Mushrooms, Tomatoes, Red Peppers, Green Peppers, Red Onions, Zucchini, Spinach, Garlic"/>
    <x v="14"/>
  </r>
  <r>
    <n v="1083"/>
    <n v="471"/>
    <n v="1"/>
    <s v="ital_veggie_s"/>
    <n v="1"/>
    <x v="7"/>
    <x v="0"/>
    <x v="469"/>
    <n v="12.75"/>
    <n v="12.75"/>
    <x v="2"/>
    <x v="1"/>
    <s v="Eggplant, Artichokes, Tomatoes, Zucchini, Red Peppers, Garlic, Pesto Sauce"/>
    <x v="24"/>
  </r>
  <r>
    <n v="1084"/>
    <n v="472"/>
    <n v="0.5"/>
    <s v="ital_veggie_l"/>
    <n v="1"/>
    <x v="7"/>
    <x v="0"/>
    <x v="470"/>
    <n v="21"/>
    <n v="21"/>
    <x v="1"/>
    <x v="1"/>
    <s v="Eggplant, Artichokes, Tomatoes, Zucchini, Red Peppers, Garlic, Pesto Sauce"/>
    <x v="24"/>
  </r>
  <r>
    <n v="1085"/>
    <n v="472"/>
    <n v="0.5"/>
    <s v="ital_veggie_m"/>
    <n v="1"/>
    <x v="7"/>
    <x v="0"/>
    <x v="470"/>
    <n v="16.75"/>
    <n v="16.75"/>
    <x v="0"/>
    <x v="1"/>
    <s v="Eggplant, Artichokes, Tomatoes, Zucchini, Red Peppers, Garlic, Pesto Sauce"/>
    <x v="24"/>
  </r>
  <r>
    <n v="1086"/>
    <n v="473"/>
    <n v="0.33333333333333331"/>
    <s v="hawaiian_l"/>
    <n v="1"/>
    <x v="7"/>
    <x v="0"/>
    <x v="471"/>
    <n v="16.5"/>
    <n v="16.5"/>
    <x v="1"/>
    <x v="0"/>
    <s v="Sliced Ham, Pineapple, Mozzarella Cheese"/>
    <x v="0"/>
  </r>
  <r>
    <n v="1087"/>
    <n v="473"/>
    <n v="0.33333333333333331"/>
    <s v="prsc_argla_m"/>
    <n v="1"/>
    <x v="7"/>
    <x v="0"/>
    <x v="471"/>
    <n v="16.5"/>
    <n v="16.5"/>
    <x v="0"/>
    <x v="2"/>
    <s v="Prosciutto di San Daniele, Arugula, Mozzarella Cheese"/>
    <x v="6"/>
  </r>
  <r>
    <n v="1088"/>
    <n v="473"/>
    <n v="0.33333333333333331"/>
    <s v="southw_ckn_m"/>
    <n v="1"/>
    <x v="7"/>
    <x v="0"/>
    <x v="471"/>
    <n v="16.75"/>
    <n v="16.75"/>
    <x v="0"/>
    <x v="3"/>
    <s v="Chicken, Tomatoes, Red Peppers, Red Onions, Jalapeno Peppers, Corn, Cilantro, Chipotle Sauce"/>
    <x v="15"/>
  </r>
  <r>
    <n v="1089"/>
    <n v="474"/>
    <n v="0.5"/>
    <s v="green_garden_s"/>
    <n v="1"/>
    <x v="7"/>
    <x v="0"/>
    <x v="472"/>
    <n v="12"/>
    <n v="12"/>
    <x v="2"/>
    <x v="1"/>
    <s v="Spinach, Mushrooms, Tomatoes, Green Olives, Feta Cheese"/>
    <x v="10"/>
  </r>
  <r>
    <n v="1090"/>
    <n v="474"/>
    <n v="0.5"/>
    <s v="pepperoni_s"/>
    <n v="1"/>
    <x v="7"/>
    <x v="0"/>
    <x v="472"/>
    <n v="9.75"/>
    <n v="9.75"/>
    <x v="2"/>
    <x v="0"/>
    <s v="Mozzarella Cheese, Pepperoni"/>
    <x v="17"/>
  </r>
  <r>
    <n v="1091"/>
    <n v="475"/>
    <n v="0.5"/>
    <s v="big_meat_s"/>
    <n v="1"/>
    <x v="7"/>
    <x v="0"/>
    <x v="473"/>
    <n v="12"/>
    <n v="12"/>
    <x v="2"/>
    <x v="0"/>
    <s v="Bacon, Pepperoni, Italian Sausage, Chorizo Sausage"/>
    <x v="19"/>
  </r>
  <r>
    <n v="1092"/>
    <n v="475"/>
    <n v="0.5"/>
    <s v="thai_ckn_l"/>
    <n v="1"/>
    <x v="7"/>
    <x v="0"/>
    <x v="473"/>
    <n v="20.75"/>
    <n v="20.75"/>
    <x v="1"/>
    <x v="3"/>
    <s v="Chicken, Pineapple, Tomatoes, Red Peppers, Thai Sweet Chilli Sauce"/>
    <x v="5"/>
  </r>
  <r>
    <n v="1093"/>
    <n v="476"/>
    <n v="0.33333333333333331"/>
    <s v="pepperoni_m"/>
    <n v="1"/>
    <x v="7"/>
    <x v="0"/>
    <x v="474"/>
    <n v="12.5"/>
    <n v="12.5"/>
    <x v="0"/>
    <x v="0"/>
    <s v="Mozzarella Cheese, Pepperoni"/>
    <x v="17"/>
  </r>
  <r>
    <n v="1094"/>
    <n v="476"/>
    <n v="0.33333333333333331"/>
    <s v="prsc_argla_l"/>
    <n v="1"/>
    <x v="7"/>
    <x v="0"/>
    <x v="474"/>
    <n v="20.75"/>
    <n v="20.75"/>
    <x v="1"/>
    <x v="2"/>
    <s v="Prosciutto di San Daniele, Arugula, Mozzarella Cheese"/>
    <x v="6"/>
  </r>
  <r>
    <n v="1095"/>
    <n v="476"/>
    <n v="0.33333333333333331"/>
    <s v="veggie_veg_m"/>
    <n v="1"/>
    <x v="7"/>
    <x v="0"/>
    <x v="474"/>
    <n v="16"/>
    <n v="16"/>
    <x v="0"/>
    <x v="1"/>
    <s v="Mushrooms, Tomatoes, Red Peppers, Green Peppers, Red Onions, Zucchini, Spinach, Garlic"/>
    <x v="14"/>
  </r>
  <r>
    <n v="1096"/>
    <n v="477"/>
    <n v="0.5"/>
    <s v="green_garden_m"/>
    <n v="1"/>
    <x v="7"/>
    <x v="0"/>
    <x v="475"/>
    <n v="16"/>
    <n v="16"/>
    <x v="0"/>
    <x v="1"/>
    <s v="Spinach, Mushrooms, Tomatoes, Green Olives, Feta Cheese"/>
    <x v="10"/>
  </r>
  <r>
    <n v="1097"/>
    <n v="477"/>
    <n v="0.5"/>
    <s v="mexicana_m"/>
    <n v="1"/>
    <x v="7"/>
    <x v="0"/>
    <x v="475"/>
    <n v="16"/>
    <n v="16"/>
    <x v="0"/>
    <x v="1"/>
    <s v="Tomatoes, Red Peppers, Jalapeno Peppers, Red Onions, Cilantro, Corn, Chipotle Sauce, Garlic"/>
    <x v="4"/>
  </r>
  <r>
    <n v="1098"/>
    <n v="478"/>
    <n v="0.5"/>
    <s v="calabrese_m"/>
    <n v="1"/>
    <x v="7"/>
    <x v="0"/>
    <x v="476"/>
    <n v="16.25"/>
    <n v="16.25"/>
    <x v="0"/>
    <x v="2"/>
    <s v="?duja Salami, Pancetta, Tomatoes, Red Onions, Friggitello Peppers, Garlic"/>
    <x v="23"/>
  </r>
  <r>
    <n v="1099"/>
    <n v="478"/>
    <n v="0.5"/>
    <s v="ckn_alfredo_m"/>
    <n v="1"/>
    <x v="7"/>
    <x v="0"/>
    <x v="476"/>
    <n v="16.75"/>
    <n v="16.75"/>
    <x v="0"/>
    <x v="3"/>
    <s v="Chicken, Red Onions, Red Peppers, Mushrooms, Asiago Cheese, Alfredo Sauce"/>
    <x v="29"/>
  </r>
  <r>
    <n v="1100"/>
    <n v="479"/>
    <n v="0.5"/>
    <s v="five_cheese_l"/>
    <n v="1"/>
    <x v="7"/>
    <x v="0"/>
    <x v="477"/>
    <n v="18.5"/>
    <n v="18.5"/>
    <x v="1"/>
    <x v="1"/>
    <s v="Mozzarella Cheese, Provolone Cheese, Smoked Gouda Cheese, Romano Cheese, Blue Cheese, Garlic"/>
    <x v="2"/>
  </r>
  <r>
    <n v="1101"/>
    <n v="479"/>
    <n v="0.5"/>
    <s v="ital_cpcllo_l"/>
    <n v="2"/>
    <x v="7"/>
    <x v="0"/>
    <x v="477"/>
    <n v="20.5"/>
    <n v="41"/>
    <x v="1"/>
    <x v="0"/>
    <s v="Capocollo, Red Peppers, Tomatoes, Goat Cheese, Garlic, Oregano"/>
    <x v="11"/>
  </r>
  <r>
    <n v="1102"/>
    <n v="480"/>
    <n v="1"/>
    <s v="pepperoni_m"/>
    <n v="1"/>
    <x v="7"/>
    <x v="0"/>
    <x v="478"/>
    <n v="12.5"/>
    <n v="12.5"/>
    <x v="0"/>
    <x v="0"/>
    <s v="Mozzarella Cheese, Pepperoni"/>
    <x v="17"/>
  </r>
  <r>
    <n v="1103"/>
    <n v="481"/>
    <n v="0.5"/>
    <s v="pepperoni_s"/>
    <n v="1"/>
    <x v="7"/>
    <x v="0"/>
    <x v="479"/>
    <n v="9.75"/>
    <n v="9.75"/>
    <x v="2"/>
    <x v="0"/>
    <s v="Mozzarella Cheese, Pepperoni"/>
    <x v="17"/>
  </r>
  <r>
    <n v="1104"/>
    <n v="481"/>
    <n v="0.5"/>
    <s v="spinach_fet_s"/>
    <n v="1"/>
    <x v="7"/>
    <x v="0"/>
    <x v="479"/>
    <n v="12"/>
    <n v="12"/>
    <x v="2"/>
    <x v="1"/>
    <s v="Spinach, Mushrooms, Red Onions, Feta Cheese, Garlic"/>
    <x v="27"/>
  </r>
  <r>
    <n v="1105"/>
    <n v="482"/>
    <n v="0.33333333333333331"/>
    <s v="green_garden_l"/>
    <n v="1"/>
    <x v="7"/>
    <x v="0"/>
    <x v="480"/>
    <n v="20.25"/>
    <n v="20.25"/>
    <x v="1"/>
    <x v="1"/>
    <s v="Spinach, Mushrooms, Tomatoes, Green Olives, Feta Cheese"/>
    <x v="10"/>
  </r>
  <r>
    <n v="1106"/>
    <n v="482"/>
    <n v="0.33333333333333331"/>
    <s v="ital_supr_m"/>
    <n v="1"/>
    <x v="7"/>
    <x v="0"/>
    <x v="480"/>
    <n v="16.5"/>
    <n v="16.5"/>
    <x v="0"/>
    <x v="2"/>
    <s v="Calabrese Salami, Capocollo, Tomatoes, Red Onions, Green Olives, Garlic"/>
    <x v="3"/>
  </r>
  <r>
    <n v="1107"/>
    <n v="482"/>
    <n v="0.33333333333333331"/>
    <s v="spicy_ital_s"/>
    <n v="1"/>
    <x v="7"/>
    <x v="0"/>
    <x v="480"/>
    <n v="12.5"/>
    <n v="12.5"/>
    <x v="2"/>
    <x v="2"/>
    <s v="Capocollo, Tomatoes, Goat Cheese, Artichokes, Peperoncini verdi, Garlic"/>
    <x v="12"/>
  </r>
  <r>
    <n v="1108"/>
    <n v="483"/>
    <n v="0.25"/>
    <s v="bbq_ckn_l"/>
    <n v="1"/>
    <x v="7"/>
    <x v="0"/>
    <x v="481"/>
    <n v="20.75"/>
    <n v="20.75"/>
    <x v="1"/>
    <x v="3"/>
    <s v="Barbecued Chicken, Red Peppers, Green Peppers, Tomatoes, Red Onions, Barbecue Sauce"/>
    <x v="7"/>
  </r>
  <r>
    <n v="1109"/>
    <n v="483"/>
    <n v="0.25"/>
    <s v="napolitana_s"/>
    <n v="1"/>
    <x v="7"/>
    <x v="0"/>
    <x v="481"/>
    <n v="12"/>
    <n v="12"/>
    <x v="2"/>
    <x v="0"/>
    <s v="Tomatoes, Anchovies, Green Olives, Red Onions, Garlic"/>
    <x v="22"/>
  </r>
  <r>
    <n v="1110"/>
    <n v="483"/>
    <n v="0.25"/>
    <s v="pep_msh_pep_s"/>
    <n v="1"/>
    <x v="7"/>
    <x v="0"/>
    <x v="481"/>
    <n v="11"/>
    <n v="11"/>
    <x v="2"/>
    <x v="0"/>
    <s v="Pepperoni, Mushrooms, Green Peppers"/>
    <x v="30"/>
  </r>
  <r>
    <n v="1111"/>
    <n v="483"/>
    <n v="0.25"/>
    <s v="spicy_ital_m"/>
    <n v="1"/>
    <x v="7"/>
    <x v="0"/>
    <x v="481"/>
    <n v="16.5"/>
    <n v="16.5"/>
    <x v="0"/>
    <x v="2"/>
    <s v="Capocollo, Tomatoes, Goat Cheese, Artichokes, Peperoncini verdi, Garlic"/>
    <x v="12"/>
  </r>
  <r>
    <n v="1112"/>
    <n v="484"/>
    <n v="0.5"/>
    <s v="four_cheese_l"/>
    <n v="1"/>
    <x v="7"/>
    <x v="0"/>
    <x v="482"/>
    <n v="17.95"/>
    <n v="17.95"/>
    <x v="1"/>
    <x v="1"/>
    <s v="Ricotta Cheese, Gorgonzola Piccante Cheese, Mozzarella Cheese, Parmigiano Reggiano Cheese, Garlic"/>
    <x v="21"/>
  </r>
  <r>
    <n v="1113"/>
    <n v="484"/>
    <n v="0.5"/>
    <s v="mexicana_l"/>
    <n v="1"/>
    <x v="7"/>
    <x v="0"/>
    <x v="482"/>
    <n v="20.25"/>
    <n v="20.25"/>
    <x v="1"/>
    <x v="1"/>
    <s v="Tomatoes, Red Peppers, Jalapeno Peppers, Red Onions, Cilantro, Corn, Chipotle Sauce, Garlic"/>
    <x v="4"/>
  </r>
  <r>
    <n v="1114"/>
    <n v="485"/>
    <n v="1"/>
    <s v="cali_ckn_m"/>
    <n v="1"/>
    <x v="7"/>
    <x v="0"/>
    <x v="483"/>
    <n v="16.75"/>
    <n v="16.75"/>
    <x v="0"/>
    <x v="3"/>
    <s v="Chicken, Artichoke, Spinach, Garlic, Jalapeno Peppers, Fontina Cheese, Gouda Cheese"/>
    <x v="16"/>
  </r>
  <r>
    <n v="1115"/>
    <n v="486"/>
    <n v="1"/>
    <s v="spinach_supr_s"/>
    <n v="1"/>
    <x v="7"/>
    <x v="0"/>
    <x v="484"/>
    <n v="12.5"/>
    <n v="12.5"/>
    <x v="2"/>
    <x v="2"/>
    <s v="Spinach, Red Onions, Pepperoni, Tomatoes, Artichokes, Kalamata Olives, Garlic, Asiago Cheese"/>
    <x v="9"/>
  </r>
  <r>
    <n v="1116"/>
    <n v="487"/>
    <n v="0.33333333333333331"/>
    <s v="hawaiian_s"/>
    <n v="1"/>
    <x v="7"/>
    <x v="0"/>
    <x v="485"/>
    <n v="10.5"/>
    <n v="10.5"/>
    <x v="2"/>
    <x v="0"/>
    <s v="Sliced Ham, Pineapple, Mozzarella Cheese"/>
    <x v="0"/>
  </r>
  <r>
    <n v="1117"/>
    <n v="487"/>
    <n v="0.33333333333333331"/>
    <s v="sicilian_l"/>
    <n v="1"/>
    <x v="7"/>
    <x v="0"/>
    <x v="485"/>
    <n v="20.25"/>
    <n v="20.25"/>
    <x v="1"/>
    <x v="2"/>
    <s v="Coarse Sicilian Salami, Tomatoes, Green Olives, Luganega Sausage, Onions, Garlic"/>
    <x v="28"/>
  </r>
  <r>
    <n v="1118"/>
    <n v="487"/>
    <n v="0.33333333333333331"/>
    <s v="spinach_fet_l"/>
    <n v="1"/>
    <x v="7"/>
    <x v="0"/>
    <x v="485"/>
    <n v="20.25"/>
    <n v="20.25"/>
    <x v="1"/>
    <x v="1"/>
    <s v="Spinach, Mushrooms, Red Onions, Feta Cheese, Garlic"/>
    <x v="27"/>
  </r>
  <r>
    <n v="1119"/>
    <n v="488"/>
    <n v="1"/>
    <s v="veggie_veg_m"/>
    <n v="1"/>
    <x v="7"/>
    <x v="0"/>
    <x v="486"/>
    <n v="16"/>
    <n v="16"/>
    <x v="0"/>
    <x v="1"/>
    <s v="Mushrooms, Tomatoes, Red Peppers, Green Peppers, Red Onions, Zucchini, Spinach, Garlic"/>
    <x v="14"/>
  </r>
  <r>
    <n v="1120"/>
    <n v="489"/>
    <n v="1"/>
    <s v="peppr_salami_l"/>
    <n v="1"/>
    <x v="7"/>
    <x v="0"/>
    <x v="487"/>
    <n v="20.75"/>
    <n v="20.75"/>
    <x v="1"/>
    <x v="2"/>
    <s v="Genoa Salami, Capocollo, Pepperoni, Tomatoes, Asiago Cheese, Garlic"/>
    <x v="26"/>
  </r>
  <r>
    <n v="1121"/>
    <n v="490"/>
    <n v="0.33333333333333331"/>
    <s v="big_meat_s"/>
    <n v="1"/>
    <x v="7"/>
    <x v="0"/>
    <x v="488"/>
    <n v="12"/>
    <n v="12"/>
    <x v="2"/>
    <x v="0"/>
    <s v="Bacon, Pepperoni, Italian Sausage, Chorizo Sausage"/>
    <x v="19"/>
  </r>
  <r>
    <n v="1122"/>
    <n v="490"/>
    <n v="0.33333333333333331"/>
    <s v="classic_dlx_m"/>
    <n v="1"/>
    <x v="7"/>
    <x v="0"/>
    <x v="488"/>
    <n v="16"/>
    <n v="16"/>
    <x v="0"/>
    <x v="0"/>
    <s v="Pepperoni, Mushrooms, Red Onions, Red Peppers, Bacon"/>
    <x v="1"/>
  </r>
  <r>
    <n v="1123"/>
    <n v="490"/>
    <n v="0.33333333333333331"/>
    <s v="napolitana_m"/>
    <n v="1"/>
    <x v="7"/>
    <x v="0"/>
    <x v="488"/>
    <n v="16"/>
    <n v="16"/>
    <x v="0"/>
    <x v="0"/>
    <s v="Tomatoes, Anchovies, Green Olives, Red Onions, Garlic"/>
    <x v="22"/>
  </r>
  <r>
    <n v="1124"/>
    <n v="491"/>
    <n v="0.25"/>
    <s v="napolitana_s"/>
    <n v="1"/>
    <x v="7"/>
    <x v="0"/>
    <x v="489"/>
    <n v="12"/>
    <n v="12"/>
    <x v="2"/>
    <x v="0"/>
    <s v="Tomatoes, Anchovies, Green Olives, Red Onions, Garlic"/>
    <x v="22"/>
  </r>
  <r>
    <n v="1125"/>
    <n v="491"/>
    <n v="0.25"/>
    <s v="pepperoni_l"/>
    <n v="1"/>
    <x v="7"/>
    <x v="0"/>
    <x v="489"/>
    <n v="15.25"/>
    <n v="15.25"/>
    <x v="1"/>
    <x v="0"/>
    <s v="Mozzarella Cheese, Pepperoni"/>
    <x v="17"/>
  </r>
  <r>
    <n v="1126"/>
    <n v="491"/>
    <n v="0.25"/>
    <s v="peppr_salami_l"/>
    <n v="1"/>
    <x v="7"/>
    <x v="0"/>
    <x v="489"/>
    <n v="20.75"/>
    <n v="20.75"/>
    <x v="1"/>
    <x v="2"/>
    <s v="Genoa Salami, Capocollo, Pepperoni, Tomatoes, Asiago Cheese, Garlic"/>
    <x v="26"/>
  </r>
  <r>
    <n v="1127"/>
    <n v="491"/>
    <n v="0.25"/>
    <s v="prsc_argla_m"/>
    <n v="1"/>
    <x v="7"/>
    <x v="0"/>
    <x v="489"/>
    <n v="16.5"/>
    <n v="16.5"/>
    <x v="0"/>
    <x v="2"/>
    <s v="Prosciutto di San Daniele, Arugula, Mozzarella Cheese"/>
    <x v="6"/>
  </r>
  <r>
    <n v="1128"/>
    <n v="492"/>
    <n v="0.33333333333333331"/>
    <s v="ckn_pesto_l"/>
    <n v="1"/>
    <x v="7"/>
    <x v="0"/>
    <x v="490"/>
    <n v="20.75"/>
    <n v="20.75"/>
    <x v="1"/>
    <x v="3"/>
    <s v="Chicken, Tomatoes, Red Peppers, Spinach, Garlic, Pesto Sauce"/>
    <x v="18"/>
  </r>
  <r>
    <n v="1129"/>
    <n v="492"/>
    <n v="0.33333333333333331"/>
    <s v="sicilian_m"/>
    <n v="1"/>
    <x v="7"/>
    <x v="0"/>
    <x v="490"/>
    <n v="16.25"/>
    <n v="16.25"/>
    <x v="0"/>
    <x v="2"/>
    <s v="Coarse Sicilian Salami, Tomatoes, Green Olives, Luganega Sausage, Onions, Garlic"/>
    <x v="28"/>
  </r>
  <r>
    <n v="1130"/>
    <n v="492"/>
    <n v="0.33333333333333331"/>
    <s v="spinach_fet_m"/>
    <n v="1"/>
    <x v="7"/>
    <x v="0"/>
    <x v="490"/>
    <n v="16"/>
    <n v="16"/>
    <x v="0"/>
    <x v="1"/>
    <s v="Spinach, Mushrooms, Red Onions, Feta Cheese, Garlic"/>
    <x v="27"/>
  </r>
  <r>
    <n v="1131"/>
    <n v="493"/>
    <n v="1"/>
    <s v="ital_supr_l"/>
    <n v="1"/>
    <x v="7"/>
    <x v="0"/>
    <x v="491"/>
    <n v="20.75"/>
    <n v="20.75"/>
    <x v="1"/>
    <x v="2"/>
    <s v="Calabrese Salami, Capocollo, Tomatoes, Red Onions, Green Olives, Garlic"/>
    <x v="3"/>
  </r>
  <r>
    <n v="1132"/>
    <n v="494"/>
    <n v="0.25"/>
    <s v="five_cheese_l"/>
    <n v="1"/>
    <x v="7"/>
    <x v="0"/>
    <x v="492"/>
    <n v="18.5"/>
    <n v="18.5"/>
    <x v="1"/>
    <x v="1"/>
    <s v="Mozzarella Cheese, Provolone Cheese, Smoked Gouda Cheese, Romano Cheese, Blue Cheese, Garlic"/>
    <x v="2"/>
  </r>
  <r>
    <n v="1133"/>
    <n v="494"/>
    <n v="0.25"/>
    <s v="four_cheese_l"/>
    <n v="1"/>
    <x v="7"/>
    <x v="0"/>
    <x v="492"/>
    <n v="17.95"/>
    <n v="17.95"/>
    <x v="1"/>
    <x v="1"/>
    <s v="Ricotta Cheese, Gorgonzola Piccante Cheese, Mozzarella Cheese, Parmigiano Reggiano Cheese, Garlic"/>
    <x v="21"/>
  </r>
  <r>
    <n v="1134"/>
    <n v="494"/>
    <n v="0.25"/>
    <s v="mexicana_l"/>
    <n v="1"/>
    <x v="7"/>
    <x v="0"/>
    <x v="492"/>
    <n v="20.25"/>
    <n v="20.25"/>
    <x v="1"/>
    <x v="1"/>
    <s v="Tomatoes, Red Peppers, Jalapeno Peppers, Red Onions, Cilantro, Corn, Chipotle Sauce, Garlic"/>
    <x v="4"/>
  </r>
  <r>
    <n v="1135"/>
    <n v="494"/>
    <n v="0.25"/>
    <s v="southw_ckn_l"/>
    <n v="1"/>
    <x v="7"/>
    <x v="0"/>
    <x v="492"/>
    <n v="20.75"/>
    <n v="20.75"/>
    <x v="1"/>
    <x v="3"/>
    <s v="Chicken, Tomatoes, Red Peppers, Red Onions, Jalapeno Peppers, Corn, Cilantro, Chipotle Sauce"/>
    <x v="15"/>
  </r>
  <r>
    <n v="1136"/>
    <n v="495"/>
    <n v="0.5"/>
    <s v="ital_supr_m"/>
    <n v="1"/>
    <x v="7"/>
    <x v="0"/>
    <x v="493"/>
    <n v="16.5"/>
    <n v="16.5"/>
    <x v="0"/>
    <x v="2"/>
    <s v="Calabrese Salami, Capocollo, Tomatoes, Red Onions, Green Olives, Garlic"/>
    <x v="3"/>
  </r>
  <r>
    <n v="1137"/>
    <n v="495"/>
    <n v="0.5"/>
    <s v="sicilian_l"/>
    <n v="1"/>
    <x v="7"/>
    <x v="0"/>
    <x v="493"/>
    <n v="20.25"/>
    <n v="20.25"/>
    <x v="1"/>
    <x v="2"/>
    <s v="Coarse Sicilian Salami, Tomatoes, Green Olives, Luganega Sausage, Onions, Garlic"/>
    <x v="28"/>
  </r>
  <r>
    <n v="1138"/>
    <n v="496"/>
    <n v="0.5"/>
    <s v="hawaiian_l"/>
    <n v="1"/>
    <x v="7"/>
    <x v="0"/>
    <x v="494"/>
    <n v="16.5"/>
    <n v="16.5"/>
    <x v="1"/>
    <x v="0"/>
    <s v="Sliced Ham, Pineapple, Mozzarella Cheese"/>
    <x v="0"/>
  </r>
  <r>
    <n v="1139"/>
    <n v="496"/>
    <n v="0.5"/>
    <s v="soppressata_s"/>
    <n v="1"/>
    <x v="7"/>
    <x v="0"/>
    <x v="494"/>
    <n v="12.5"/>
    <n v="12.5"/>
    <x v="2"/>
    <x v="2"/>
    <s v="Soppressata Salami, Fontina Cheese, Mozzarella Cheese, Mushrooms, Garlic"/>
    <x v="20"/>
  </r>
  <r>
    <n v="1140"/>
    <n v="497"/>
    <n v="1"/>
    <s v="veggie_veg_s"/>
    <n v="1"/>
    <x v="7"/>
    <x v="0"/>
    <x v="495"/>
    <n v="12"/>
    <n v="12"/>
    <x v="2"/>
    <x v="1"/>
    <s v="Mushrooms, Tomatoes, Red Peppers, Green Peppers, Red Onions, Zucchini, Spinach, Garlic"/>
    <x v="14"/>
  </r>
  <r>
    <n v="1141"/>
    <n v="498"/>
    <n v="1"/>
    <s v="ital_supr_m"/>
    <n v="1"/>
    <x v="7"/>
    <x v="0"/>
    <x v="496"/>
    <n v="16.5"/>
    <n v="16.5"/>
    <x v="0"/>
    <x v="2"/>
    <s v="Calabrese Salami, Capocollo, Tomatoes, Red Onions, Green Olives, Garlic"/>
    <x v="3"/>
  </r>
  <r>
    <n v="1142"/>
    <n v="499"/>
    <n v="0.25"/>
    <s v="calabrese_s"/>
    <n v="1"/>
    <x v="7"/>
    <x v="0"/>
    <x v="497"/>
    <n v="12.25"/>
    <n v="12.25"/>
    <x v="2"/>
    <x v="2"/>
    <s v="?duja Salami, Pancetta, Tomatoes, Red Onions, Friggitello Peppers, Garlic"/>
    <x v="23"/>
  </r>
  <r>
    <n v="1143"/>
    <n v="499"/>
    <n v="0.25"/>
    <s v="four_cheese_l"/>
    <n v="1"/>
    <x v="7"/>
    <x v="0"/>
    <x v="497"/>
    <n v="17.95"/>
    <n v="17.95"/>
    <x v="1"/>
    <x v="1"/>
    <s v="Ricotta Cheese, Gorgonzola Piccante Cheese, Mozzarella Cheese, Parmigiano Reggiano Cheese, Garlic"/>
    <x v="21"/>
  </r>
  <r>
    <n v="1144"/>
    <n v="499"/>
    <n v="0.25"/>
    <s v="mexicana_m"/>
    <n v="1"/>
    <x v="7"/>
    <x v="0"/>
    <x v="497"/>
    <n v="16"/>
    <n v="16"/>
    <x v="0"/>
    <x v="1"/>
    <s v="Tomatoes, Red Peppers, Jalapeno Peppers, Red Onions, Cilantro, Corn, Chipotle Sauce, Garlic"/>
    <x v="4"/>
  </r>
  <r>
    <n v="1145"/>
    <n v="499"/>
    <n v="0.25"/>
    <s v="pep_msh_pep_m"/>
    <n v="1"/>
    <x v="7"/>
    <x v="0"/>
    <x v="497"/>
    <n v="14.5"/>
    <n v="14.5"/>
    <x v="0"/>
    <x v="0"/>
    <s v="Pepperoni, Mushrooms, Green Peppers"/>
    <x v="30"/>
  </r>
  <r>
    <n v="1146"/>
    <n v="500"/>
    <n v="1"/>
    <s v="mediterraneo_m"/>
    <n v="1"/>
    <x v="7"/>
    <x v="0"/>
    <x v="498"/>
    <n v="16"/>
    <n v="16"/>
    <x v="0"/>
    <x v="1"/>
    <s v="Spinach, Artichokes, Kalamata Olives, Sun-dried Tomatoes, Feta Cheese, Plum Tomatoes, Red Onions"/>
    <x v="25"/>
  </r>
  <r>
    <n v="1147"/>
    <n v="501"/>
    <n v="0.33333333333333331"/>
    <s v="cali_ckn_s"/>
    <n v="1"/>
    <x v="7"/>
    <x v="0"/>
    <x v="499"/>
    <n v="12.75"/>
    <n v="12.75"/>
    <x v="2"/>
    <x v="3"/>
    <s v="Chicken, Artichoke, Spinach, Garlic, Jalapeno Peppers, Fontina Cheese, Gouda Cheese"/>
    <x v="16"/>
  </r>
  <r>
    <n v="1148"/>
    <n v="501"/>
    <n v="0.33333333333333331"/>
    <s v="hawaiian_s"/>
    <n v="1"/>
    <x v="7"/>
    <x v="0"/>
    <x v="499"/>
    <n v="10.5"/>
    <n v="10.5"/>
    <x v="2"/>
    <x v="0"/>
    <s v="Sliced Ham, Pineapple, Mozzarella Cheese"/>
    <x v="0"/>
  </r>
  <r>
    <n v="1149"/>
    <n v="501"/>
    <n v="0.33333333333333331"/>
    <s v="southw_ckn_l"/>
    <n v="1"/>
    <x v="7"/>
    <x v="0"/>
    <x v="499"/>
    <n v="20.75"/>
    <n v="20.75"/>
    <x v="1"/>
    <x v="3"/>
    <s v="Chicken, Tomatoes, Red Peppers, Red Onions, Jalapeno Peppers, Corn, Cilantro, Chipotle Sauce"/>
    <x v="15"/>
  </r>
  <r>
    <n v="1150"/>
    <n v="502"/>
    <n v="1"/>
    <s v="ital_veggie_m"/>
    <n v="1"/>
    <x v="7"/>
    <x v="0"/>
    <x v="500"/>
    <n v="16.75"/>
    <n v="16.75"/>
    <x v="0"/>
    <x v="1"/>
    <s v="Eggplant, Artichokes, Tomatoes, Zucchini, Red Peppers, Garlic, Pesto Sauce"/>
    <x v="24"/>
  </r>
  <r>
    <n v="1151"/>
    <n v="503"/>
    <n v="0.5"/>
    <s v="pepperoni_l"/>
    <n v="1"/>
    <x v="8"/>
    <x v="1"/>
    <x v="501"/>
    <n v="15.25"/>
    <n v="15.25"/>
    <x v="1"/>
    <x v="0"/>
    <s v="Mozzarella Cheese, Pepperoni"/>
    <x v="17"/>
  </r>
  <r>
    <n v="1152"/>
    <n v="503"/>
    <n v="0.5"/>
    <s v="sicilian_m"/>
    <n v="1"/>
    <x v="8"/>
    <x v="1"/>
    <x v="501"/>
    <n v="16.25"/>
    <n v="16.25"/>
    <x v="0"/>
    <x v="2"/>
    <s v="Coarse Sicilian Salami, Tomatoes, Green Olives, Luganega Sausage, Onions, Garlic"/>
    <x v="28"/>
  </r>
  <r>
    <n v="1153"/>
    <n v="504"/>
    <n v="1"/>
    <s v="the_greek_l"/>
    <n v="1"/>
    <x v="8"/>
    <x v="1"/>
    <x v="502"/>
    <n v="20.5"/>
    <n v="20.5"/>
    <x v="1"/>
    <x v="0"/>
    <s v="Kalamata Olives, Feta Cheese, Tomatoes, Garlic, Beef Chuck Roast, Red Onions"/>
    <x v="8"/>
  </r>
  <r>
    <n v="1154"/>
    <n v="505"/>
    <n v="0.5"/>
    <s v="pepperoni_m"/>
    <n v="1"/>
    <x v="8"/>
    <x v="1"/>
    <x v="503"/>
    <n v="12.5"/>
    <n v="12.5"/>
    <x v="0"/>
    <x v="0"/>
    <s v="Mozzarella Cheese, Pepperoni"/>
    <x v="17"/>
  </r>
  <r>
    <n v="1155"/>
    <n v="505"/>
    <n v="0.5"/>
    <s v="the_greek_xl"/>
    <n v="1"/>
    <x v="8"/>
    <x v="1"/>
    <x v="503"/>
    <n v="25.5"/>
    <n v="25.5"/>
    <x v="3"/>
    <x v="0"/>
    <s v="Kalamata Olives, Feta Cheese, Tomatoes, Garlic, Beef Chuck Roast, Red Onions"/>
    <x v="8"/>
  </r>
  <r>
    <n v="1156"/>
    <n v="506"/>
    <n v="1"/>
    <s v="spinach_fet_m"/>
    <n v="1"/>
    <x v="8"/>
    <x v="1"/>
    <x v="504"/>
    <n v="16"/>
    <n v="16"/>
    <x v="0"/>
    <x v="1"/>
    <s v="Spinach, Mushrooms, Red Onions, Feta Cheese, Garlic"/>
    <x v="27"/>
  </r>
  <r>
    <n v="1157"/>
    <n v="507"/>
    <n v="1"/>
    <s v="ckn_pesto_s"/>
    <n v="1"/>
    <x v="8"/>
    <x v="1"/>
    <x v="505"/>
    <n v="12.75"/>
    <n v="12.75"/>
    <x v="2"/>
    <x v="3"/>
    <s v="Chicken, Tomatoes, Red Peppers, Spinach, Garlic, Pesto Sauce"/>
    <x v="18"/>
  </r>
  <r>
    <n v="1158"/>
    <n v="508"/>
    <n v="0.33333333333333331"/>
    <s v="cali_ckn_m"/>
    <n v="1"/>
    <x v="8"/>
    <x v="1"/>
    <x v="506"/>
    <n v="16.75"/>
    <n v="16.75"/>
    <x v="0"/>
    <x v="3"/>
    <s v="Chicken, Artichoke, Spinach, Garlic, Jalapeno Peppers, Fontina Cheese, Gouda Cheese"/>
    <x v="16"/>
  </r>
  <r>
    <n v="1159"/>
    <n v="508"/>
    <n v="0.33333333333333331"/>
    <s v="cali_ckn_s"/>
    <n v="1"/>
    <x v="8"/>
    <x v="1"/>
    <x v="506"/>
    <n v="12.75"/>
    <n v="12.75"/>
    <x v="2"/>
    <x v="3"/>
    <s v="Chicken, Artichoke, Spinach, Garlic, Jalapeno Peppers, Fontina Cheese, Gouda Cheese"/>
    <x v="16"/>
  </r>
  <r>
    <n v="1160"/>
    <n v="508"/>
    <n v="0.33333333333333331"/>
    <s v="pepperoni_m"/>
    <n v="1"/>
    <x v="8"/>
    <x v="1"/>
    <x v="506"/>
    <n v="12.5"/>
    <n v="12.5"/>
    <x v="0"/>
    <x v="0"/>
    <s v="Mozzarella Cheese, Pepperoni"/>
    <x v="17"/>
  </r>
  <r>
    <n v="1161"/>
    <n v="509"/>
    <n v="1"/>
    <s v="spicy_ital_l"/>
    <n v="1"/>
    <x v="8"/>
    <x v="1"/>
    <x v="507"/>
    <n v="20.75"/>
    <n v="20.75"/>
    <x v="1"/>
    <x v="2"/>
    <s v="Capocollo, Tomatoes, Goat Cheese, Artichokes, Peperoncini verdi, Garlic"/>
    <x v="12"/>
  </r>
  <r>
    <n v="1162"/>
    <n v="510"/>
    <n v="0.25"/>
    <s v="classic_dlx_m"/>
    <n v="1"/>
    <x v="8"/>
    <x v="1"/>
    <x v="508"/>
    <n v="16"/>
    <n v="16"/>
    <x v="0"/>
    <x v="0"/>
    <s v="Pepperoni, Mushrooms, Red Onions, Red Peppers, Bacon"/>
    <x v="1"/>
  </r>
  <r>
    <n v="1163"/>
    <n v="510"/>
    <n v="0.25"/>
    <s v="classic_dlx_s"/>
    <n v="1"/>
    <x v="8"/>
    <x v="1"/>
    <x v="508"/>
    <n v="12"/>
    <n v="12"/>
    <x v="2"/>
    <x v="0"/>
    <s v="Pepperoni, Mushrooms, Red Onions, Red Peppers, Bacon"/>
    <x v="1"/>
  </r>
  <r>
    <n v="1164"/>
    <n v="510"/>
    <n v="0.25"/>
    <s v="ital_supr_l"/>
    <n v="1"/>
    <x v="8"/>
    <x v="1"/>
    <x v="508"/>
    <n v="20.75"/>
    <n v="20.75"/>
    <x v="1"/>
    <x v="2"/>
    <s v="Calabrese Salami, Capocollo, Tomatoes, Red Onions, Green Olives, Garlic"/>
    <x v="3"/>
  </r>
  <r>
    <n v="1165"/>
    <n v="510"/>
    <n v="0.25"/>
    <s v="spicy_ital_l"/>
    <n v="1"/>
    <x v="8"/>
    <x v="1"/>
    <x v="508"/>
    <n v="20.75"/>
    <n v="20.75"/>
    <x v="1"/>
    <x v="2"/>
    <s v="Capocollo, Tomatoes, Goat Cheese, Artichokes, Peperoncini verdi, Garlic"/>
    <x v="12"/>
  </r>
  <r>
    <n v="1166"/>
    <n v="511"/>
    <n v="1"/>
    <s v="five_cheese_l"/>
    <n v="1"/>
    <x v="8"/>
    <x v="1"/>
    <x v="509"/>
    <n v="18.5"/>
    <n v="18.5"/>
    <x v="1"/>
    <x v="1"/>
    <s v="Mozzarella Cheese, Provolone Cheese, Smoked Gouda Cheese, Romano Cheese, Blue Cheese, Garlic"/>
    <x v="2"/>
  </r>
  <r>
    <n v="1167"/>
    <n v="512"/>
    <n v="1"/>
    <s v="ital_veggie_m"/>
    <n v="1"/>
    <x v="8"/>
    <x v="1"/>
    <x v="510"/>
    <n v="16.75"/>
    <n v="16.75"/>
    <x v="0"/>
    <x v="1"/>
    <s v="Eggplant, Artichokes, Tomatoes, Zucchini, Red Peppers, Garlic, Pesto Sauce"/>
    <x v="24"/>
  </r>
  <r>
    <n v="1168"/>
    <n v="513"/>
    <n v="0.25"/>
    <s v="four_cheese_l"/>
    <n v="1"/>
    <x v="8"/>
    <x v="1"/>
    <x v="511"/>
    <n v="17.95"/>
    <n v="17.95"/>
    <x v="1"/>
    <x v="1"/>
    <s v="Ricotta Cheese, Gorgonzola Piccante Cheese, Mozzarella Cheese, Parmigiano Reggiano Cheese, Garlic"/>
    <x v="21"/>
  </r>
  <r>
    <n v="1169"/>
    <n v="513"/>
    <n v="0.25"/>
    <s v="ital_veggie_m"/>
    <n v="1"/>
    <x v="8"/>
    <x v="1"/>
    <x v="511"/>
    <n v="16.75"/>
    <n v="16.75"/>
    <x v="0"/>
    <x v="1"/>
    <s v="Eggplant, Artichokes, Tomatoes, Zucchini, Red Peppers, Garlic, Pesto Sauce"/>
    <x v="24"/>
  </r>
  <r>
    <n v="1170"/>
    <n v="513"/>
    <n v="0.25"/>
    <s v="pepperoni_l"/>
    <n v="1"/>
    <x v="8"/>
    <x v="1"/>
    <x v="511"/>
    <n v="15.25"/>
    <n v="15.25"/>
    <x v="1"/>
    <x v="0"/>
    <s v="Mozzarella Cheese, Pepperoni"/>
    <x v="17"/>
  </r>
  <r>
    <n v="1171"/>
    <n v="513"/>
    <n v="0.25"/>
    <s v="thai_ckn_l"/>
    <n v="1"/>
    <x v="8"/>
    <x v="1"/>
    <x v="511"/>
    <n v="20.75"/>
    <n v="20.75"/>
    <x v="1"/>
    <x v="3"/>
    <s v="Chicken, Pineapple, Tomatoes, Red Peppers, Thai Sweet Chilli Sauce"/>
    <x v="5"/>
  </r>
  <r>
    <n v="1172"/>
    <n v="514"/>
    <n v="1"/>
    <s v="classic_dlx_s"/>
    <n v="1"/>
    <x v="8"/>
    <x v="1"/>
    <x v="512"/>
    <n v="12"/>
    <n v="12"/>
    <x v="2"/>
    <x v="0"/>
    <s v="Pepperoni, Mushrooms, Red Onions, Red Peppers, Bacon"/>
    <x v="1"/>
  </r>
  <r>
    <n v="1173"/>
    <n v="515"/>
    <n v="0.5"/>
    <s v="ckn_pesto_l"/>
    <n v="1"/>
    <x v="8"/>
    <x v="1"/>
    <x v="513"/>
    <n v="20.75"/>
    <n v="20.75"/>
    <x v="1"/>
    <x v="3"/>
    <s v="Chicken, Tomatoes, Red Peppers, Spinach, Garlic, Pesto Sauce"/>
    <x v="18"/>
  </r>
  <r>
    <n v="1174"/>
    <n v="515"/>
    <n v="0.5"/>
    <s v="mediterraneo_l"/>
    <n v="1"/>
    <x v="8"/>
    <x v="1"/>
    <x v="513"/>
    <n v="20.25"/>
    <n v="20.25"/>
    <x v="1"/>
    <x v="1"/>
    <s v="Spinach, Artichokes, Kalamata Olives, Sun-dried Tomatoes, Feta Cheese, Plum Tomatoes, Red Onions"/>
    <x v="25"/>
  </r>
  <r>
    <n v="1175"/>
    <n v="516"/>
    <n v="0.5"/>
    <s v="napolitana_l"/>
    <n v="1"/>
    <x v="8"/>
    <x v="1"/>
    <x v="514"/>
    <n v="20.5"/>
    <n v="20.5"/>
    <x v="1"/>
    <x v="0"/>
    <s v="Tomatoes, Anchovies, Green Olives, Red Onions, Garlic"/>
    <x v="22"/>
  </r>
  <r>
    <n v="1176"/>
    <n v="516"/>
    <n v="0.5"/>
    <s v="veggie_veg_l"/>
    <n v="1"/>
    <x v="8"/>
    <x v="1"/>
    <x v="514"/>
    <n v="20.25"/>
    <n v="20.25"/>
    <x v="1"/>
    <x v="1"/>
    <s v="Mushrooms, Tomatoes, Red Peppers, Green Peppers, Red Onions, Zucchini, Spinach, Garlic"/>
    <x v="14"/>
  </r>
  <r>
    <n v="1177"/>
    <n v="517"/>
    <n v="1"/>
    <s v="mexicana_m"/>
    <n v="1"/>
    <x v="8"/>
    <x v="1"/>
    <x v="515"/>
    <n v="16"/>
    <n v="16"/>
    <x v="0"/>
    <x v="1"/>
    <s v="Tomatoes, Red Peppers, Jalapeno Peppers, Red Onions, Cilantro, Corn, Chipotle Sauce, Garlic"/>
    <x v="4"/>
  </r>
  <r>
    <n v="1178"/>
    <n v="518"/>
    <n v="0.33333333333333331"/>
    <s v="big_meat_s"/>
    <n v="1"/>
    <x v="8"/>
    <x v="1"/>
    <x v="516"/>
    <n v="12"/>
    <n v="12"/>
    <x v="2"/>
    <x v="0"/>
    <s v="Bacon, Pepperoni, Italian Sausage, Chorizo Sausage"/>
    <x v="19"/>
  </r>
  <r>
    <n v="1179"/>
    <n v="518"/>
    <n v="0.33333333333333331"/>
    <s v="prsc_argla_l"/>
    <n v="1"/>
    <x v="8"/>
    <x v="1"/>
    <x v="516"/>
    <n v="20.75"/>
    <n v="20.75"/>
    <x v="1"/>
    <x v="2"/>
    <s v="Prosciutto di San Daniele, Arugula, Mozzarella Cheese"/>
    <x v="6"/>
  </r>
  <r>
    <n v="1180"/>
    <n v="518"/>
    <n v="0.33333333333333331"/>
    <s v="sicilian_s"/>
    <n v="1"/>
    <x v="8"/>
    <x v="1"/>
    <x v="516"/>
    <n v="12.25"/>
    <n v="12.25"/>
    <x v="2"/>
    <x v="2"/>
    <s v="Coarse Sicilian Salami, Tomatoes, Green Olives, Luganega Sausage, Onions, Garlic"/>
    <x v="28"/>
  </r>
  <r>
    <n v="1181"/>
    <n v="519"/>
    <n v="1"/>
    <s v="prsc_argla_s"/>
    <n v="1"/>
    <x v="8"/>
    <x v="1"/>
    <x v="517"/>
    <n v="12.5"/>
    <n v="12.5"/>
    <x v="2"/>
    <x v="2"/>
    <s v="Prosciutto di San Daniele, Arugula, Mozzarella Cheese"/>
    <x v="6"/>
  </r>
  <r>
    <n v="1182"/>
    <n v="520"/>
    <n v="1"/>
    <s v="spin_pesto_l"/>
    <n v="1"/>
    <x v="8"/>
    <x v="1"/>
    <x v="518"/>
    <n v="20.75"/>
    <n v="20.75"/>
    <x v="1"/>
    <x v="1"/>
    <s v="Spinach, Artichokes, Tomatoes, Sun-dried Tomatoes, Garlic, Pesto Sauce"/>
    <x v="13"/>
  </r>
  <r>
    <n v="1183"/>
    <n v="521"/>
    <n v="1"/>
    <s v="thai_ckn_s"/>
    <n v="1"/>
    <x v="8"/>
    <x v="1"/>
    <x v="519"/>
    <n v="12.75"/>
    <n v="12.75"/>
    <x v="2"/>
    <x v="3"/>
    <s v="Chicken, Pineapple, Tomatoes, Red Peppers, Thai Sweet Chilli Sauce"/>
    <x v="5"/>
  </r>
  <r>
    <n v="1184"/>
    <n v="522"/>
    <n v="9.0909090909090912E-2"/>
    <s v="bbq_ckn_s"/>
    <n v="1"/>
    <x v="8"/>
    <x v="1"/>
    <x v="520"/>
    <n v="12.75"/>
    <n v="12.75"/>
    <x v="2"/>
    <x v="3"/>
    <s v="Barbecued Chicken, Red Peppers, Green Peppers, Tomatoes, Red Onions, Barbecue Sauce"/>
    <x v="7"/>
  </r>
  <r>
    <n v="1185"/>
    <n v="522"/>
    <n v="9.0909090909090912E-2"/>
    <s v="big_meat_s"/>
    <n v="1"/>
    <x v="8"/>
    <x v="1"/>
    <x v="520"/>
    <n v="12"/>
    <n v="12"/>
    <x v="2"/>
    <x v="0"/>
    <s v="Bacon, Pepperoni, Italian Sausage, Chorizo Sausage"/>
    <x v="19"/>
  </r>
  <r>
    <n v="1186"/>
    <n v="522"/>
    <n v="9.0909090909090912E-2"/>
    <s v="classic_dlx_s"/>
    <n v="1"/>
    <x v="8"/>
    <x v="1"/>
    <x v="520"/>
    <n v="12"/>
    <n v="12"/>
    <x v="2"/>
    <x v="0"/>
    <s v="Pepperoni, Mushrooms, Red Onions, Red Peppers, Bacon"/>
    <x v="1"/>
  </r>
  <r>
    <n v="1187"/>
    <n v="522"/>
    <n v="9.0909090909090912E-2"/>
    <s v="five_cheese_l"/>
    <n v="1"/>
    <x v="8"/>
    <x v="1"/>
    <x v="520"/>
    <n v="18.5"/>
    <n v="18.5"/>
    <x v="1"/>
    <x v="1"/>
    <s v="Mozzarella Cheese, Provolone Cheese, Smoked Gouda Cheese, Romano Cheese, Blue Cheese, Garlic"/>
    <x v="2"/>
  </r>
  <r>
    <n v="1188"/>
    <n v="522"/>
    <n v="9.0909090909090912E-2"/>
    <s v="four_cheese_l"/>
    <n v="2"/>
    <x v="8"/>
    <x v="1"/>
    <x v="520"/>
    <n v="17.95"/>
    <n v="35.9"/>
    <x v="1"/>
    <x v="1"/>
    <s v="Ricotta Cheese, Gorgonzola Piccante Cheese, Mozzarella Cheese, Parmigiano Reggiano Cheese, Garlic"/>
    <x v="21"/>
  </r>
  <r>
    <n v="1189"/>
    <n v="522"/>
    <n v="9.0909090909090912E-2"/>
    <s v="green_garden_s"/>
    <n v="1"/>
    <x v="8"/>
    <x v="1"/>
    <x v="520"/>
    <n v="12"/>
    <n v="12"/>
    <x v="2"/>
    <x v="1"/>
    <s v="Spinach, Mushrooms, Tomatoes, Green Olives, Feta Cheese"/>
    <x v="10"/>
  </r>
  <r>
    <n v="1190"/>
    <n v="522"/>
    <n v="9.0909090909090912E-2"/>
    <s v="ital_cpcllo_m"/>
    <n v="2"/>
    <x v="8"/>
    <x v="1"/>
    <x v="520"/>
    <n v="16"/>
    <n v="32"/>
    <x v="0"/>
    <x v="0"/>
    <s v="Capocollo, Red Peppers, Tomatoes, Goat Cheese, Garlic, Oregano"/>
    <x v="11"/>
  </r>
  <r>
    <n v="1191"/>
    <n v="522"/>
    <n v="9.0909090909090912E-2"/>
    <s v="ital_veggie_l"/>
    <n v="1"/>
    <x v="8"/>
    <x v="1"/>
    <x v="520"/>
    <n v="21"/>
    <n v="21"/>
    <x v="1"/>
    <x v="1"/>
    <s v="Eggplant, Artichokes, Tomatoes, Zucchini, Red Peppers, Garlic, Pesto Sauce"/>
    <x v="24"/>
  </r>
  <r>
    <n v="1192"/>
    <n v="522"/>
    <n v="9.0909090909090912E-2"/>
    <s v="sicilian_l"/>
    <n v="1"/>
    <x v="8"/>
    <x v="1"/>
    <x v="520"/>
    <n v="20.25"/>
    <n v="20.25"/>
    <x v="1"/>
    <x v="2"/>
    <s v="Coarse Sicilian Salami, Tomatoes, Green Olives, Luganega Sausage, Onions, Garlic"/>
    <x v="28"/>
  </r>
  <r>
    <n v="1193"/>
    <n v="522"/>
    <n v="9.0909090909090912E-2"/>
    <s v="the_greek_l"/>
    <n v="1"/>
    <x v="8"/>
    <x v="1"/>
    <x v="520"/>
    <n v="20.5"/>
    <n v="20.5"/>
    <x v="1"/>
    <x v="0"/>
    <s v="Kalamata Olives, Feta Cheese, Tomatoes, Garlic, Beef Chuck Roast, Red Onions"/>
    <x v="8"/>
  </r>
  <r>
    <n v="1194"/>
    <n v="522"/>
    <n v="9.0909090909090912E-2"/>
    <s v="the_greek_m"/>
    <n v="1"/>
    <x v="8"/>
    <x v="1"/>
    <x v="520"/>
    <n v="16"/>
    <n v="16"/>
    <x v="0"/>
    <x v="0"/>
    <s v="Kalamata Olives, Feta Cheese, Tomatoes, Garlic, Beef Chuck Roast, Red Onions"/>
    <x v="8"/>
  </r>
  <r>
    <n v="1195"/>
    <n v="523"/>
    <n v="1"/>
    <s v="prsc_argla_m"/>
    <n v="1"/>
    <x v="8"/>
    <x v="1"/>
    <x v="521"/>
    <n v="16.5"/>
    <n v="16.5"/>
    <x v="0"/>
    <x v="2"/>
    <s v="Prosciutto di San Daniele, Arugula, Mozzarella Cheese"/>
    <x v="6"/>
  </r>
  <r>
    <n v="1196"/>
    <n v="524"/>
    <n v="0.5"/>
    <s v="sicilian_s"/>
    <n v="1"/>
    <x v="8"/>
    <x v="1"/>
    <x v="522"/>
    <n v="12.25"/>
    <n v="12.25"/>
    <x v="2"/>
    <x v="2"/>
    <s v="Coarse Sicilian Salami, Tomatoes, Green Olives, Luganega Sausage, Onions, Garlic"/>
    <x v="28"/>
  </r>
  <r>
    <n v="1197"/>
    <n v="524"/>
    <n v="0.5"/>
    <s v="thai_ckn_m"/>
    <n v="1"/>
    <x v="8"/>
    <x v="1"/>
    <x v="522"/>
    <n v="16.75"/>
    <n v="16.75"/>
    <x v="0"/>
    <x v="3"/>
    <s v="Chicken, Pineapple, Tomatoes, Red Peppers, Thai Sweet Chilli Sauce"/>
    <x v="5"/>
  </r>
  <r>
    <n v="1198"/>
    <n v="525"/>
    <n v="1"/>
    <s v="pepperoni_l"/>
    <n v="1"/>
    <x v="8"/>
    <x v="1"/>
    <x v="523"/>
    <n v="15.25"/>
    <n v="15.25"/>
    <x v="1"/>
    <x v="0"/>
    <s v="Mozzarella Cheese, Pepperoni"/>
    <x v="17"/>
  </r>
  <r>
    <n v="1199"/>
    <n v="526"/>
    <n v="0.5"/>
    <s v="cali_ckn_l"/>
    <n v="1"/>
    <x v="8"/>
    <x v="1"/>
    <x v="524"/>
    <n v="20.75"/>
    <n v="20.75"/>
    <x v="1"/>
    <x v="3"/>
    <s v="Chicken, Artichoke, Spinach, Garlic, Jalapeno Peppers, Fontina Cheese, Gouda Cheese"/>
    <x v="16"/>
  </r>
  <r>
    <n v="1200"/>
    <n v="526"/>
    <n v="0.5"/>
    <s v="five_cheese_l"/>
    <n v="1"/>
    <x v="8"/>
    <x v="1"/>
    <x v="524"/>
    <n v="18.5"/>
    <n v="18.5"/>
    <x v="1"/>
    <x v="1"/>
    <s v="Mozzarella Cheese, Provolone Cheese, Smoked Gouda Cheese, Romano Cheese, Blue Cheese, Garlic"/>
    <x v="2"/>
  </r>
  <r>
    <n v="1201"/>
    <n v="527"/>
    <n v="0.5"/>
    <s v="four_cheese_l"/>
    <n v="1"/>
    <x v="8"/>
    <x v="1"/>
    <x v="525"/>
    <n v="17.95"/>
    <n v="17.95"/>
    <x v="1"/>
    <x v="1"/>
    <s v="Ricotta Cheese, Gorgonzola Piccante Cheese, Mozzarella Cheese, Parmigiano Reggiano Cheese, Garlic"/>
    <x v="21"/>
  </r>
  <r>
    <n v="1202"/>
    <n v="527"/>
    <n v="0.5"/>
    <s v="southw_ckn_l"/>
    <n v="1"/>
    <x v="8"/>
    <x v="1"/>
    <x v="525"/>
    <n v="20.75"/>
    <n v="20.75"/>
    <x v="1"/>
    <x v="3"/>
    <s v="Chicken, Tomatoes, Red Peppers, Red Onions, Jalapeno Peppers, Corn, Cilantro, Chipotle Sauce"/>
    <x v="15"/>
  </r>
  <r>
    <n v="1203"/>
    <n v="528"/>
    <n v="1"/>
    <s v="ital_cpcllo_m"/>
    <n v="1"/>
    <x v="8"/>
    <x v="1"/>
    <x v="526"/>
    <n v="16"/>
    <n v="16"/>
    <x v="0"/>
    <x v="0"/>
    <s v="Capocollo, Red Peppers, Tomatoes, Goat Cheese, Garlic, Oregano"/>
    <x v="11"/>
  </r>
  <r>
    <n v="1204"/>
    <n v="529"/>
    <n v="0.33333333333333331"/>
    <s v="calabrese_m"/>
    <n v="1"/>
    <x v="8"/>
    <x v="1"/>
    <x v="527"/>
    <n v="16.25"/>
    <n v="16.25"/>
    <x v="0"/>
    <x v="2"/>
    <s v="?duja Salami, Pancetta, Tomatoes, Red Onions, Friggitello Peppers, Garlic"/>
    <x v="23"/>
  </r>
  <r>
    <n v="1205"/>
    <n v="529"/>
    <n v="0.33333333333333331"/>
    <s v="cali_ckn_m"/>
    <n v="2"/>
    <x v="8"/>
    <x v="1"/>
    <x v="527"/>
    <n v="16.75"/>
    <n v="33.5"/>
    <x v="0"/>
    <x v="3"/>
    <s v="Chicken, Artichoke, Spinach, Garlic, Jalapeno Peppers, Fontina Cheese, Gouda Cheese"/>
    <x v="16"/>
  </r>
  <r>
    <n v="1206"/>
    <n v="529"/>
    <n v="0.33333333333333331"/>
    <s v="hawaiian_s"/>
    <n v="1"/>
    <x v="8"/>
    <x v="1"/>
    <x v="527"/>
    <n v="10.5"/>
    <n v="10.5"/>
    <x v="2"/>
    <x v="0"/>
    <s v="Sliced Ham, Pineapple, Mozzarella Cheese"/>
    <x v="0"/>
  </r>
  <r>
    <n v="1207"/>
    <n v="530"/>
    <n v="0.5"/>
    <s v="classic_dlx_l"/>
    <n v="1"/>
    <x v="8"/>
    <x v="1"/>
    <x v="528"/>
    <n v="20.5"/>
    <n v="20.5"/>
    <x v="1"/>
    <x v="0"/>
    <s v="Pepperoni, Mushrooms, Red Onions, Red Peppers, Bacon"/>
    <x v="1"/>
  </r>
  <r>
    <n v="1208"/>
    <n v="530"/>
    <n v="0.5"/>
    <s v="ital_supr_m"/>
    <n v="1"/>
    <x v="8"/>
    <x v="1"/>
    <x v="528"/>
    <n v="16.5"/>
    <n v="16.5"/>
    <x v="0"/>
    <x v="2"/>
    <s v="Calabrese Salami, Capocollo, Tomatoes, Red Onions, Green Olives, Garlic"/>
    <x v="3"/>
  </r>
  <r>
    <n v="1209"/>
    <n v="531"/>
    <n v="1"/>
    <s v="peppr_salami_m"/>
    <n v="2"/>
    <x v="8"/>
    <x v="1"/>
    <x v="529"/>
    <n v="16.5"/>
    <n v="33"/>
    <x v="0"/>
    <x v="2"/>
    <s v="Genoa Salami, Capocollo, Pepperoni, Tomatoes, Asiago Cheese, Garlic"/>
    <x v="26"/>
  </r>
  <r>
    <n v="1210"/>
    <n v="532"/>
    <n v="0.5"/>
    <s v="peppr_salami_l"/>
    <n v="1"/>
    <x v="8"/>
    <x v="1"/>
    <x v="530"/>
    <n v="20.75"/>
    <n v="20.75"/>
    <x v="1"/>
    <x v="2"/>
    <s v="Genoa Salami, Capocollo, Pepperoni, Tomatoes, Asiago Cheese, Garlic"/>
    <x v="26"/>
  </r>
  <r>
    <n v="1211"/>
    <n v="532"/>
    <n v="0.5"/>
    <s v="soppressata_s"/>
    <n v="1"/>
    <x v="8"/>
    <x v="1"/>
    <x v="530"/>
    <n v="12.5"/>
    <n v="12.5"/>
    <x v="2"/>
    <x v="2"/>
    <s v="Soppressata Salami, Fontina Cheese, Mozzarella Cheese, Mushrooms, Garlic"/>
    <x v="20"/>
  </r>
  <r>
    <n v="1212"/>
    <n v="533"/>
    <n v="0.33333333333333331"/>
    <s v="five_cheese_l"/>
    <n v="1"/>
    <x v="8"/>
    <x v="1"/>
    <x v="531"/>
    <n v="18.5"/>
    <n v="18.5"/>
    <x v="1"/>
    <x v="1"/>
    <s v="Mozzarella Cheese, Provolone Cheese, Smoked Gouda Cheese, Romano Cheese, Blue Cheese, Garlic"/>
    <x v="2"/>
  </r>
  <r>
    <n v="1213"/>
    <n v="533"/>
    <n v="0.33333333333333331"/>
    <s v="spicy_ital_l"/>
    <n v="1"/>
    <x v="8"/>
    <x v="1"/>
    <x v="531"/>
    <n v="20.75"/>
    <n v="20.75"/>
    <x v="1"/>
    <x v="2"/>
    <s v="Capocollo, Tomatoes, Goat Cheese, Artichokes, Peperoncini verdi, Garlic"/>
    <x v="12"/>
  </r>
  <r>
    <n v="1214"/>
    <n v="533"/>
    <n v="0.33333333333333331"/>
    <s v="the_greek_xl"/>
    <n v="1"/>
    <x v="8"/>
    <x v="1"/>
    <x v="531"/>
    <n v="25.5"/>
    <n v="25.5"/>
    <x v="3"/>
    <x v="0"/>
    <s v="Kalamata Olives, Feta Cheese, Tomatoes, Garlic, Beef Chuck Roast, Red Onions"/>
    <x v="8"/>
  </r>
  <r>
    <n v="1215"/>
    <n v="534"/>
    <n v="0.5"/>
    <s v="prsc_argla_l"/>
    <n v="1"/>
    <x v="8"/>
    <x v="1"/>
    <x v="532"/>
    <n v="20.75"/>
    <n v="20.75"/>
    <x v="1"/>
    <x v="2"/>
    <s v="Prosciutto di San Daniele, Arugula, Mozzarella Cheese"/>
    <x v="6"/>
  </r>
  <r>
    <n v="1216"/>
    <n v="534"/>
    <n v="0.5"/>
    <s v="southw_ckn_l"/>
    <n v="1"/>
    <x v="8"/>
    <x v="1"/>
    <x v="532"/>
    <n v="20.75"/>
    <n v="20.75"/>
    <x v="1"/>
    <x v="3"/>
    <s v="Chicken, Tomatoes, Red Peppers, Red Onions, Jalapeno Peppers, Corn, Cilantro, Chipotle Sauce"/>
    <x v="15"/>
  </r>
  <r>
    <n v="1217"/>
    <n v="535"/>
    <n v="1"/>
    <s v="classic_dlx_m"/>
    <n v="1"/>
    <x v="8"/>
    <x v="1"/>
    <x v="533"/>
    <n v="16"/>
    <n v="16"/>
    <x v="0"/>
    <x v="0"/>
    <s v="Pepperoni, Mushrooms, Red Onions, Red Peppers, Bacon"/>
    <x v="1"/>
  </r>
  <r>
    <n v="1218"/>
    <n v="536"/>
    <n v="0.5"/>
    <s v="brie_carre_s"/>
    <n v="1"/>
    <x v="8"/>
    <x v="1"/>
    <x v="534"/>
    <n v="23.65"/>
    <n v="23.65"/>
    <x v="2"/>
    <x v="2"/>
    <s v="Brie Carre Cheese, Prosciutto, Caramelized Onions, Pears, Thyme, Garlic"/>
    <x v="31"/>
  </r>
  <r>
    <n v="1219"/>
    <n v="536"/>
    <n v="0.5"/>
    <s v="peppr_salami_l"/>
    <n v="1"/>
    <x v="8"/>
    <x v="1"/>
    <x v="534"/>
    <n v="20.75"/>
    <n v="20.75"/>
    <x v="1"/>
    <x v="2"/>
    <s v="Genoa Salami, Capocollo, Pepperoni, Tomatoes, Asiago Cheese, Garlic"/>
    <x v="26"/>
  </r>
  <r>
    <n v="1220"/>
    <n v="537"/>
    <n v="0.33333333333333331"/>
    <s v="classic_dlx_s"/>
    <n v="1"/>
    <x v="8"/>
    <x v="1"/>
    <x v="535"/>
    <n v="12"/>
    <n v="12"/>
    <x v="2"/>
    <x v="0"/>
    <s v="Pepperoni, Mushrooms, Red Onions, Red Peppers, Bacon"/>
    <x v="1"/>
  </r>
  <r>
    <n v="1221"/>
    <n v="537"/>
    <n v="0.33333333333333331"/>
    <s v="hawaiian_s"/>
    <n v="1"/>
    <x v="8"/>
    <x v="1"/>
    <x v="535"/>
    <n v="10.5"/>
    <n v="10.5"/>
    <x v="2"/>
    <x v="0"/>
    <s v="Sliced Ham, Pineapple, Mozzarella Cheese"/>
    <x v="0"/>
  </r>
  <r>
    <n v="1222"/>
    <n v="537"/>
    <n v="0.33333333333333331"/>
    <s v="ital_supr_l"/>
    <n v="1"/>
    <x v="8"/>
    <x v="1"/>
    <x v="535"/>
    <n v="20.75"/>
    <n v="20.75"/>
    <x v="1"/>
    <x v="2"/>
    <s v="Calabrese Salami, Capocollo, Tomatoes, Red Onions, Green Olives, Garlic"/>
    <x v="3"/>
  </r>
  <r>
    <n v="1223"/>
    <n v="538"/>
    <n v="1"/>
    <s v="spinach_supr_l"/>
    <n v="1"/>
    <x v="8"/>
    <x v="1"/>
    <x v="536"/>
    <n v="20.75"/>
    <n v="20.75"/>
    <x v="1"/>
    <x v="2"/>
    <s v="Spinach, Red Onions, Pepperoni, Tomatoes, Artichokes, Kalamata Olives, Garlic, Asiago Cheese"/>
    <x v="9"/>
  </r>
  <r>
    <n v="1224"/>
    <n v="539"/>
    <n v="0.33333333333333331"/>
    <s v="five_cheese_l"/>
    <n v="1"/>
    <x v="8"/>
    <x v="1"/>
    <x v="537"/>
    <n v="18.5"/>
    <n v="18.5"/>
    <x v="1"/>
    <x v="1"/>
    <s v="Mozzarella Cheese, Provolone Cheese, Smoked Gouda Cheese, Romano Cheese, Blue Cheese, Garlic"/>
    <x v="2"/>
  </r>
  <r>
    <n v="1225"/>
    <n v="539"/>
    <n v="0.33333333333333331"/>
    <s v="ital_veggie_l"/>
    <n v="1"/>
    <x v="8"/>
    <x v="1"/>
    <x v="537"/>
    <n v="21"/>
    <n v="21"/>
    <x v="1"/>
    <x v="1"/>
    <s v="Eggplant, Artichokes, Tomatoes, Zucchini, Red Peppers, Garlic, Pesto Sauce"/>
    <x v="24"/>
  </r>
  <r>
    <n v="1226"/>
    <n v="539"/>
    <n v="0.33333333333333331"/>
    <s v="spinach_fet_m"/>
    <n v="1"/>
    <x v="8"/>
    <x v="1"/>
    <x v="537"/>
    <n v="16"/>
    <n v="16"/>
    <x v="0"/>
    <x v="1"/>
    <s v="Spinach, Mushrooms, Red Onions, Feta Cheese, Garlic"/>
    <x v="27"/>
  </r>
  <r>
    <n v="1227"/>
    <n v="540"/>
    <n v="1"/>
    <s v="spinach_supr_l"/>
    <n v="1"/>
    <x v="8"/>
    <x v="1"/>
    <x v="538"/>
    <n v="20.75"/>
    <n v="20.75"/>
    <x v="1"/>
    <x v="2"/>
    <s v="Spinach, Red Onions, Pepperoni, Tomatoes, Artichokes, Kalamata Olives, Garlic, Asiago Cheese"/>
    <x v="9"/>
  </r>
  <r>
    <n v="1228"/>
    <n v="541"/>
    <n v="1"/>
    <s v="big_meat_s"/>
    <n v="1"/>
    <x v="8"/>
    <x v="1"/>
    <x v="539"/>
    <n v="12"/>
    <n v="12"/>
    <x v="2"/>
    <x v="0"/>
    <s v="Bacon, Pepperoni, Italian Sausage, Chorizo Sausage"/>
    <x v="19"/>
  </r>
  <r>
    <n v="1229"/>
    <n v="542"/>
    <n v="0.5"/>
    <s v="bbq_ckn_l"/>
    <n v="1"/>
    <x v="8"/>
    <x v="1"/>
    <x v="540"/>
    <n v="20.75"/>
    <n v="20.75"/>
    <x v="1"/>
    <x v="3"/>
    <s v="Barbecued Chicken, Red Peppers, Green Peppers, Tomatoes, Red Onions, Barbecue Sauce"/>
    <x v="7"/>
  </r>
  <r>
    <n v="1230"/>
    <n v="542"/>
    <n v="0.5"/>
    <s v="prsc_argla_m"/>
    <n v="1"/>
    <x v="8"/>
    <x v="1"/>
    <x v="540"/>
    <n v="16.5"/>
    <n v="16.5"/>
    <x v="0"/>
    <x v="2"/>
    <s v="Prosciutto di San Daniele, Arugula, Mozzarella Cheese"/>
    <x v="6"/>
  </r>
  <r>
    <n v="1231"/>
    <n v="543"/>
    <n v="0.33333333333333331"/>
    <s v="ckn_pesto_l"/>
    <n v="1"/>
    <x v="8"/>
    <x v="1"/>
    <x v="541"/>
    <n v="20.75"/>
    <n v="20.75"/>
    <x v="1"/>
    <x v="3"/>
    <s v="Chicken, Tomatoes, Red Peppers, Spinach, Garlic, Pesto Sauce"/>
    <x v="18"/>
  </r>
  <r>
    <n v="1232"/>
    <n v="543"/>
    <n v="0.33333333333333331"/>
    <s v="classic_dlx_m"/>
    <n v="1"/>
    <x v="8"/>
    <x v="1"/>
    <x v="541"/>
    <n v="16"/>
    <n v="16"/>
    <x v="0"/>
    <x v="0"/>
    <s v="Pepperoni, Mushrooms, Red Onions, Red Peppers, Bacon"/>
    <x v="1"/>
  </r>
  <r>
    <n v="1233"/>
    <n v="543"/>
    <n v="0.33333333333333331"/>
    <s v="mediterraneo_m"/>
    <n v="1"/>
    <x v="8"/>
    <x v="1"/>
    <x v="541"/>
    <n v="16"/>
    <n v="16"/>
    <x v="0"/>
    <x v="1"/>
    <s v="Spinach, Artichokes, Kalamata Olives, Sun-dried Tomatoes, Feta Cheese, Plum Tomatoes, Red Onions"/>
    <x v="25"/>
  </r>
  <r>
    <n v="1234"/>
    <n v="544"/>
    <n v="0.5"/>
    <s v="napolitana_m"/>
    <n v="1"/>
    <x v="8"/>
    <x v="1"/>
    <x v="542"/>
    <n v="16"/>
    <n v="16"/>
    <x v="0"/>
    <x v="0"/>
    <s v="Tomatoes, Anchovies, Green Olives, Red Onions, Garlic"/>
    <x v="22"/>
  </r>
  <r>
    <n v="1235"/>
    <n v="544"/>
    <n v="0.5"/>
    <s v="sicilian_m"/>
    <n v="1"/>
    <x v="8"/>
    <x v="1"/>
    <x v="542"/>
    <n v="16.25"/>
    <n v="16.25"/>
    <x v="0"/>
    <x v="2"/>
    <s v="Coarse Sicilian Salami, Tomatoes, Green Olives, Luganega Sausage, Onions, Garlic"/>
    <x v="28"/>
  </r>
  <r>
    <n v="1236"/>
    <n v="545"/>
    <n v="0.25"/>
    <s v="pepperoni_l"/>
    <n v="1"/>
    <x v="8"/>
    <x v="1"/>
    <x v="543"/>
    <n v="15.25"/>
    <n v="15.25"/>
    <x v="1"/>
    <x v="0"/>
    <s v="Mozzarella Cheese, Pepperoni"/>
    <x v="17"/>
  </r>
  <r>
    <n v="1237"/>
    <n v="545"/>
    <n v="0.25"/>
    <s v="pepperoni_s"/>
    <n v="1"/>
    <x v="8"/>
    <x v="1"/>
    <x v="543"/>
    <n v="9.75"/>
    <n v="9.75"/>
    <x v="2"/>
    <x v="0"/>
    <s v="Mozzarella Cheese, Pepperoni"/>
    <x v="17"/>
  </r>
  <r>
    <n v="1238"/>
    <n v="545"/>
    <n v="0.25"/>
    <s v="peppr_salami_l"/>
    <n v="1"/>
    <x v="8"/>
    <x v="1"/>
    <x v="543"/>
    <n v="20.75"/>
    <n v="20.75"/>
    <x v="1"/>
    <x v="2"/>
    <s v="Genoa Salami, Capocollo, Pepperoni, Tomatoes, Asiago Cheese, Garlic"/>
    <x v="26"/>
  </r>
  <r>
    <n v="1239"/>
    <n v="545"/>
    <n v="0.25"/>
    <s v="soppressata_l"/>
    <n v="1"/>
    <x v="8"/>
    <x v="1"/>
    <x v="543"/>
    <n v="20.75"/>
    <n v="20.75"/>
    <x v="1"/>
    <x v="2"/>
    <s v="Soppressata Salami, Fontina Cheese, Mozzarella Cheese, Mushrooms, Garlic"/>
    <x v="20"/>
  </r>
  <r>
    <n v="1240"/>
    <n v="546"/>
    <n v="1"/>
    <s v="green_garden_s"/>
    <n v="1"/>
    <x v="8"/>
    <x v="1"/>
    <x v="544"/>
    <n v="12"/>
    <n v="12"/>
    <x v="2"/>
    <x v="1"/>
    <s v="Spinach, Mushrooms, Tomatoes, Green Olives, Feta Cheese"/>
    <x v="10"/>
  </r>
  <r>
    <n v="1241"/>
    <n v="547"/>
    <n v="1"/>
    <s v="big_meat_s"/>
    <n v="1"/>
    <x v="8"/>
    <x v="1"/>
    <x v="545"/>
    <n v="12"/>
    <n v="12"/>
    <x v="2"/>
    <x v="0"/>
    <s v="Bacon, Pepperoni, Italian Sausage, Chorizo Sausage"/>
    <x v="19"/>
  </r>
  <r>
    <n v="1242"/>
    <n v="548"/>
    <n v="1"/>
    <s v="hawaiian_l"/>
    <n v="1"/>
    <x v="8"/>
    <x v="1"/>
    <x v="546"/>
    <n v="16.5"/>
    <n v="16.5"/>
    <x v="1"/>
    <x v="0"/>
    <s v="Sliced Ham, Pineapple, Mozzarella Cheese"/>
    <x v="0"/>
  </r>
  <r>
    <n v="1243"/>
    <n v="549"/>
    <n v="0.5"/>
    <s v="big_meat_s"/>
    <n v="1"/>
    <x v="8"/>
    <x v="1"/>
    <x v="547"/>
    <n v="12"/>
    <n v="12"/>
    <x v="2"/>
    <x v="0"/>
    <s v="Bacon, Pepperoni, Italian Sausage, Chorizo Sausage"/>
    <x v="19"/>
  </r>
  <r>
    <n v="1244"/>
    <n v="549"/>
    <n v="0.5"/>
    <s v="thai_ckn_l"/>
    <n v="1"/>
    <x v="8"/>
    <x v="1"/>
    <x v="547"/>
    <n v="20.75"/>
    <n v="20.75"/>
    <x v="1"/>
    <x v="3"/>
    <s v="Chicken, Pineapple, Tomatoes, Red Peppers, Thai Sweet Chilli Sauce"/>
    <x v="5"/>
  </r>
  <r>
    <n v="1245"/>
    <n v="550"/>
    <n v="0.5"/>
    <s v="spinach_fet_m"/>
    <n v="1"/>
    <x v="8"/>
    <x v="1"/>
    <x v="548"/>
    <n v="16"/>
    <n v="16"/>
    <x v="0"/>
    <x v="1"/>
    <s v="Spinach, Mushrooms, Red Onions, Feta Cheese, Garlic"/>
    <x v="27"/>
  </r>
  <r>
    <n v="1246"/>
    <n v="550"/>
    <n v="0.5"/>
    <s v="the_greek_m"/>
    <n v="1"/>
    <x v="8"/>
    <x v="1"/>
    <x v="548"/>
    <n v="16"/>
    <n v="16"/>
    <x v="0"/>
    <x v="0"/>
    <s v="Kalamata Olives, Feta Cheese, Tomatoes, Garlic, Beef Chuck Roast, Red Onions"/>
    <x v="8"/>
  </r>
  <r>
    <n v="1247"/>
    <n v="551"/>
    <n v="0.25"/>
    <s v="four_cheese_l"/>
    <n v="1"/>
    <x v="8"/>
    <x v="1"/>
    <x v="549"/>
    <n v="17.95"/>
    <n v="17.95"/>
    <x v="1"/>
    <x v="1"/>
    <s v="Ricotta Cheese, Gorgonzola Piccante Cheese, Mozzarella Cheese, Parmigiano Reggiano Cheese, Garlic"/>
    <x v="21"/>
  </r>
  <r>
    <n v="1248"/>
    <n v="551"/>
    <n v="0.25"/>
    <s v="soppressata_m"/>
    <n v="1"/>
    <x v="8"/>
    <x v="1"/>
    <x v="549"/>
    <n v="16.5"/>
    <n v="16.5"/>
    <x v="0"/>
    <x v="2"/>
    <s v="Soppressata Salami, Fontina Cheese, Mozzarella Cheese, Mushrooms, Garlic"/>
    <x v="20"/>
  </r>
  <r>
    <n v="1249"/>
    <n v="551"/>
    <n v="0.25"/>
    <s v="thai_ckn_l"/>
    <n v="1"/>
    <x v="8"/>
    <x v="1"/>
    <x v="549"/>
    <n v="20.75"/>
    <n v="20.75"/>
    <x v="1"/>
    <x v="3"/>
    <s v="Chicken, Pineapple, Tomatoes, Red Peppers, Thai Sweet Chilli Sauce"/>
    <x v="5"/>
  </r>
  <r>
    <n v="1250"/>
    <n v="551"/>
    <n v="0.25"/>
    <s v="the_greek_m"/>
    <n v="1"/>
    <x v="8"/>
    <x v="1"/>
    <x v="549"/>
    <n v="16"/>
    <n v="16"/>
    <x v="0"/>
    <x v="0"/>
    <s v="Kalamata Olives, Feta Cheese, Tomatoes, Garlic, Beef Chuck Roast, Red Onions"/>
    <x v="8"/>
  </r>
  <r>
    <n v="1251"/>
    <n v="552"/>
    <n v="0.33333333333333331"/>
    <s v="ckn_alfredo_m"/>
    <n v="1"/>
    <x v="8"/>
    <x v="1"/>
    <x v="550"/>
    <n v="16.75"/>
    <n v="16.75"/>
    <x v="0"/>
    <x v="3"/>
    <s v="Chicken, Red Onions, Red Peppers, Mushrooms, Asiago Cheese, Alfredo Sauce"/>
    <x v="29"/>
  </r>
  <r>
    <n v="1252"/>
    <n v="552"/>
    <n v="0.33333333333333331"/>
    <s v="green_garden_s"/>
    <n v="1"/>
    <x v="8"/>
    <x v="1"/>
    <x v="550"/>
    <n v="12"/>
    <n v="12"/>
    <x v="2"/>
    <x v="1"/>
    <s v="Spinach, Mushrooms, Tomatoes, Green Olives, Feta Cheese"/>
    <x v="10"/>
  </r>
  <r>
    <n v="1253"/>
    <n v="552"/>
    <n v="0.33333333333333331"/>
    <s v="ital_supr_l"/>
    <n v="1"/>
    <x v="8"/>
    <x v="1"/>
    <x v="550"/>
    <n v="20.75"/>
    <n v="20.75"/>
    <x v="1"/>
    <x v="2"/>
    <s v="Calabrese Salami, Capocollo, Tomatoes, Red Onions, Green Olives, Garlic"/>
    <x v="3"/>
  </r>
  <r>
    <n v="1254"/>
    <n v="553"/>
    <n v="1"/>
    <s v="mexicana_l"/>
    <n v="1"/>
    <x v="8"/>
    <x v="1"/>
    <x v="551"/>
    <n v="20.25"/>
    <n v="20.25"/>
    <x v="1"/>
    <x v="1"/>
    <s v="Tomatoes, Red Peppers, Jalapeno Peppers, Red Onions, Cilantro, Corn, Chipotle Sauce, Garlic"/>
    <x v="4"/>
  </r>
  <r>
    <n v="1255"/>
    <n v="554"/>
    <n v="0.5"/>
    <s v="ckn_alfredo_m"/>
    <n v="1"/>
    <x v="8"/>
    <x v="1"/>
    <x v="552"/>
    <n v="16.75"/>
    <n v="16.75"/>
    <x v="0"/>
    <x v="3"/>
    <s v="Chicken, Red Onions, Red Peppers, Mushrooms, Asiago Cheese, Alfredo Sauce"/>
    <x v="29"/>
  </r>
  <r>
    <n v="1256"/>
    <n v="554"/>
    <n v="0.5"/>
    <s v="green_garden_s"/>
    <n v="1"/>
    <x v="8"/>
    <x v="1"/>
    <x v="552"/>
    <n v="12"/>
    <n v="12"/>
    <x v="2"/>
    <x v="1"/>
    <s v="Spinach, Mushrooms, Tomatoes, Green Olives, Feta Cheese"/>
    <x v="10"/>
  </r>
  <r>
    <n v="1257"/>
    <n v="555"/>
    <n v="0.5"/>
    <s v="bbq_ckn_s"/>
    <n v="1"/>
    <x v="8"/>
    <x v="1"/>
    <x v="553"/>
    <n v="12.75"/>
    <n v="12.75"/>
    <x v="2"/>
    <x v="3"/>
    <s v="Barbecued Chicken, Red Peppers, Green Peppers, Tomatoes, Red Onions, Barbecue Sauce"/>
    <x v="7"/>
  </r>
  <r>
    <n v="1258"/>
    <n v="555"/>
    <n v="0.5"/>
    <s v="hawaiian_s"/>
    <n v="1"/>
    <x v="8"/>
    <x v="1"/>
    <x v="553"/>
    <n v="10.5"/>
    <n v="10.5"/>
    <x v="2"/>
    <x v="0"/>
    <s v="Sliced Ham, Pineapple, Mozzarella Cheese"/>
    <x v="0"/>
  </r>
  <r>
    <n v="1259"/>
    <n v="556"/>
    <n v="0.5"/>
    <s v="four_cheese_l"/>
    <n v="1"/>
    <x v="8"/>
    <x v="1"/>
    <x v="554"/>
    <n v="17.95"/>
    <n v="17.95"/>
    <x v="1"/>
    <x v="1"/>
    <s v="Ricotta Cheese, Gorgonzola Piccante Cheese, Mozzarella Cheese, Parmigiano Reggiano Cheese, Garlic"/>
    <x v="21"/>
  </r>
  <r>
    <n v="1260"/>
    <n v="556"/>
    <n v="0.5"/>
    <s v="the_greek_xl"/>
    <n v="1"/>
    <x v="8"/>
    <x v="1"/>
    <x v="554"/>
    <n v="25.5"/>
    <n v="25.5"/>
    <x v="3"/>
    <x v="0"/>
    <s v="Kalamata Olives, Feta Cheese, Tomatoes, Garlic, Beef Chuck Roast, Red Onions"/>
    <x v="8"/>
  </r>
  <r>
    <n v="1261"/>
    <n v="557"/>
    <n v="0.5"/>
    <s v="sicilian_s"/>
    <n v="1"/>
    <x v="8"/>
    <x v="1"/>
    <x v="367"/>
    <n v="12.25"/>
    <n v="12.25"/>
    <x v="2"/>
    <x v="2"/>
    <s v="Coarse Sicilian Salami, Tomatoes, Green Olives, Luganega Sausage, Onions, Garlic"/>
    <x v="28"/>
  </r>
  <r>
    <n v="1262"/>
    <n v="557"/>
    <n v="0.5"/>
    <s v="spicy_ital_s"/>
    <n v="1"/>
    <x v="8"/>
    <x v="1"/>
    <x v="367"/>
    <n v="12.5"/>
    <n v="12.5"/>
    <x v="2"/>
    <x v="2"/>
    <s v="Capocollo, Tomatoes, Goat Cheese, Artichokes, Peperoncini verdi, Garlic"/>
    <x v="12"/>
  </r>
  <r>
    <n v="1263"/>
    <n v="558"/>
    <n v="1"/>
    <s v="hawaiian_m"/>
    <n v="1"/>
    <x v="8"/>
    <x v="1"/>
    <x v="555"/>
    <n v="13.25"/>
    <n v="13.25"/>
    <x v="0"/>
    <x v="0"/>
    <s v="Sliced Ham, Pineapple, Mozzarella Cheese"/>
    <x v="0"/>
  </r>
  <r>
    <n v="1264"/>
    <n v="559"/>
    <n v="1"/>
    <s v="classic_dlx_s"/>
    <n v="1"/>
    <x v="8"/>
    <x v="1"/>
    <x v="556"/>
    <n v="12"/>
    <n v="12"/>
    <x v="2"/>
    <x v="0"/>
    <s v="Pepperoni, Mushrooms, Red Onions, Red Peppers, Bacon"/>
    <x v="1"/>
  </r>
  <r>
    <n v="1265"/>
    <n v="560"/>
    <n v="0.5"/>
    <s v="green_garden_m"/>
    <n v="1"/>
    <x v="8"/>
    <x v="1"/>
    <x v="557"/>
    <n v="16"/>
    <n v="16"/>
    <x v="0"/>
    <x v="1"/>
    <s v="Spinach, Mushrooms, Tomatoes, Green Olives, Feta Cheese"/>
    <x v="10"/>
  </r>
  <r>
    <n v="1266"/>
    <n v="560"/>
    <n v="0.5"/>
    <s v="spicy_ital_m"/>
    <n v="1"/>
    <x v="8"/>
    <x v="1"/>
    <x v="557"/>
    <n v="16.5"/>
    <n v="16.5"/>
    <x v="0"/>
    <x v="2"/>
    <s v="Capocollo, Tomatoes, Goat Cheese, Artichokes, Peperoncini verdi, Garlic"/>
    <x v="12"/>
  </r>
  <r>
    <n v="1267"/>
    <n v="561"/>
    <n v="1"/>
    <s v="spinach_supr_s"/>
    <n v="1"/>
    <x v="8"/>
    <x v="1"/>
    <x v="558"/>
    <n v="12.5"/>
    <n v="12.5"/>
    <x v="2"/>
    <x v="2"/>
    <s v="Spinach, Red Onions, Pepperoni, Tomatoes, Artichokes, Kalamata Olives, Garlic, Asiago Cheese"/>
    <x v="9"/>
  </r>
  <r>
    <n v="1268"/>
    <n v="562"/>
    <n v="1"/>
    <s v="ckn_alfredo_m"/>
    <n v="1"/>
    <x v="8"/>
    <x v="1"/>
    <x v="559"/>
    <n v="16.75"/>
    <n v="16.75"/>
    <x v="0"/>
    <x v="3"/>
    <s v="Chicken, Red Onions, Red Peppers, Mushrooms, Asiago Cheese, Alfredo Sauce"/>
    <x v="29"/>
  </r>
  <r>
    <n v="1269"/>
    <n v="563"/>
    <n v="0.5"/>
    <s v="mexicana_l"/>
    <n v="1"/>
    <x v="8"/>
    <x v="1"/>
    <x v="560"/>
    <n v="20.25"/>
    <n v="20.25"/>
    <x v="1"/>
    <x v="1"/>
    <s v="Tomatoes, Red Peppers, Jalapeno Peppers, Red Onions, Cilantro, Corn, Chipotle Sauce, Garlic"/>
    <x v="4"/>
  </r>
  <r>
    <n v="1270"/>
    <n v="563"/>
    <n v="0.5"/>
    <s v="veggie_veg_s"/>
    <n v="1"/>
    <x v="8"/>
    <x v="1"/>
    <x v="560"/>
    <n v="12"/>
    <n v="12"/>
    <x v="2"/>
    <x v="1"/>
    <s v="Mushrooms, Tomatoes, Red Peppers, Green Peppers, Red Onions, Zucchini, Spinach, Garlic"/>
    <x v="14"/>
  </r>
  <r>
    <n v="1271"/>
    <n v="564"/>
    <n v="0.33333333333333331"/>
    <s v="mediterraneo_s"/>
    <n v="1"/>
    <x v="8"/>
    <x v="1"/>
    <x v="561"/>
    <n v="12"/>
    <n v="12"/>
    <x v="2"/>
    <x v="1"/>
    <s v="Spinach, Artichokes, Kalamata Olives, Sun-dried Tomatoes, Feta Cheese, Plum Tomatoes, Red Onions"/>
    <x v="25"/>
  </r>
  <r>
    <n v="1272"/>
    <n v="564"/>
    <n v="0.33333333333333331"/>
    <s v="pepperoni_m"/>
    <n v="1"/>
    <x v="8"/>
    <x v="1"/>
    <x v="561"/>
    <n v="12.5"/>
    <n v="12.5"/>
    <x v="0"/>
    <x v="0"/>
    <s v="Mozzarella Cheese, Pepperoni"/>
    <x v="17"/>
  </r>
  <r>
    <n v="1273"/>
    <n v="564"/>
    <n v="0.33333333333333331"/>
    <s v="spinach_supr_l"/>
    <n v="1"/>
    <x v="8"/>
    <x v="1"/>
    <x v="561"/>
    <n v="20.75"/>
    <n v="20.75"/>
    <x v="1"/>
    <x v="2"/>
    <s v="Spinach, Red Onions, Pepperoni, Tomatoes, Artichokes, Kalamata Olives, Garlic, Asiago Cheese"/>
    <x v="9"/>
  </r>
  <r>
    <n v="1274"/>
    <n v="565"/>
    <n v="1"/>
    <s v="ital_veggie_s"/>
    <n v="1"/>
    <x v="9"/>
    <x v="2"/>
    <x v="562"/>
    <n v="12.75"/>
    <n v="12.75"/>
    <x v="2"/>
    <x v="1"/>
    <s v="Eggplant, Artichokes, Tomatoes, Zucchini, Red Peppers, Garlic, Pesto Sauce"/>
    <x v="24"/>
  </r>
  <r>
    <n v="1275"/>
    <n v="566"/>
    <n v="1"/>
    <s v="spinach_supr_l"/>
    <n v="1"/>
    <x v="9"/>
    <x v="2"/>
    <x v="563"/>
    <n v="20.75"/>
    <n v="20.75"/>
    <x v="1"/>
    <x v="2"/>
    <s v="Spinach, Red Onions, Pepperoni, Tomatoes, Artichokes, Kalamata Olives, Garlic, Asiago Cheese"/>
    <x v="9"/>
  </r>
  <r>
    <n v="1276"/>
    <n v="567"/>
    <n v="0.1"/>
    <s v="bbq_ckn_l"/>
    <n v="1"/>
    <x v="9"/>
    <x v="2"/>
    <x v="564"/>
    <n v="20.75"/>
    <n v="20.75"/>
    <x v="1"/>
    <x v="3"/>
    <s v="Barbecued Chicken, Red Peppers, Green Peppers, Tomatoes, Red Onions, Barbecue Sauce"/>
    <x v="7"/>
  </r>
  <r>
    <n v="1277"/>
    <n v="567"/>
    <n v="0.1"/>
    <s v="five_cheese_l"/>
    <n v="2"/>
    <x v="9"/>
    <x v="2"/>
    <x v="564"/>
    <n v="18.5"/>
    <n v="37"/>
    <x v="1"/>
    <x v="1"/>
    <s v="Mozzarella Cheese, Provolone Cheese, Smoked Gouda Cheese, Romano Cheese, Blue Cheese, Garlic"/>
    <x v="2"/>
  </r>
  <r>
    <n v="1278"/>
    <n v="567"/>
    <n v="0.1"/>
    <s v="four_cheese_m"/>
    <n v="1"/>
    <x v="9"/>
    <x v="2"/>
    <x v="564"/>
    <n v="14.75"/>
    <n v="14.75"/>
    <x v="0"/>
    <x v="1"/>
    <s v="Ricotta Cheese, Gorgonzola Piccante Cheese, Mozzarella Cheese, Parmigiano Reggiano Cheese, Garlic"/>
    <x v="21"/>
  </r>
  <r>
    <n v="1279"/>
    <n v="567"/>
    <n v="0.1"/>
    <s v="pepperoni_m"/>
    <n v="1"/>
    <x v="9"/>
    <x v="2"/>
    <x v="564"/>
    <n v="12.5"/>
    <n v="12.5"/>
    <x v="0"/>
    <x v="0"/>
    <s v="Mozzarella Cheese, Pepperoni"/>
    <x v="17"/>
  </r>
  <r>
    <n v="1280"/>
    <n v="567"/>
    <n v="0.1"/>
    <s v="sicilian_m"/>
    <n v="1"/>
    <x v="9"/>
    <x v="2"/>
    <x v="564"/>
    <n v="16.25"/>
    <n v="16.25"/>
    <x v="0"/>
    <x v="2"/>
    <s v="Coarse Sicilian Salami, Tomatoes, Green Olives, Luganega Sausage, Onions, Garlic"/>
    <x v="28"/>
  </r>
  <r>
    <n v="1281"/>
    <n v="567"/>
    <n v="0.1"/>
    <s v="sicilian_s"/>
    <n v="1"/>
    <x v="9"/>
    <x v="2"/>
    <x v="564"/>
    <n v="12.25"/>
    <n v="12.25"/>
    <x v="2"/>
    <x v="2"/>
    <s v="Coarse Sicilian Salami, Tomatoes, Green Olives, Luganega Sausage, Onions, Garlic"/>
    <x v="28"/>
  </r>
  <r>
    <n v="1282"/>
    <n v="567"/>
    <n v="0.1"/>
    <s v="soppressata_l"/>
    <n v="1"/>
    <x v="9"/>
    <x v="2"/>
    <x v="564"/>
    <n v="20.75"/>
    <n v="20.75"/>
    <x v="1"/>
    <x v="2"/>
    <s v="Soppressata Salami, Fontina Cheese, Mozzarella Cheese, Mushrooms, Garlic"/>
    <x v="20"/>
  </r>
  <r>
    <n v="1283"/>
    <n v="567"/>
    <n v="0.1"/>
    <s v="spicy_ital_l"/>
    <n v="1"/>
    <x v="9"/>
    <x v="2"/>
    <x v="564"/>
    <n v="20.75"/>
    <n v="20.75"/>
    <x v="1"/>
    <x v="2"/>
    <s v="Capocollo, Tomatoes, Goat Cheese, Artichokes, Peperoncini verdi, Garlic"/>
    <x v="12"/>
  </r>
  <r>
    <n v="1284"/>
    <n v="567"/>
    <n v="0.1"/>
    <s v="spinach_supr_m"/>
    <n v="1"/>
    <x v="9"/>
    <x v="2"/>
    <x v="564"/>
    <n v="16.5"/>
    <n v="16.5"/>
    <x v="0"/>
    <x v="2"/>
    <s v="Spinach, Red Onions, Pepperoni, Tomatoes, Artichokes, Kalamata Olives, Garlic, Asiago Cheese"/>
    <x v="9"/>
  </r>
  <r>
    <n v="1285"/>
    <n v="567"/>
    <n v="0.1"/>
    <s v="thai_ckn_s"/>
    <n v="1"/>
    <x v="9"/>
    <x v="2"/>
    <x v="564"/>
    <n v="12.75"/>
    <n v="12.75"/>
    <x v="2"/>
    <x v="3"/>
    <s v="Chicken, Pineapple, Tomatoes, Red Peppers, Thai Sweet Chilli Sauce"/>
    <x v="5"/>
  </r>
  <r>
    <n v="1286"/>
    <n v="568"/>
    <n v="1"/>
    <s v="mexicana_l"/>
    <n v="1"/>
    <x v="9"/>
    <x v="2"/>
    <x v="565"/>
    <n v="20.25"/>
    <n v="20.25"/>
    <x v="1"/>
    <x v="1"/>
    <s v="Tomatoes, Red Peppers, Jalapeno Peppers, Red Onions, Cilantro, Corn, Chipotle Sauce, Garlic"/>
    <x v="4"/>
  </r>
  <r>
    <n v="1287"/>
    <n v="569"/>
    <n v="0.33333333333333331"/>
    <s v="bbq_ckn_s"/>
    <n v="1"/>
    <x v="9"/>
    <x v="2"/>
    <x v="566"/>
    <n v="12.75"/>
    <n v="12.75"/>
    <x v="2"/>
    <x v="3"/>
    <s v="Barbecued Chicken, Red Peppers, Green Peppers, Tomatoes, Red Onions, Barbecue Sauce"/>
    <x v="7"/>
  </r>
  <r>
    <n v="1288"/>
    <n v="569"/>
    <n v="0.33333333333333331"/>
    <s v="ckn_alfredo_m"/>
    <n v="1"/>
    <x v="9"/>
    <x v="2"/>
    <x v="566"/>
    <n v="16.75"/>
    <n v="16.75"/>
    <x v="0"/>
    <x v="3"/>
    <s v="Chicken, Red Onions, Red Peppers, Mushrooms, Asiago Cheese, Alfredo Sauce"/>
    <x v="29"/>
  </r>
  <r>
    <n v="1289"/>
    <n v="569"/>
    <n v="0.33333333333333331"/>
    <s v="classic_dlx_s"/>
    <n v="1"/>
    <x v="9"/>
    <x v="2"/>
    <x v="566"/>
    <n v="12"/>
    <n v="12"/>
    <x v="2"/>
    <x v="0"/>
    <s v="Pepperoni, Mushrooms, Red Onions, Red Peppers, Bacon"/>
    <x v="1"/>
  </r>
  <r>
    <n v="1290"/>
    <n v="570"/>
    <n v="0.5"/>
    <s v="green_garden_m"/>
    <n v="1"/>
    <x v="9"/>
    <x v="2"/>
    <x v="567"/>
    <n v="16"/>
    <n v="16"/>
    <x v="0"/>
    <x v="1"/>
    <s v="Spinach, Mushrooms, Tomatoes, Green Olives, Feta Cheese"/>
    <x v="10"/>
  </r>
  <r>
    <n v="1291"/>
    <n v="570"/>
    <n v="0.5"/>
    <s v="southw_ckn_l"/>
    <n v="1"/>
    <x v="9"/>
    <x v="2"/>
    <x v="567"/>
    <n v="20.75"/>
    <n v="20.75"/>
    <x v="1"/>
    <x v="3"/>
    <s v="Chicken, Tomatoes, Red Peppers, Red Onions, Jalapeno Peppers, Corn, Cilantro, Chipotle Sauce"/>
    <x v="15"/>
  </r>
  <r>
    <n v="1292"/>
    <n v="571"/>
    <n v="1"/>
    <s v="big_meat_s"/>
    <n v="1"/>
    <x v="9"/>
    <x v="2"/>
    <x v="568"/>
    <n v="12"/>
    <n v="12"/>
    <x v="2"/>
    <x v="0"/>
    <s v="Bacon, Pepperoni, Italian Sausage, Chorizo Sausage"/>
    <x v="19"/>
  </r>
  <r>
    <n v="1293"/>
    <n v="572"/>
    <n v="1"/>
    <s v="southw_ckn_m"/>
    <n v="1"/>
    <x v="9"/>
    <x v="2"/>
    <x v="388"/>
    <n v="16.75"/>
    <n v="16.75"/>
    <x v="0"/>
    <x v="3"/>
    <s v="Chicken, Tomatoes, Red Peppers, Red Onions, Jalapeno Peppers, Corn, Cilantro, Chipotle Sauce"/>
    <x v="15"/>
  </r>
  <r>
    <n v="1294"/>
    <n v="573"/>
    <n v="0.5"/>
    <s v="classic_dlx_m"/>
    <n v="1"/>
    <x v="9"/>
    <x v="2"/>
    <x v="569"/>
    <n v="16"/>
    <n v="16"/>
    <x v="0"/>
    <x v="0"/>
    <s v="Pepperoni, Mushrooms, Red Onions, Red Peppers, Bacon"/>
    <x v="1"/>
  </r>
  <r>
    <n v="1295"/>
    <n v="573"/>
    <n v="0.5"/>
    <s v="five_cheese_l"/>
    <n v="1"/>
    <x v="9"/>
    <x v="2"/>
    <x v="569"/>
    <n v="18.5"/>
    <n v="18.5"/>
    <x v="1"/>
    <x v="1"/>
    <s v="Mozzarella Cheese, Provolone Cheese, Smoked Gouda Cheese, Romano Cheese, Blue Cheese, Garlic"/>
    <x v="2"/>
  </r>
  <r>
    <n v="1296"/>
    <n v="574"/>
    <n v="1"/>
    <s v="ital_veggie_m"/>
    <n v="1"/>
    <x v="9"/>
    <x v="2"/>
    <x v="570"/>
    <n v="16.75"/>
    <n v="16.75"/>
    <x v="0"/>
    <x v="1"/>
    <s v="Eggplant, Artichokes, Tomatoes, Zucchini, Red Peppers, Garlic, Pesto Sauce"/>
    <x v="24"/>
  </r>
  <r>
    <n v="1297"/>
    <n v="575"/>
    <n v="0.25"/>
    <s v="classic_dlx_l"/>
    <n v="1"/>
    <x v="9"/>
    <x v="2"/>
    <x v="571"/>
    <n v="20.5"/>
    <n v="20.5"/>
    <x v="1"/>
    <x v="0"/>
    <s v="Pepperoni, Mushrooms, Red Onions, Red Peppers, Bacon"/>
    <x v="1"/>
  </r>
  <r>
    <n v="1298"/>
    <n v="575"/>
    <n v="0.25"/>
    <s v="napolitana_l"/>
    <n v="1"/>
    <x v="9"/>
    <x v="2"/>
    <x v="571"/>
    <n v="20.5"/>
    <n v="20.5"/>
    <x v="1"/>
    <x v="0"/>
    <s v="Tomatoes, Anchovies, Green Olives, Red Onions, Garlic"/>
    <x v="22"/>
  </r>
  <r>
    <n v="1299"/>
    <n v="575"/>
    <n v="0.25"/>
    <s v="pepperoni_l"/>
    <n v="1"/>
    <x v="9"/>
    <x v="2"/>
    <x v="571"/>
    <n v="15.25"/>
    <n v="15.25"/>
    <x v="1"/>
    <x v="0"/>
    <s v="Mozzarella Cheese, Pepperoni"/>
    <x v="17"/>
  </r>
  <r>
    <n v="1300"/>
    <n v="575"/>
    <n v="0.25"/>
    <s v="spinach_fet_m"/>
    <n v="1"/>
    <x v="9"/>
    <x v="2"/>
    <x v="571"/>
    <n v="16"/>
    <n v="16"/>
    <x v="0"/>
    <x v="1"/>
    <s v="Spinach, Mushrooms, Red Onions, Feta Cheese, Garlic"/>
    <x v="27"/>
  </r>
  <r>
    <n v="1301"/>
    <n v="576"/>
    <n v="0.33333333333333331"/>
    <s v="big_meat_s"/>
    <n v="1"/>
    <x v="9"/>
    <x v="2"/>
    <x v="572"/>
    <n v="12"/>
    <n v="12"/>
    <x v="2"/>
    <x v="0"/>
    <s v="Bacon, Pepperoni, Italian Sausage, Chorizo Sausage"/>
    <x v="19"/>
  </r>
  <r>
    <n v="1302"/>
    <n v="576"/>
    <n v="0.33333333333333331"/>
    <s v="ckn_alfredo_m"/>
    <n v="1"/>
    <x v="9"/>
    <x v="2"/>
    <x v="572"/>
    <n v="16.75"/>
    <n v="16.75"/>
    <x v="0"/>
    <x v="3"/>
    <s v="Chicken, Red Onions, Red Peppers, Mushrooms, Asiago Cheese, Alfredo Sauce"/>
    <x v="29"/>
  </r>
  <r>
    <n v="1303"/>
    <n v="576"/>
    <n v="0.33333333333333331"/>
    <s v="spinach_fet_s"/>
    <n v="1"/>
    <x v="9"/>
    <x v="2"/>
    <x v="572"/>
    <n v="12"/>
    <n v="12"/>
    <x v="2"/>
    <x v="1"/>
    <s v="Spinach, Mushrooms, Red Onions, Feta Cheese, Garlic"/>
    <x v="27"/>
  </r>
  <r>
    <n v="1304"/>
    <n v="577"/>
    <n v="0.5"/>
    <s v="spinach_fet_m"/>
    <n v="1"/>
    <x v="9"/>
    <x v="2"/>
    <x v="573"/>
    <n v="16"/>
    <n v="16"/>
    <x v="0"/>
    <x v="1"/>
    <s v="Spinach, Mushrooms, Red Onions, Feta Cheese, Garlic"/>
    <x v="27"/>
  </r>
  <r>
    <n v="1305"/>
    <n v="577"/>
    <n v="0.5"/>
    <s v="veggie_veg_l"/>
    <n v="1"/>
    <x v="9"/>
    <x v="2"/>
    <x v="573"/>
    <n v="20.25"/>
    <n v="20.25"/>
    <x v="1"/>
    <x v="1"/>
    <s v="Mushrooms, Tomatoes, Red Peppers, Green Peppers, Red Onions, Zucchini, Spinach, Garlic"/>
    <x v="14"/>
  </r>
  <r>
    <n v="1306"/>
    <n v="578"/>
    <n v="0.2"/>
    <s v="bbq_ckn_s"/>
    <n v="1"/>
    <x v="9"/>
    <x v="2"/>
    <x v="574"/>
    <n v="12.75"/>
    <n v="12.75"/>
    <x v="2"/>
    <x v="3"/>
    <s v="Barbecued Chicken, Red Peppers, Green Peppers, Tomatoes, Red Onions, Barbecue Sauce"/>
    <x v="7"/>
  </r>
  <r>
    <n v="1307"/>
    <n v="578"/>
    <n v="0.2"/>
    <s v="calabrese_m"/>
    <n v="1"/>
    <x v="9"/>
    <x v="2"/>
    <x v="574"/>
    <n v="16.25"/>
    <n v="16.25"/>
    <x v="0"/>
    <x v="2"/>
    <s v="?duja Salami, Pancetta, Tomatoes, Red Onions, Friggitello Peppers, Garlic"/>
    <x v="23"/>
  </r>
  <r>
    <n v="1308"/>
    <n v="578"/>
    <n v="0.2"/>
    <s v="pepperoni_l"/>
    <n v="1"/>
    <x v="9"/>
    <x v="2"/>
    <x v="574"/>
    <n v="15.25"/>
    <n v="15.25"/>
    <x v="1"/>
    <x v="0"/>
    <s v="Mozzarella Cheese, Pepperoni"/>
    <x v="17"/>
  </r>
  <r>
    <n v="1309"/>
    <n v="578"/>
    <n v="0.2"/>
    <s v="peppr_salami_m"/>
    <n v="1"/>
    <x v="9"/>
    <x v="2"/>
    <x v="574"/>
    <n v="16.5"/>
    <n v="16.5"/>
    <x v="0"/>
    <x v="2"/>
    <s v="Genoa Salami, Capocollo, Pepperoni, Tomatoes, Asiago Cheese, Garlic"/>
    <x v="26"/>
  </r>
  <r>
    <n v="1310"/>
    <n v="578"/>
    <n v="0.2"/>
    <s v="the_greek_xl"/>
    <n v="1"/>
    <x v="9"/>
    <x v="2"/>
    <x v="574"/>
    <n v="25.5"/>
    <n v="25.5"/>
    <x v="3"/>
    <x v="0"/>
    <s v="Kalamata Olives, Feta Cheese, Tomatoes, Garlic, Beef Chuck Roast, Red Onions"/>
    <x v="8"/>
  </r>
  <r>
    <n v="1311"/>
    <n v="579"/>
    <n v="1"/>
    <s v="green_garden_s"/>
    <n v="1"/>
    <x v="9"/>
    <x v="2"/>
    <x v="575"/>
    <n v="12"/>
    <n v="12"/>
    <x v="2"/>
    <x v="1"/>
    <s v="Spinach, Mushrooms, Tomatoes, Green Olives, Feta Cheese"/>
    <x v="10"/>
  </r>
  <r>
    <n v="1312"/>
    <n v="580"/>
    <n v="0.5"/>
    <s v="hawaiian_m"/>
    <n v="1"/>
    <x v="9"/>
    <x v="2"/>
    <x v="576"/>
    <n v="13.25"/>
    <n v="13.25"/>
    <x v="0"/>
    <x v="0"/>
    <s v="Sliced Ham, Pineapple, Mozzarella Cheese"/>
    <x v="0"/>
  </r>
  <r>
    <n v="1313"/>
    <n v="580"/>
    <n v="0.5"/>
    <s v="southw_ckn_m"/>
    <n v="1"/>
    <x v="9"/>
    <x v="2"/>
    <x v="576"/>
    <n v="16.75"/>
    <n v="16.75"/>
    <x v="0"/>
    <x v="3"/>
    <s v="Chicken, Tomatoes, Red Peppers, Red Onions, Jalapeno Peppers, Corn, Cilantro, Chipotle Sauce"/>
    <x v="15"/>
  </r>
  <r>
    <n v="1314"/>
    <n v="581"/>
    <n v="1"/>
    <s v="mexicana_l"/>
    <n v="1"/>
    <x v="9"/>
    <x v="2"/>
    <x v="577"/>
    <n v="20.25"/>
    <n v="20.25"/>
    <x v="1"/>
    <x v="1"/>
    <s v="Tomatoes, Red Peppers, Jalapeno Peppers, Red Onions, Cilantro, Corn, Chipotle Sauce, Garlic"/>
    <x v="4"/>
  </r>
  <r>
    <n v="1315"/>
    <n v="582"/>
    <n v="1"/>
    <s v="mediterraneo_l"/>
    <n v="1"/>
    <x v="9"/>
    <x v="2"/>
    <x v="578"/>
    <n v="20.25"/>
    <n v="20.25"/>
    <x v="1"/>
    <x v="1"/>
    <s v="Spinach, Artichokes, Kalamata Olives, Sun-dried Tomatoes, Feta Cheese, Plum Tomatoes, Red Onions"/>
    <x v="25"/>
  </r>
  <r>
    <n v="1316"/>
    <n v="583"/>
    <n v="1"/>
    <s v="ital_supr_l"/>
    <n v="1"/>
    <x v="9"/>
    <x v="2"/>
    <x v="579"/>
    <n v="20.75"/>
    <n v="20.75"/>
    <x v="1"/>
    <x v="2"/>
    <s v="Calabrese Salami, Capocollo, Tomatoes, Red Onions, Green Olives, Garlic"/>
    <x v="3"/>
  </r>
  <r>
    <n v="1317"/>
    <n v="584"/>
    <n v="0.5"/>
    <s v="sicilian_s"/>
    <n v="1"/>
    <x v="9"/>
    <x v="2"/>
    <x v="580"/>
    <n v="12.25"/>
    <n v="12.25"/>
    <x v="2"/>
    <x v="2"/>
    <s v="Coarse Sicilian Salami, Tomatoes, Green Olives, Luganega Sausage, Onions, Garlic"/>
    <x v="28"/>
  </r>
  <r>
    <n v="1318"/>
    <n v="584"/>
    <n v="0.5"/>
    <s v="soppressata_s"/>
    <n v="1"/>
    <x v="9"/>
    <x v="2"/>
    <x v="580"/>
    <n v="12.5"/>
    <n v="12.5"/>
    <x v="2"/>
    <x v="2"/>
    <s v="Soppressata Salami, Fontina Cheese, Mozzarella Cheese, Mushrooms, Garlic"/>
    <x v="20"/>
  </r>
  <r>
    <n v="1319"/>
    <n v="585"/>
    <n v="0.5"/>
    <s v="brie_carre_s"/>
    <n v="1"/>
    <x v="9"/>
    <x v="2"/>
    <x v="581"/>
    <n v="23.65"/>
    <n v="23.65"/>
    <x v="2"/>
    <x v="2"/>
    <s v="Brie Carre Cheese, Prosciutto, Caramelized Onions, Pears, Thyme, Garlic"/>
    <x v="31"/>
  </r>
  <r>
    <n v="1320"/>
    <n v="585"/>
    <n v="0.5"/>
    <s v="mexicana_l"/>
    <n v="1"/>
    <x v="9"/>
    <x v="2"/>
    <x v="581"/>
    <n v="20.25"/>
    <n v="20.25"/>
    <x v="1"/>
    <x v="1"/>
    <s v="Tomatoes, Red Peppers, Jalapeno Peppers, Red Onions, Cilantro, Corn, Chipotle Sauce, Garlic"/>
    <x v="4"/>
  </r>
  <r>
    <n v="1321"/>
    <n v="586"/>
    <n v="0.5"/>
    <s v="ital_cpcllo_m"/>
    <n v="1"/>
    <x v="9"/>
    <x v="2"/>
    <x v="582"/>
    <n v="16"/>
    <n v="16"/>
    <x v="0"/>
    <x v="0"/>
    <s v="Capocollo, Red Peppers, Tomatoes, Goat Cheese, Garlic, Oregano"/>
    <x v="11"/>
  </r>
  <r>
    <n v="1322"/>
    <n v="586"/>
    <n v="0.5"/>
    <s v="southw_ckn_m"/>
    <n v="1"/>
    <x v="9"/>
    <x v="2"/>
    <x v="582"/>
    <n v="16.75"/>
    <n v="16.75"/>
    <x v="0"/>
    <x v="3"/>
    <s v="Chicken, Tomatoes, Red Peppers, Red Onions, Jalapeno Peppers, Corn, Cilantro, Chipotle Sauce"/>
    <x v="15"/>
  </r>
  <r>
    <n v="1323"/>
    <n v="587"/>
    <n v="0.5"/>
    <s v="peppr_salami_l"/>
    <n v="1"/>
    <x v="9"/>
    <x v="2"/>
    <x v="583"/>
    <n v="20.75"/>
    <n v="20.75"/>
    <x v="1"/>
    <x v="2"/>
    <s v="Genoa Salami, Capocollo, Pepperoni, Tomatoes, Asiago Cheese, Garlic"/>
    <x v="26"/>
  </r>
  <r>
    <n v="1324"/>
    <n v="587"/>
    <n v="0.5"/>
    <s v="peppr_salami_s"/>
    <n v="1"/>
    <x v="9"/>
    <x v="2"/>
    <x v="583"/>
    <n v="12.5"/>
    <n v="12.5"/>
    <x v="2"/>
    <x v="2"/>
    <s v="Genoa Salami, Capocollo, Pepperoni, Tomatoes, Asiago Cheese, Garlic"/>
    <x v="26"/>
  </r>
  <r>
    <n v="1325"/>
    <n v="588"/>
    <n v="1"/>
    <s v="cali_ckn_s"/>
    <n v="1"/>
    <x v="9"/>
    <x v="2"/>
    <x v="584"/>
    <n v="12.75"/>
    <n v="12.75"/>
    <x v="2"/>
    <x v="3"/>
    <s v="Chicken, Artichoke, Spinach, Garlic, Jalapeno Peppers, Fontina Cheese, Gouda Cheese"/>
    <x v="16"/>
  </r>
  <r>
    <n v="1326"/>
    <n v="589"/>
    <n v="0.33333333333333331"/>
    <s v="ital_supr_s"/>
    <n v="1"/>
    <x v="9"/>
    <x v="2"/>
    <x v="585"/>
    <n v="12.5"/>
    <n v="12.5"/>
    <x v="2"/>
    <x v="2"/>
    <s v="Calabrese Salami, Capocollo, Tomatoes, Red Onions, Green Olives, Garlic"/>
    <x v="3"/>
  </r>
  <r>
    <n v="1327"/>
    <n v="589"/>
    <n v="0.33333333333333331"/>
    <s v="mediterraneo_m"/>
    <n v="1"/>
    <x v="9"/>
    <x v="2"/>
    <x v="585"/>
    <n v="16"/>
    <n v="16"/>
    <x v="0"/>
    <x v="1"/>
    <s v="Spinach, Artichokes, Kalamata Olives, Sun-dried Tomatoes, Feta Cheese, Plum Tomatoes, Red Onions"/>
    <x v="25"/>
  </r>
  <r>
    <n v="1328"/>
    <n v="589"/>
    <n v="0.33333333333333331"/>
    <s v="veggie_veg_s"/>
    <n v="1"/>
    <x v="9"/>
    <x v="2"/>
    <x v="585"/>
    <n v="12"/>
    <n v="12"/>
    <x v="2"/>
    <x v="1"/>
    <s v="Mushrooms, Tomatoes, Red Peppers, Green Peppers, Red Onions, Zucchini, Spinach, Garlic"/>
    <x v="14"/>
  </r>
  <r>
    <n v="1329"/>
    <n v="590"/>
    <n v="1"/>
    <s v="five_cheese_l"/>
    <n v="1"/>
    <x v="9"/>
    <x v="2"/>
    <x v="586"/>
    <n v="18.5"/>
    <n v="18.5"/>
    <x v="1"/>
    <x v="1"/>
    <s v="Mozzarella Cheese, Provolone Cheese, Smoked Gouda Cheese, Romano Cheese, Blue Cheese, Garlic"/>
    <x v="2"/>
  </r>
  <r>
    <n v="1330"/>
    <n v="591"/>
    <n v="0.33333333333333331"/>
    <s v="four_cheese_l"/>
    <n v="1"/>
    <x v="9"/>
    <x v="2"/>
    <x v="587"/>
    <n v="17.95"/>
    <n v="17.95"/>
    <x v="1"/>
    <x v="1"/>
    <s v="Ricotta Cheese, Gorgonzola Piccante Cheese, Mozzarella Cheese, Parmigiano Reggiano Cheese, Garlic"/>
    <x v="21"/>
  </r>
  <r>
    <n v="1331"/>
    <n v="591"/>
    <n v="0.33333333333333331"/>
    <s v="southw_ckn_s"/>
    <n v="1"/>
    <x v="9"/>
    <x v="2"/>
    <x v="587"/>
    <n v="12.75"/>
    <n v="12.75"/>
    <x v="2"/>
    <x v="3"/>
    <s v="Chicken, Tomatoes, Red Peppers, Red Onions, Jalapeno Peppers, Corn, Cilantro, Chipotle Sauce"/>
    <x v="15"/>
  </r>
  <r>
    <n v="1332"/>
    <n v="591"/>
    <n v="0.33333333333333331"/>
    <s v="spin_pesto_l"/>
    <n v="1"/>
    <x v="9"/>
    <x v="2"/>
    <x v="587"/>
    <n v="20.75"/>
    <n v="20.75"/>
    <x v="1"/>
    <x v="1"/>
    <s v="Spinach, Artichokes, Tomatoes, Sun-dried Tomatoes, Garlic, Pesto Sauce"/>
    <x v="13"/>
  </r>
  <r>
    <n v="1333"/>
    <n v="592"/>
    <n v="0.33333333333333331"/>
    <s v="ital_veggie_s"/>
    <n v="1"/>
    <x v="9"/>
    <x v="2"/>
    <x v="588"/>
    <n v="12.75"/>
    <n v="12.75"/>
    <x v="2"/>
    <x v="1"/>
    <s v="Eggplant, Artichokes, Tomatoes, Zucchini, Red Peppers, Garlic, Pesto Sauce"/>
    <x v="24"/>
  </r>
  <r>
    <n v="1334"/>
    <n v="592"/>
    <n v="0.33333333333333331"/>
    <s v="pep_msh_pep_m"/>
    <n v="1"/>
    <x v="9"/>
    <x v="2"/>
    <x v="588"/>
    <n v="14.5"/>
    <n v="14.5"/>
    <x v="0"/>
    <x v="0"/>
    <s v="Pepperoni, Mushrooms, Green Peppers"/>
    <x v="30"/>
  </r>
  <r>
    <n v="1335"/>
    <n v="592"/>
    <n v="0.33333333333333331"/>
    <s v="thai_ckn_l"/>
    <n v="1"/>
    <x v="9"/>
    <x v="2"/>
    <x v="588"/>
    <n v="20.75"/>
    <n v="20.75"/>
    <x v="1"/>
    <x v="3"/>
    <s v="Chicken, Pineapple, Tomatoes, Red Peppers, Thai Sweet Chilli Sauce"/>
    <x v="5"/>
  </r>
  <r>
    <n v="1336"/>
    <n v="593"/>
    <n v="0.5"/>
    <s v="cali_ckn_l"/>
    <n v="1"/>
    <x v="9"/>
    <x v="2"/>
    <x v="589"/>
    <n v="20.75"/>
    <n v="20.75"/>
    <x v="1"/>
    <x v="3"/>
    <s v="Chicken, Artichoke, Spinach, Garlic, Jalapeno Peppers, Fontina Cheese, Gouda Cheese"/>
    <x v="16"/>
  </r>
  <r>
    <n v="1337"/>
    <n v="593"/>
    <n v="0.5"/>
    <s v="spicy_ital_l"/>
    <n v="1"/>
    <x v="9"/>
    <x v="2"/>
    <x v="589"/>
    <n v="20.75"/>
    <n v="20.75"/>
    <x v="1"/>
    <x v="2"/>
    <s v="Capocollo, Tomatoes, Goat Cheese, Artichokes, Peperoncini verdi, Garlic"/>
    <x v="12"/>
  </r>
  <r>
    <n v="1338"/>
    <n v="594"/>
    <n v="1"/>
    <s v="calabrese_l"/>
    <n v="1"/>
    <x v="9"/>
    <x v="2"/>
    <x v="590"/>
    <n v="20.25"/>
    <n v="20.25"/>
    <x v="1"/>
    <x v="2"/>
    <s v="?duja Salami, Pancetta, Tomatoes, Red Onions, Friggitello Peppers, Garlic"/>
    <x v="23"/>
  </r>
  <r>
    <n v="1339"/>
    <n v="595"/>
    <n v="0.5"/>
    <s v="classic_dlx_l"/>
    <n v="1"/>
    <x v="9"/>
    <x v="2"/>
    <x v="591"/>
    <n v="20.5"/>
    <n v="20.5"/>
    <x v="1"/>
    <x v="0"/>
    <s v="Pepperoni, Mushrooms, Red Onions, Red Peppers, Bacon"/>
    <x v="1"/>
  </r>
  <r>
    <n v="1340"/>
    <n v="595"/>
    <n v="0.5"/>
    <s v="prsc_argla_m"/>
    <n v="1"/>
    <x v="9"/>
    <x v="2"/>
    <x v="591"/>
    <n v="16.5"/>
    <n v="16.5"/>
    <x v="0"/>
    <x v="2"/>
    <s v="Prosciutto di San Daniele, Arugula, Mozzarella Cheese"/>
    <x v="6"/>
  </r>
  <r>
    <n v="1341"/>
    <n v="596"/>
    <n v="0.5"/>
    <s v="pep_msh_pep_s"/>
    <n v="1"/>
    <x v="9"/>
    <x v="2"/>
    <x v="592"/>
    <n v="11"/>
    <n v="11"/>
    <x v="2"/>
    <x v="0"/>
    <s v="Pepperoni, Mushrooms, Green Peppers"/>
    <x v="30"/>
  </r>
  <r>
    <n v="1342"/>
    <n v="596"/>
    <n v="0.5"/>
    <s v="soppressata_s"/>
    <n v="1"/>
    <x v="9"/>
    <x v="2"/>
    <x v="592"/>
    <n v="12.5"/>
    <n v="12.5"/>
    <x v="2"/>
    <x v="2"/>
    <s v="Soppressata Salami, Fontina Cheese, Mozzarella Cheese, Mushrooms, Garlic"/>
    <x v="20"/>
  </r>
  <r>
    <n v="1343"/>
    <n v="597"/>
    <n v="0.33333333333333331"/>
    <s v="cali_ckn_l"/>
    <n v="1"/>
    <x v="9"/>
    <x v="2"/>
    <x v="593"/>
    <n v="20.75"/>
    <n v="20.75"/>
    <x v="1"/>
    <x v="3"/>
    <s v="Chicken, Artichoke, Spinach, Garlic, Jalapeno Peppers, Fontina Cheese, Gouda Cheese"/>
    <x v="16"/>
  </r>
  <r>
    <n v="1344"/>
    <n v="597"/>
    <n v="0.33333333333333331"/>
    <s v="prsc_argla_m"/>
    <n v="1"/>
    <x v="9"/>
    <x v="2"/>
    <x v="593"/>
    <n v="16.5"/>
    <n v="16.5"/>
    <x v="0"/>
    <x v="2"/>
    <s v="Prosciutto di San Daniele, Arugula, Mozzarella Cheese"/>
    <x v="6"/>
  </r>
  <r>
    <n v="1345"/>
    <n v="597"/>
    <n v="0.33333333333333331"/>
    <s v="spicy_ital_m"/>
    <n v="1"/>
    <x v="9"/>
    <x v="2"/>
    <x v="593"/>
    <n v="16.5"/>
    <n v="16.5"/>
    <x v="0"/>
    <x v="2"/>
    <s v="Capocollo, Tomatoes, Goat Cheese, Artichokes, Peperoncini verdi, Garlic"/>
    <x v="12"/>
  </r>
  <r>
    <n v="1346"/>
    <n v="598"/>
    <n v="1"/>
    <s v="prsc_argla_l"/>
    <n v="1"/>
    <x v="9"/>
    <x v="2"/>
    <x v="594"/>
    <n v="20.75"/>
    <n v="20.75"/>
    <x v="1"/>
    <x v="2"/>
    <s v="Prosciutto di San Daniele, Arugula, Mozzarella Cheese"/>
    <x v="6"/>
  </r>
  <r>
    <n v="1347"/>
    <n v="599"/>
    <n v="1"/>
    <s v="peppr_salami_l"/>
    <n v="1"/>
    <x v="9"/>
    <x v="2"/>
    <x v="595"/>
    <n v="20.75"/>
    <n v="20.75"/>
    <x v="1"/>
    <x v="2"/>
    <s v="Genoa Salami, Capocollo, Pepperoni, Tomatoes, Asiago Cheese, Garlic"/>
    <x v="26"/>
  </r>
  <r>
    <n v="1348"/>
    <n v="600"/>
    <n v="0.25"/>
    <s v="classic_dlx_s"/>
    <n v="1"/>
    <x v="9"/>
    <x v="2"/>
    <x v="596"/>
    <n v="12"/>
    <n v="12"/>
    <x v="2"/>
    <x v="0"/>
    <s v="Pepperoni, Mushrooms, Red Onions, Red Peppers, Bacon"/>
    <x v="1"/>
  </r>
  <r>
    <n v="1349"/>
    <n v="600"/>
    <n v="0.25"/>
    <s v="four_cheese_l"/>
    <n v="1"/>
    <x v="9"/>
    <x v="2"/>
    <x v="596"/>
    <n v="17.95"/>
    <n v="17.95"/>
    <x v="1"/>
    <x v="1"/>
    <s v="Ricotta Cheese, Gorgonzola Piccante Cheese, Mozzarella Cheese, Parmigiano Reggiano Cheese, Garlic"/>
    <x v="21"/>
  </r>
  <r>
    <n v="1350"/>
    <n v="600"/>
    <n v="0.25"/>
    <s v="mediterraneo_m"/>
    <n v="1"/>
    <x v="9"/>
    <x v="2"/>
    <x v="596"/>
    <n v="16"/>
    <n v="16"/>
    <x v="0"/>
    <x v="1"/>
    <s v="Spinach, Artichokes, Kalamata Olives, Sun-dried Tomatoes, Feta Cheese, Plum Tomatoes, Red Onions"/>
    <x v="25"/>
  </r>
  <r>
    <n v="1351"/>
    <n v="600"/>
    <n v="0.25"/>
    <s v="mexicana_m"/>
    <n v="1"/>
    <x v="9"/>
    <x v="2"/>
    <x v="596"/>
    <n v="16"/>
    <n v="16"/>
    <x v="0"/>
    <x v="1"/>
    <s v="Tomatoes, Red Peppers, Jalapeno Peppers, Red Onions, Cilantro, Corn, Chipotle Sauce, Garlic"/>
    <x v="4"/>
  </r>
  <r>
    <n v="1352"/>
    <n v="601"/>
    <n v="0.33333333333333331"/>
    <s v="bbq_ckn_l"/>
    <n v="1"/>
    <x v="9"/>
    <x v="2"/>
    <x v="597"/>
    <n v="20.75"/>
    <n v="20.75"/>
    <x v="1"/>
    <x v="3"/>
    <s v="Barbecued Chicken, Red Peppers, Green Peppers, Tomatoes, Red Onions, Barbecue Sauce"/>
    <x v="7"/>
  </r>
  <r>
    <n v="1353"/>
    <n v="601"/>
    <n v="0.33333333333333331"/>
    <s v="classic_dlx_s"/>
    <n v="1"/>
    <x v="9"/>
    <x v="2"/>
    <x v="597"/>
    <n v="12"/>
    <n v="12"/>
    <x v="2"/>
    <x v="0"/>
    <s v="Pepperoni, Mushrooms, Red Onions, Red Peppers, Bacon"/>
    <x v="1"/>
  </r>
  <r>
    <n v="1354"/>
    <n v="601"/>
    <n v="0.33333333333333331"/>
    <s v="spin_pesto_m"/>
    <n v="1"/>
    <x v="9"/>
    <x v="2"/>
    <x v="597"/>
    <n v="16.5"/>
    <n v="16.5"/>
    <x v="0"/>
    <x v="1"/>
    <s v="Spinach, Artichokes, Tomatoes, Sun-dried Tomatoes, Garlic, Pesto Sauce"/>
    <x v="13"/>
  </r>
  <r>
    <n v="1355"/>
    <n v="602"/>
    <n v="1"/>
    <s v="peppr_salami_l"/>
    <n v="1"/>
    <x v="9"/>
    <x v="2"/>
    <x v="598"/>
    <n v="20.75"/>
    <n v="20.75"/>
    <x v="1"/>
    <x v="2"/>
    <s v="Genoa Salami, Capocollo, Pepperoni, Tomatoes, Asiago Cheese, Garlic"/>
    <x v="26"/>
  </r>
  <r>
    <n v="1356"/>
    <n v="603"/>
    <n v="1"/>
    <s v="mexicana_m"/>
    <n v="1"/>
    <x v="9"/>
    <x v="2"/>
    <x v="599"/>
    <n v="16"/>
    <n v="16"/>
    <x v="0"/>
    <x v="1"/>
    <s v="Tomatoes, Red Peppers, Jalapeno Peppers, Red Onions, Cilantro, Corn, Chipotle Sauce, Garlic"/>
    <x v="4"/>
  </r>
  <r>
    <n v="1357"/>
    <n v="604"/>
    <n v="0.5"/>
    <s v="soppressata_s"/>
    <n v="1"/>
    <x v="9"/>
    <x v="2"/>
    <x v="600"/>
    <n v="12.5"/>
    <n v="12.5"/>
    <x v="2"/>
    <x v="2"/>
    <s v="Soppressata Salami, Fontina Cheese, Mozzarella Cheese, Mushrooms, Garlic"/>
    <x v="20"/>
  </r>
  <r>
    <n v="1358"/>
    <n v="604"/>
    <n v="0.5"/>
    <s v="spinach_supr_m"/>
    <n v="1"/>
    <x v="9"/>
    <x v="2"/>
    <x v="600"/>
    <n v="16.5"/>
    <n v="16.5"/>
    <x v="0"/>
    <x v="2"/>
    <s v="Spinach, Red Onions, Pepperoni, Tomatoes, Artichokes, Kalamata Olives, Garlic, Asiago Cheese"/>
    <x v="9"/>
  </r>
  <r>
    <n v="1359"/>
    <n v="605"/>
    <n v="0.5"/>
    <s v="pepperoni_m"/>
    <n v="1"/>
    <x v="9"/>
    <x v="2"/>
    <x v="601"/>
    <n v="12.5"/>
    <n v="12.5"/>
    <x v="0"/>
    <x v="0"/>
    <s v="Mozzarella Cheese, Pepperoni"/>
    <x v="17"/>
  </r>
  <r>
    <n v="1360"/>
    <n v="605"/>
    <n v="0.5"/>
    <s v="the_greek_xl"/>
    <n v="1"/>
    <x v="9"/>
    <x v="2"/>
    <x v="601"/>
    <n v="25.5"/>
    <n v="25.5"/>
    <x v="3"/>
    <x v="0"/>
    <s v="Kalamata Olives, Feta Cheese, Tomatoes, Garlic, Beef Chuck Roast, Red Onions"/>
    <x v="8"/>
  </r>
  <r>
    <n v="1361"/>
    <n v="606"/>
    <n v="1"/>
    <s v="pepperoni_l"/>
    <n v="1"/>
    <x v="9"/>
    <x v="2"/>
    <x v="602"/>
    <n v="15.25"/>
    <n v="15.25"/>
    <x v="1"/>
    <x v="0"/>
    <s v="Mozzarella Cheese, Pepperoni"/>
    <x v="17"/>
  </r>
  <r>
    <n v="1362"/>
    <n v="607"/>
    <n v="0.33333333333333331"/>
    <s v="bbq_ckn_m"/>
    <n v="1"/>
    <x v="9"/>
    <x v="2"/>
    <x v="603"/>
    <n v="16.75"/>
    <n v="16.75"/>
    <x v="0"/>
    <x v="3"/>
    <s v="Barbecued Chicken, Red Peppers, Green Peppers, Tomatoes, Red Onions, Barbecue Sauce"/>
    <x v="7"/>
  </r>
  <r>
    <n v="1363"/>
    <n v="607"/>
    <n v="0.33333333333333331"/>
    <s v="ital_supr_m"/>
    <n v="1"/>
    <x v="9"/>
    <x v="2"/>
    <x v="603"/>
    <n v="16.5"/>
    <n v="16.5"/>
    <x v="0"/>
    <x v="2"/>
    <s v="Calabrese Salami, Capocollo, Tomatoes, Red Onions, Green Olives, Garlic"/>
    <x v="3"/>
  </r>
  <r>
    <n v="1364"/>
    <n v="607"/>
    <n v="0.33333333333333331"/>
    <s v="spinach_supr_l"/>
    <n v="1"/>
    <x v="9"/>
    <x v="2"/>
    <x v="603"/>
    <n v="20.75"/>
    <n v="20.75"/>
    <x v="1"/>
    <x v="2"/>
    <s v="Spinach, Red Onions, Pepperoni, Tomatoes, Artichokes, Kalamata Olives, Garlic, Asiago Cheese"/>
    <x v="9"/>
  </r>
  <r>
    <n v="1365"/>
    <n v="608"/>
    <n v="0.25"/>
    <s v="hawaiian_l"/>
    <n v="1"/>
    <x v="9"/>
    <x v="2"/>
    <x v="604"/>
    <n v="16.5"/>
    <n v="16.5"/>
    <x v="1"/>
    <x v="0"/>
    <s v="Sliced Ham, Pineapple, Mozzarella Cheese"/>
    <x v="0"/>
  </r>
  <r>
    <n v="1366"/>
    <n v="608"/>
    <n v="0.25"/>
    <s v="pepperoni_m"/>
    <n v="1"/>
    <x v="9"/>
    <x v="2"/>
    <x v="604"/>
    <n v="12.5"/>
    <n v="12.5"/>
    <x v="0"/>
    <x v="0"/>
    <s v="Mozzarella Cheese, Pepperoni"/>
    <x v="17"/>
  </r>
  <r>
    <n v="1367"/>
    <n v="608"/>
    <n v="0.25"/>
    <s v="thai_ckn_l"/>
    <n v="1"/>
    <x v="9"/>
    <x v="2"/>
    <x v="604"/>
    <n v="20.75"/>
    <n v="20.75"/>
    <x v="1"/>
    <x v="3"/>
    <s v="Chicken, Pineapple, Tomatoes, Red Peppers, Thai Sweet Chilli Sauce"/>
    <x v="5"/>
  </r>
  <r>
    <n v="1368"/>
    <n v="608"/>
    <n v="0.25"/>
    <s v="thai_ckn_s"/>
    <n v="1"/>
    <x v="9"/>
    <x v="2"/>
    <x v="604"/>
    <n v="12.75"/>
    <n v="12.75"/>
    <x v="2"/>
    <x v="3"/>
    <s v="Chicken, Pineapple, Tomatoes, Red Peppers, Thai Sweet Chilli Sauce"/>
    <x v="5"/>
  </r>
  <r>
    <n v="1369"/>
    <n v="609"/>
    <n v="1"/>
    <s v="four_cheese_l"/>
    <n v="1"/>
    <x v="9"/>
    <x v="2"/>
    <x v="605"/>
    <n v="17.95"/>
    <n v="17.95"/>
    <x v="1"/>
    <x v="1"/>
    <s v="Ricotta Cheese, Gorgonzola Piccante Cheese, Mozzarella Cheese, Parmigiano Reggiano Cheese, Garlic"/>
    <x v="21"/>
  </r>
  <r>
    <n v="1370"/>
    <n v="610"/>
    <n v="0.5"/>
    <s v="big_meat_s"/>
    <n v="1"/>
    <x v="9"/>
    <x v="2"/>
    <x v="606"/>
    <n v="12"/>
    <n v="12"/>
    <x v="2"/>
    <x v="0"/>
    <s v="Bacon, Pepperoni, Italian Sausage, Chorizo Sausage"/>
    <x v="19"/>
  </r>
  <r>
    <n v="1371"/>
    <n v="610"/>
    <n v="0.5"/>
    <s v="pepperoni_l"/>
    <n v="1"/>
    <x v="9"/>
    <x v="2"/>
    <x v="606"/>
    <n v="15.25"/>
    <n v="15.25"/>
    <x v="1"/>
    <x v="0"/>
    <s v="Mozzarella Cheese, Pepperoni"/>
    <x v="17"/>
  </r>
  <r>
    <n v="1372"/>
    <n v="611"/>
    <n v="0.25"/>
    <s v="five_cheese_l"/>
    <n v="1"/>
    <x v="9"/>
    <x v="2"/>
    <x v="607"/>
    <n v="18.5"/>
    <n v="18.5"/>
    <x v="1"/>
    <x v="1"/>
    <s v="Mozzarella Cheese, Provolone Cheese, Smoked Gouda Cheese, Romano Cheese, Blue Cheese, Garlic"/>
    <x v="2"/>
  </r>
  <r>
    <n v="1373"/>
    <n v="611"/>
    <n v="0.25"/>
    <s v="mexicana_s"/>
    <n v="1"/>
    <x v="9"/>
    <x v="2"/>
    <x v="607"/>
    <n v="12"/>
    <n v="12"/>
    <x v="2"/>
    <x v="1"/>
    <s v="Tomatoes, Red Peppers, Jalapeno Peppers, Red Onions, Cilantro, Corn, Chipotle Sauce, Garlic"/>
    <x v="4"/>
  </r>
  <r>
    <n v="1374"/>
    <n v="611"/>
    <n v="0.25"/>
    <s v="southw_ckn_m"/>
    <n v="1"/>
    <x v="9"/>
    <x v="2"/>
    <x v="607"/>
    <n v="16.75"/>
    <n v="16.75"/>
    <x v="0"/>
    <x v="3"/>
    <s v="Chicken, Tomatoes, Red Peppers, Red Onions, Jalapeno Peppers, Corn, Cilantro, Chipotle Sauce"/>
    <x v="15"/>
  </r>
  <r>
    <n v="1375"/>
    <n v="611"/>
    <n v="0.25"/>
    <s v="the_greek_xl"/>
    <n v="1"/>
    <x v="9"/>
    <x v="2"/>
    <x v="607"/>
    <n v="25.5"/>
    <n v="25.5"/>
    <x v="3"/>
    <x v="0"/>
    <s v="Kalamata Olives, Feta Cheese, Tomatoes, Garlic, Beef Chuck Roast, Red Onions"/>
    <x v="8"/>
  </r>
  <r>
    <n v="1376"/>
    <n v="612"/>
    <n v="0.25"/>
    <s v="big_meat_s"/>
    <n v="1"/>
    <x v="9"/>
    <x v="2"/>
    <x v="608"/>
    <n v="12"/>
    <n v="12"/>
    <x v="2"/>
    <x v="0"/>
    <s v="Bacon, Pepperoni, Italian Sausage, Chorizo Sausage"/>
    <x v="19"/>
  </r>
  <r>
    <n v="1377"/>
    <n v="612"/>
    <n v="0.25"/>
    <s v="ital_supr_l"/>
    <n v="1"/>
    <x v="9"/>
    <x v="2"/>
    <x v="608"/>
    <n v="20.75"/>
    <n v="20.75"/>
    <x v="1"/>
    <x v="2"/>
    <s v="Calabrese Salami, Capocollo, Tomatoes, Red Onions, Green Olives, Garlic"/>
    <x v="3"/>
  </r>
  <r>
    <n v="1378"/>
    <n v="612"/>
    <n v="0.25"/>
    <s v="mexicana_l"/>
    <n v="1"/>
    <x v="9"/>
    <x v="2"/>
    <x v="608"/>
    <n v="20.25"/>
    <n v="20.25"/>
    <x v="1"/>
    <x v="1"/>
    <s v="Tomatoes, Red Peppers, Jalapeno Peppers, Red Onions, Cilantro, Corn, Chipotle Sauce, Garlic"/>
    <x v="4"/>
  </r>
  <r>
    <n v="1379"/>
    <n v="612"/>
    <n v="0.25"/>
    <s v="soppressata_s"/>
    <n v="1"/>
    <x v="9"/>
    <x v="2"/>
    <x v="608"/>
    <n v="12.5"/>
    <n v="12.5"/>
    <x v="2"/>
    <x v="2"/>
    <s v="Soppressata Salami, Fontina Cheese, Mozzarella Cheese, Mushrooms, Garlic"/>
    <x v="20"/>
  </r>
  <r>
    <n v="1380"/>
    <n v="613"/>
    <n v="1"/>
    <s v="napolitana_s"/>
    <n v="1"/>
    <x v="9"/>
    <x v="2"/>
    <x v="609"/>
    <n v="12"/>
    <n v="12"/>
    <x v="2"/>
    <x v="0"/>
    <s v="Tomatoes, Anchovies, Green Olives, Red Onions, Garlic"/>
    <x v="22"/>
  </r>
  <r>
    <n v="1381"/>
    <n v="614"/>
    <n v="1"/>
    <s v="peppr_salami_l"/>
    <n v="1"/>
    <x v="9"/>
    <x v="2"/>
    <x v="610"/>
    <n v="20.75"/>
    <n v="20.75"/>
    <x v="1"/>
    <x v="2"/>
    <s v="Genoa Salami, Capocollo, Pepperoni, Tomatoes, Asiago Cheese, Garlic"/>
    <x v="26"/>
  </r>
  <r>
    <n v="1382"/>
    <n v="615"/>
    <n v="0.5"/>
    <s v="cali_ckn_l"/>
    <n v="1"/>
    <x v="9"/>
    <x v="2"/>
    <x v="611"/>
    <n v="20.75"/>
    <n v="20.75"/>
    <x v="1"/>
    <x v="3"/>
    <s v="Chicken, Artichoke, Spinach, Garlic, Jalapeno Peppers, Fontina Cheese, Gouda Cheese"/>
    <x v="16"/>
  </r>
  <r>
    <n v="1383"/>
    <n v="615"/>
    <n v="0.5"/>
    <s v="pep_msh_pep_m"/>
    <n v="1"/>
    <x v="9"/>
    <x v="2"/>
    <x v="611"/>
    <n v="14.5"/>
    <n v="14.5"/>
    <x v="0"/>
    <x v="0"/>
    <s v="Pepperoni, Mushrooms, Green Peppers"/>
    <x v="30"/>
  </r>
  <r>
    <n v="1384"/>
    <n v="616"/>
    <n v="0.5"/>
    <s v="prsc_argla_l"/>
    <n v="1"/>
    <x v="9"/>
    <x v="2"/>
    <x v="612"/>
    <n v="20.75"/>
    <n v="20.75"/>
    <x v="1"/>
    <x v="2"/>
    <s v="Prosciutto di San Daniele, Arugula, Mozzarella Cheese"/>
    <x v="6"/>
  </r>
  <r>
    <n v="1385"/>
    <n v="616"/>
    <n v="0.5"/>
    <s v="veggie_veg_m"/>
    <n v="1"/>
    <x v="9"/>
    <x v="2"/>
    <x v="612"/>
    <n v="16"/>
    <n v="16"/>
    <x v="0"/>
    <x v="1"/>
    <s v="Mushrooms, Tomatoes, Red Peppers, Green Peppers, Red Onions, Zucchini, Spinach, Garlic"/>
    <x v="14"/>
  </r>
  <r>
    <n v="1386"/>
    <n v="617"/>
    <n v="0.5"/>
    <s v="ckn_pesto_l"/>
    <n v="1"/>
    <x v="9"/>
    <x v="2"/>
    <x v="613"/>
    <n v="20.75"/>
    <n v="20.75"/>
    <x v="1"/>
    <x v="3"/>
    <s v="Chicken, Tomatoes, Red Peppers, Spinach, Garlic, Pesto Sauce"/>
    <x v="18"/>
  </r>
  <r>
    <n v="1387"/>
    <n v="617"/>
    <n v="0.5"/>
    <s v="southw_ckn_m"/>
    <n v="1"/>
    <x v="9"/>
    <x v="2"/>
    <x v="613"/>
    <n v="16.75"/>
    <n v="16.75"/>
    <x v="0"/>
    <x v="3"/>
    <s v="Chicken, Tomatoes, Red Peppers, Red Onions, Jalapeno Peppers, Corn, Cilantro, Chipotle Sauce"/>
    <x v="15"/>
  </r>
  <r>
    <n v="1388"/>
    <n v="618"/>
    <n v="0.5"/>
    <s v="prsc_argla_m"/>
    <n v="1"/>
    <x v="9"/>
    <x v="2"/>
    <x v="614"/>
    <n v="16.5"/>
    <n v="16.5"/>
    <x v="0"/>
    <x v="2"/>
    <s v="Prosciutto di San Daniele, Arugula, Mozzarella Cheese"/>
    <x v="6"/>
  </r>
  <r>
    <n v="1389"/>
    <n v="618"/>
    <n v="0.5"/>
    <s v="spin_pesto_m"/>
    <n v="1"/>
    <x v="9"/>
    <x v="2"/>
    <x v="614"/>
    <n v="16.5"/>
    <n v="16.5"/>
    <x v="0"/>
    <x v="1"/>
    <s v="Spinach, Artichokes, Tomatoes, Sun-dried Tomatoes, Garlic, Pesto Sauce"/>
    <x v="13"/>
  </r>
  <r>
    <n v="1390"/>
    <n v="619"/>
    <n v="1"/>
    <s v="ital_cpcllo_l"/>
    <n v="1"/>
    <x v="9"/>
    <x v="2"/>
    <x v="615"/>
    <n v="20.5"/>
    <n v="20.5"/>
    <x v="1"/>
    <x v="0"/>
    <s v="Capocollo, Red Peppers, Tomatoes, Goat Cheese, Garlic, Oregano"/>
    <x v="11"/>
  </r>
  <r>
    <n v="1391"/>
    <n v="620"/>
    <n v="0.25"/>
    <s v="bbq_ckn_l"/>
    <n v="1"/>
    <x v="9"/>
    <x v="2"/>
    <x v="616"/>
    <n v="20.75"/>
    <n v="20.75"/>
    <x v="1"/>
    <x v="3"/>
    <s v="Barbecued Chicken, Red Peppers, Green Peppers, Tomatoes, Red Onions, Barbecue Sauce"/>
    <x v="7"/>
  </r>
  <r>
    <n v="1392"/>
    <n v="620"/>
    <n v="0.25"/>
    <s v="cali_ckn_m"/>
    <n v="1"/>
    <x v="9"/>
    <x v="2"/>
    <x v="616"/>
    <n v="16.75"/>
    <n v="16.75"/>
    <x v="0"/>
    <x v="3"/>
    <s v="Chicken, Artichoke, Spinach, Garlic, Jalapeno Peppers, Fontina Cheese, Gouda Cheese"/>
    <x v="16"/>
  </r>
  <r>
    <n v="1393"/>
    <n v="620"/>
    <n v="0.25"/>
    <s v="peppr_salami_m"/>
    <n v="1"/>
    <x v="9"/>
    <x v="2"/>
    <x v="616"/>
    <n v="16.5"/>
    <n v="16.5"/>
    <x v="0"/>
    <x v="2"/>
    <s v="Genoa Salami, Capocollo, Pepperoni, Tomatoes, Asiago Cheese, Garlic"/>
    <x v="26"/>
  </r>
  <r>
    <n v="1394"/>
    <n v="620"/>
    <n v="0.25"/>
    <s v="the_greek_s"/>
    <n v="1"/>
    <x v="9"/>
    <x v="2"/>
    <x v="616"/>
    <n v="12"/>
    <n v="12"/>
    <x v="2"/>
    <x v="0"/>
    <s v="Kalamata Olives, Feta Cheese, Tomatoes, Garlic, Beef Chuck Roast, Red Onions"/>
    <x v="8"/>
  </r>
  <r>
    <n v="1395"/>
    <n v="621"/>
    <n v="0.25"/>
    <s v="calabrese_m"/>
    <n v="1"/>
    <x v="9"/>
    <x v="2"/>
    <x v="617"/>
    <n v="16.25"/>
    <n v="16.25"/>
    <x v="0"/>
    <x v="2"/>
    <s v="?duja Salami, Pancetta, Tomatoes, Red Onions, Friggitello Peppers, Garlic"/>
    <x v="23"/>
  </r>
  <r>
    <n v="1396"/>
    <n v="621"/>
    <n v="0.25"/>
    <s v="four_cheese_l"/>
    <n v="1"/>
    <x v="9"/>
    <x v="2"/>
    <x v="617"/>
    <n v="17.95"/>
    <n v="17.95"/>
    <x v="1"/>
    <x v="1"/>
    <s v="Ricotta Cheese, Gorgonzola Piccante Cheese, Mozzarella Cheese, Parmigiano Reggiano Cheese, Garlic"/>
    <x v="21"/>
  </r>
  <r>
    <n v="1397"/>
    <n v="621"/>
    <n v="0.25"/>
    <s v="mexicana_l"/>
    <n v="1"/>
    <x v="9"/>
    <x v="2"/>
    <x v="617"/>
    <n v="20.25"/>
    <n v="20.25"/>
    <x v="1"/>
    <x v="1"/>
    <s v="Tomatoes, Red Peppers, Jalapeno Peppers, Red Onions, Cilantro, Corn, Chipotle Sauce, Garlic"/>
    <x v="4"/>
  </r>
  <r>
    <n v="1398"/>
    <n v="621"/>
    <n v="0.25"/>
    <s v="spicy_ital_l"/>
    <n v="1"/>
    <x v="9"/>
    <x v="2"/>
    <x v="617"/>
    <n v="20.75"/>
    <n v="20.75"/>
    <x v="1"/>
    <x v="2"/>
    <s v="Capocollo, Tomatoes, Goat Cheese, Artichokes, Peperoncini verdi, Garlic"/>
    <x v="12"/>
  </r>
  <r>
    <n v="1399"/>
    <n v="622"/>
    <n v="0.5"/>
    <s v="ital_supr_m"/>
    <n v="1"/>
    <x v="9"/>
    <x v="2"/>
    <x v="618"/>
    <n v="16.5"/>
    <n v="16.5"/>
    <x v="0"/>
    <x v="2"/>
    <s v="Calabrese Salami, Capocollo, Tomatoes, Red Onions, Green Olives, Garlic"/>
    <x v="3"/>
  </r>
  <r>
    <n v="1400"/>
    <n v="622"/>
    <n v="0.5"/>
    <s v="spicy_ital_l"/>
    <n v="1"/>
    <x v="9"/>
    <x v="2"/>
    <x v="618"/>
    <n v="20.75"/>
    <n v="20.75"/>
    <x v="1"/>
    <x v="2"/>
    <s v="Capocollo, Tomatoes, Goat Cheese, Artichokes, Peperoncini verdi, Garlic"/>
    <x v="12"/>
  </r>
  <r>
    <n v="1401"/>
    <n v="623"/>
    <n v="0.5"/>
    <s v="cali_ckn_l"/>
    <n v="1"/>
    <x v="9"/>
    <x v="2"/>
    <x v="619"/>
    <n v="20.75"/>
    <n v="20.75"/>
    <x v="1"/>
    <x v="3"/>
    <s v="Chicken, Artichoke, Spinach, Garlic, Jalapeno Peppers, Fontina Cheese, Gouda Cheese"/>
    <x v="16"/>
  </r>
  <r>
    <n v="1402"/>
    <n v="623"/>
    <n v="0.5"/>
    <s v="hawaiian_l"/>
    <n v="1"/>
    <x v="9"/>
    <x v="2"/>
    <x v="619"/>
    <n v="16.5"/>
    <n v="16.5"/>
    <x v="1"/>
    <x v="0"/>
    <s v="Sliced Ham, Pineapple, Mozzarella Cheese"/>
    <x v="0"/>
  </r>
  <r>
    <n v="1403"/>
    <n v="624"/>
    <n v="0.5"/>
    <s v="cali_ckn_m"/>
    <n v="1"/>
    <x v="9"/>
    <x v="2"/>
    <x v="620"/>
    <n v="16.75"/>
    <n v="16.75"/>
    <x v="0"/>
    <x v="3"/>
    <s v="Chicken, Artichoke, Spinach, Garlic, Jalapeno Peppers, Fontina Cheese, Gouda Cheese"/>
    <x v="16"/>
  </r>
  <r>
    <n v="1404"/>
    <n v="624"/>
    <n v="0.5"/>
    <s v="veggie_veg_m"/>
    <n v="1"/>
    <x v="9"/>
    <x v="2"/>
    <x v="620"/>
    <n v="16"/>
    <n v="16"/>
    <x v="0"/>
    <x v="1"/>
    <s v="Mushrooms, Tomatoes, Red Peppers, Green Peppers, Red Onions, Zucchini, Spinach, Garlic"/>
    <x v="14"/>
  </r>
  <r>
    <n v="1405"/>
    <n v="625"/>
    <n v="0.5"/>
    <s v="spinach_fet_l"/>
    <n v="1"/>
    <x v="9"/>
    <x v="2"/>
    <x v="621"/>
    <n v="20.25"/>
    <n v="20.25"/>
    <x v="1"/>
    <x v="1"/>
    <s v="Spinach, Mushrooms, Red Onions, Feta Cheese, Garlic"/>
    <x v="27"/>
  </r>
  <r>
    <n v="1406"/>
    <n v="625"/>
    <n v="0.5"/>
    <s v="spinach_supr_m"/>
    <n v="1"/>
    <x v="9"/>
    <x v="2"/>
    <x v="621"/>
    <n v="16.5"/>
    <n v="16.5"/>
    <x v="0"/>
    <x v="2"/>
    <s v="Spinach, Red Onions, Pepperoni, Tomatoes, Artichokes, Kalamata Olives, Garlic, Asiago Cheese"/>
    <x v="9"/>
  </r>
  <r>
    <n v="1407"/>
    <n v="626"/>
    <n v="0.5"/>
    <s v="classic_dlx_m"/>
    <n v="1"/>
    <x v="9"/>
    <x v="2"/>
    <x v="622"/>
    <n v="16"/>
    <n v="16"/>
    <x v="0"/>
    <x v="0"/>
    <s v="Pepperoni, Mushrooms, Red Onions, Red Peppers, Bacon"/>
    <x v="1"/>
  </r>
  <r>
    <n v="1408"/>
    <n v="626"/>
    <n v="0.5"/>
    <s v="four_cheese_m"/>
    <n v="1"/>
    <x v="9"/>
    <x v="2"/>
    <x v="622"/>
    <n v="14.75"/>
    <n v="14.75"/>
    <x v="0"/>
    <x v="1"/>
    <s v="Ricotta Cheese, Gorgonzola Piccante Cheese, Mozzarella Cheese, Parmigiano Reggiano Cheese, Garlic"/>
    <x v="21"/>
  </r>
  <r>
    <n v="1409"/>
    <n v="627"/>
    <n v="0.5"/>
    <s v="the_greek_l"/>
    <n v="1"/>
    <x v="9"/>
    <x v="2"/>
    <x v="623"/>
    <n v="20.5"/>
    <n v="20.5"/>
    <x v="1"/>
    <x v="0"/>
    <s v="Kalamata Olives, Feta Cheese, Tomatoes, Garlic, Beef Chuck Roast, Red Onions"/>
    <x v="8"/>
  </r>
  <r>
    <n v="1410"/>
    <n v="627"/>
    <n v="0.5"/>
    <s v="the_greek_m"/>
    <n v="1"/>
    <x v="9"/>
    <x v="2"/>
    <x v="623"/>
    <n v="16"/>
    <n v="16"/>
    <x v="0"/>
    <x v="0"/>
    <s v="Kalamata Olives, Feta Cheese, Tomatoes, Garlic, Beef Chuck Roast, Red Onions"/>
    <x v="8"/>
  </r>
  <r>
    <n v="1411"/>
    <n v="628"/>
    <n v="0.25"/>
    <s v="classic_dlx_l"/>
    <n v="1"/>
    <x v="9"/>
    <x v="2"/>
    <x v="624"/>
    <n v="20.5"/>
    <n v="20.5"/>
    <x v="1"/>
    <x v="0"/>
    <s v="Pepperoni, Mushrooms, Red Onions, Red Peppers, Bacon"/>
    <x v="1"/>
  </r>
  <r>
    <n v="1412"/>
    <n v="628"/>
    <n v="0.25"/>
    <s v="ital_veggie_s"/>
    <n v="1"/>
    <x v="9"/>
    <x v="2"/>
    <x v="624"/>
    <n v="12.75"/>
    <n v="12.75"/>
    <x v="2"/>
    <x v="1"/>
    <s v="Eggplant, Artichokes, Tomatoes, Zucchini, Red Peppers, Garlic, Pesto Sauce"/>
    <x v="24"/>
  </r>
  <r>
    <n v="1413"/>
    <n v="628"/>
    <n v="0.25"/>
    <s v="the_greek_s"/>
    <n v="1"/>
    <x v="9"/>
    <x v="2"/>
    <x v="624"/>
    <n v="12"/>
    <n v="12"/>
    <x v="2"/>
    <x v="0"/>
    <s v="Kalamata Olives, Feta Cheese, Tomatoes, Garlic, Beef Chuck Roast, Red Onions"/>
    <x v="8"/>
  </r>
  <r>
    <n v="1414"/>
    <n v="628"/>
    <n v="0.25"/>
    <s v="veggie_veg_s"/>
    <n v="1"/>
    <x v="9"/>
    <x v="2"/>
    <x v="624"/>
    <n v="12"/>
    <n v="12"/>
    <x v="2"/>
    <x v="1"/>
    <s v="Mushrooms, Tomatoes, Red Peppers, Green Peppers, Red Onions, Zucchini, Spinach, Garlic"/>
    <x v="14"/>
  </r>
  <r>
    <n v="1415"/>
    <n v="629"/>
    <n v="0.25"/>
    <s v="calabrese_m"/>
    <n v="1"/>
    <x v="9"/>
    <x v="2"/>
    <x v="625"/>
    <n v="16.25"/>
    <n v="16.25"/>
    <x v="0"/>
    <x v="2"/>
    <s v="?duja Salami, Pancetta, Tomatoes, Red Onions, Friggitello Peppers, Garlic"/>
    <x v="23"/>
  </r>
  <r>
    <n v="1416"/>
    <n v="629"/>
    <n v="0.25"/>
    <s v="five_cheese_l"/>
    <n v="1"/>
    <x v="9"/>
    <x v="2"/>
    <x v="625"/>
    <n v="18.5"/>
    <n v="18.5"/>
    <x v="1"/>
    <x v="1"/>
    <s v="Mozzarella Cheese, Provolone Cheese, Smoked Gouda Cheese, Romano Cheese, Blue Cheese, Garlic"/>
    <x v="2"/>
  </r>
  <r>
    <n v="1417"/>
    <n v="629"/>
    <n v="0.25"/>
    <s v="pep_msh_pep_m"/>
    <n v="1"/>
    <x v="9"/>
    <x v="2"/>
    <x v="625"/>
    <n v="14.5"/>
    <n v="14.5"/>
    <x v="0"/>
    <x v="0"/>
    <s v="Pepperoni, Mushrooms, Green Peppers"/>
    <x v="30"/>
  </r>
  <r>
    <n v="1418"/>
    <n v="629"/>
    <n v="0.25"/>
    <s v="spin_pesto_l"/>
    <n v="1"/>
    <x v="9"/>
    <x v="2"/>
    <x v="625"/>
    <n v="20.75"/>
    <n v="20.75"/>
    <x v="1"/>
    <x v="1"/>
    <s v="Spinach, Artichokes, Tomatoes, Sun-dried Tomatoes, Garlic, Pesto Sauce"/>
    <x v="13"/>
  </r>
  <r>
    <n v="1419"/>
    <n v="630"/>
    <n v="1"/>
    <s v="sicilian_s"/>
    <n v="1"/>
    <x v="10"/>
    <x v="3"/>
    <x v="626"/>
    <n v="12.25"/>
    <n v="12.25"/>
    <x v="2"/>
    <x v="2"/>
    <s v="Coarse Sicilian Salami, Tomatoes, Green Olives, Luganega Sausage, Onions, Garlic"/>
    <x v="28"/>
  </r>
  <r>
    <n v="1420"/>
    <n v="631"/>
    <n v="1"/>
    <s v="pepperoni_l"/>
    <n v="1"/>
    <x v="10"/>
    <x v="3"/>
    <x v="627"/>
    <n v="15.25"/>
    <n v="15.25"/>
    <x v="1"/>
    <x v="0"/>
    <s v="Mozzarella Cheese, Pepperoni"/>
    <x v="17"/>
  </r>
  <r>
    <n v="1421"/>
    <n v="632"/>
    <n v="1"/>
    <s v="classic_dlx_s"/>
    <n v="1"/>
    <x v="10"/>
    <x v="3"/>
    <x v="628"/>
    <n v="12"/>
    <n v="12"/>
    <x v="2"/>
    <x v="0"/>
    <s v="Pepperoni, Mushrooms, Red Onions, Red Peppers, Bacon"/>
    <x v="1"/>
  </r>
  <r>
    <n v="1422"/>
    <n v="633"/>
    <n v="0.33333333333333331"/>
    <s v="mediterraneo_l"/>
    <n v="1"/>
    <x v="10"/>
    <x v="3"/>
    <x v="629"/>
    <n v="20.25"/>
    <n v="20.25"/>
    <x v="1"/>
    <x v="1"/>
    <s v="Spinach, Artichokes, Kalamata Olives, Sun-dried Tomatoes, Feta Cheese, Plum Tomatoes, Red Onions"/>
    <x v="25"/>
  </r>
  <r>
    <n v="1423"/>
    <n v="633"/>
    <n v="0.33333333333333331"/>
    <s v="pepperoni_l"/>
    <n v="1"/>
    <x v="10"/>
    <x v="3"/>
    <x v="629"/>
    <n v="15.25"/>
    <n v="15.25"/>
    <x v="1"/>
    <x v="0"/>
    <s v="Mozzarella Cheese, Pepperoni"/>
    <x v="17"/>
  </r>
  <r>
    <n v="1424"/>
    <n v="633"/>
    <n v="0.33333333333333331"/>
    <s v="peppr_salami_l"/>
    <n v="1"/>
    <x v="10"/>
    <x v="3"/>
    <x v="629"/>
    <n v="20.75"/>
    <n v="20.75"/>
    <x v="1"/>
    <x v="2"/>
    <s v="Genoa Salami, Capocollo, Pepperoni, Tomatoes, Asiago Cheese, Garlic"/>
    <x v="26"/>
  </r>
  <r>
    <n v="1425"/>
    <n v="634"/>
    <n v="1"/>
    <s v="pepperoni_l"/>
    <n v="1"/>
    <x v="10"/>
    <x v="3"/>
    <x v="630"/>
    <n v="15.25"/>
    <n v="15.25"/>
    <x v="1"/>
    <x v="0"/>
    <s v="Mozzarella Cheese, Pepperoni"/>
    <x v="17"/>
  </r>
  <r>
    <n v="1426"/>
    <n v="635"/>
    <n v="0.1"/>
    <s v="calabrese_l"/>
    <n v="1"/>
    <x v="10"/>
    <x v="3"/>
    <x v="631"/>
    <n v="20.25"/>
    <n v="20.25"/>
    <x v="1"/>
    <x v="2"/>
    <s v="?duja Salami, Pancetta, Tomatoes, Red Onions, Friggitello Peppers, Garlic"/>
    <x v="23"/>
  </r>
  <r>
    <n v="1427"/>
    <n v="635"/>
    <n v="0.1"/>
    <s v="cali_ckn_s"/>
    <n v="2"/>
    <x v="10"/>
    <x v="3"/>
    <x v="631"/>
    <n v="12.75"/>
    <n v="25.5"/>
    <x v="2"/>
    <x v="3"/>
    <s v="Chicken, Artichoke, Spinach, Garlic, Jalapeno Peppers, Fontina Cheese, Gouda Cheese"/>
    <x v="16"/>
  </r>
  <r>
    <n v="1428"/>
    <n v="635"/>
    <n v="0.1"/>
    <s v="hawaiian_s"/>
    <n v="1"/>
    <x v="10"/>
    <x v="3"/>
    <x v="631"/>
    <n v="10.5"/>
    <n v="10.5"/>
    <x v="2"/>
    <x v="0"/>
    <s v="Sliced Ham, Pineapple, Mozzarella Cheese"/>
    <x v="0"/>
  </r>
  <r>
    <n v="1429"/>
    <n v="635"/>
    <n v="0.1"/>
    <s v="mexicana_l"/>
    <n v="1"/>
    <x v="10"/>
    <x v="3"/>
    <x v="631"/>
    <n v="20.25"/>
    <n v="20.25"/>
    <x v="1"/>
    <x v="1"/>
    <s v="Tomatoes, Red Peppers, Jalapeno Peppers, Red Onions, Cilantro, Corn, Chipotle Sauce, Garlic"/>
    <x v="4"/>
  </r>
  <r>
    <n v="1430"/>
    <n v="635"/>
    <n v="0.1"/>
    <s v="pepperoni_m"/>
    <n v="1"/>
    <x v="10"/>
    <x v="3"/>
    <x v="631"/>
    <n v="12.5"/>
    <n v="12.5"/>
    <x v="0"/>
    <x v="0"/>
    <s v="Mozzarella Cheese, Pepperoni"/>
    <x v="17"/>
  </r>
  <r>
    <n v="1431"/>
    <n v="635"/>
    <n v="0.1"/>
    <s v="pepperoni_s"/>
    <n v="1"/>
    <x v="10"/>
    <x v="3"/>
    <x v="631"/>
    <n v="9.75"/>
    <n v="9.75"/>
    <x v="2"/>
    <x v="0"/>
    <s v="Mozzarella Cheese, Pepperoni"/>
    <x v="17"/>
  </r>
  <r>
    <n v="1432"/>
    <n v="635"/>
    <n v="0.1"/>
    <s v="peppr_salami_s"/>
    <n v="1"/>
    <x v="10"/>
    <x v="3"/>
    <x v="631"/>
    <n v="12.5"/>
    <n v="12.5"/>
    <x v="2"/>
    <x v="2"/>
    <s v="Genoa Salami, Capocollo, Pepperoni, Tomatoes, Asiago Cheese, Garlic"/>
    <x v="26"/>
  </r>
  <r>
    <n v="1433"/>
    <n v="635"/>
    <n v="0.1"/>
    <s v="sicilian_s"/>
    <n v="1"/>
    <x v="10"/>
    <x v="3"/>
    <x v="631"/>
    <n v="12.25"/>
    <n v="12.25"/>
    <x v="2"/>
    <x v="2"/>
    <s v="Coarse Sicilian Salami, Tomatoes, Green Olives, Luganega Sausage, Onions, Garlic"/>
    <x v="28"/>
  </r>
  <r>
    <n v="1434"/>
    <n v="635"/>
    <n v="0.1"/>
    <s v="spinach_fet_l"/>
    <n v="1"/>
    <x v="10"/>
    <x v="3"/>
    <x v="631"/>
    <n v="20.25"/>
    <n v="20.25"/>
    <x v="1"/>
    <x v="1"/>
    <s v="Spinach, Mushrooms, Red Onions, Feta Cheese, Garlic"/>
    <x v="27"/>
  </r>
  <r>
    <n v="1435"/>
    <n v="635"/>
    <n v="0.1"/>
    <s v="spinach_fet_s"/>
    <n v="1"/>
    <x v="10"/>
    <x v="3"/>
    <x v="631"/>
    <n v="12"/>
    <n v="12"/>
    <x v="2"/>
    <x v="1"/>
    <s v="Spinach, Mushrooms, Red Onions, Feta Cheese, Garlic"/>
    <x v="27"/>
  </r>
  <r>
    <n v="1436"/>
    <n v="636"/>
    <n v="1"/>
    <s v="classic_dlx_m"/>
    <n v="1"/>
    <x v="10"/>
    <x v="3"/>
    <x v="632"/>
    <n v="16"/>
    <n v="16"/>
    <x v="0"/>
    <x v="0"/>
    <s v="Pepperoni, Mushrooms, Red Onions, Red Peppers, Bacon"/>
    <x v="1"/>
  </r>
  <r>
    <n v="1437"/>
    <n v="637"/>
    <n v="0.5"/>
    <s v="the_greek_l"/>
    <n v="1"/>
    <x v="10"/>
    <x v="3"/>
    <x v="633"/>
    <n v="20.5"/>
    <n v="20.5"/>
    <x v="1"/>
    <x v="0"/>
    <s v="Kalamata Olives, Feta Cheese, Tomatoes, Garlic, Beef Chuck Roast, Red Onions"/>
    <x v="8"/>
  </r>
  <r>
    <n v="1438"/>
    <n v="637"/>
    <n v="0.5"/>
    <s v="veggie_veg_m"/>
    <n v="1"/>
    <x v="10"/>
    <x v="3"/>
    <x v="633"/>
    <n v="16"/>
    <n v="16"/>
    <x v="0"/>
    <x v="1"/>
    <s v="Mushrooms, Tomatoes, Red Peppers, Green Peppers, Red Onions, Zucchini, Spinach, Garlic"/>
    <x v="14"/>
  </r>
  <r>
    <n v="1439"/>
    <n v="638"/>
    <n v="1"/>
    <s v="mexicana_l"/>
    <n v="1"/>
    <x v="10"/>
    <x v="3"/>
    <x v="634"/>
    <n v="20.25"/>
    <n v="20.25"/>
    <x v="1"/>
    <x v="1"/>
    <s v="Tomatoes, Red Peppers, Jalapeno Peppers, Red Onions, Cilantro, Corn, Chipotle Sauce, Garlic"/>
    <x v="4"/>
  </r>
  <r>
    <n v="1440"/>
    <n v="639"/>
    <n v="1"/>
    <s v="pep_msh_pep_m"/>
    <n v="1"/>
    <x v="10"/>
    <x v="3"/>
    <x v="635"/>
    <n v="14.5"/>
    <n v="14.5"/>
    <x v="0"/>
    <x v="0"/>
    <s v="Pepperoni, Mushrooms, Green Peppers"/>
    <x v="30"/>
  </r>
  <r>
    <n v="1441"/>
    <n v="640"/>
    <n v="0.33333333333333331"/>
    <s v="cali_ckn_s"/>
    <n v="1"/>
    <x v="10"/>
    <x v="3"/>
    <x v="636"/>
    <n v="12.75"/>
    <n v="12.75"/>
    <x v="2"/>
    <x v="3"/>
    <s v="Chicken, Artichoke, Spinach, Garlic, Jalapeno Peppers, Fontina Cheese, Gouda Cheese"/>
    <x v="16"/>
  </r>
  <r>
    <n v="1442"/>
    <n v="640"/>
    <n v="0.33333333333333331"/>
    <s v="ckn_pesto_l"/>
    <n v="1"/>
    <x v="10"/>
    <x v="3"/>
    <x v="636"/>
    <n v="20.75"/>
    <n v="20.75"/>
    <x v="1"/>
    <x v="3"/>
    <s v="Chicken, Tomatoes, Red Peppers, Spinach, Garlic, Pesto Sauce"/>
    <x v="18"/>
  </r>
  <r>
    <n v="1443"/>
    <n v="640"/>
    <n v="0.33333333333333331"/>
    <s v="napolitana_s"/>
    <n v="1"/>
    <x v="10"/>
    <x v="3"/>
    <x v="636"/>
    <n v="12"/>
    <n v="12"/>
    <x v="2"/>
    <x v="0"/>
    <s v="Tomatoes, Anchovies, Green Olives, Red Onions, Garlic"/>
    <x v="22"/>
  </r>
  <r>
    <n v="1444"/>
    <n v="641"/>
    <n v="0.25"/>
    <s v="pepperoni_m"/>
    <n v="1"/>
    <x v="10"/>
    <x v="3"/>
    <x v="637"/>
    <n v="12.5"/>
    <n v="12.5"/>
    <x v="0"/>
    <x v="0"/>
    <s v="Mozzarella Cheese, Pepperoni"/>
    <x v="17"/>
  </r>
  <r>
    <n v="1445"/>
    <n v="641"/>
    <n v="0.25"/>
    <s v="southw_ckn_l"/>
    <n v="1"/>
    <x v="10"/>
    <x v="3"/>
    <x v="637"/>
    <n v="20.75"/>
    <n v="20.75"/>
    <x v="1"/>
    <x v="3"/>
    <s v="Chicken, Tomatoes, Red Peppers, Red Onions, Jalapeno Peppers, Corn, Cilantro, Chipotle Sauce"/>
    <x v="15"/>
  </r>
  <r>
    <n v="1446"/>
    <n v="641"/>
    <n v="0.25"/>
    <s v="spin_pesto_m"/>
    <n v="1"/>
    <x v="10"/>
    <x v="3"/>
    <x v="637"/>
    <n v="16.5"/>
    <n v="16.5"/>
    <x v="0"/>
    <x v="1"/>
    <s v="Spinach, Artichokes, Tomatoes, Sun-dried Tomatoes, Garlic, Pesto Sauce"/>
    <x v="13"/>
  </r>
  <r>
    <n v="1447"/>
    <n v="641"/>
    <n v="0.25"/>
    <s v="spinach_fet_s"/>
    <n v="1"/>
    <x v="10"/>
    <x v="3"/>
    <x v="637"/>
    <n v="12"/>
    <n v="12"/>
    <x v="2"/>
    <x v="1"/>
    <s v="Spinach, Mushrooms, Red Onions, Feta Cheese, Garlic"/>
    <x v="27"/>
  </r>
  <r>
    <n v="1448"/>
    <n v="642"/>
    <n v="0.25"/>
    <s v="calabrese_m"/>
    <n v="1"/>
    <x v="10"/>
    <x v="3"/>
    <x v="638"/>
    <n v="16.25"/>
    <n v="16.25"/>
    <x v="0"/>
    <x v="2"/>
    <s v="?duja Salami, Pancetta, Tomatoes, Red Onions, Friggitello Peppers, Garlic"/>
    <x v="23"/>
  </r>
  <r>
    <n v="1449"/>
    <n v="642"/>
    <n v="0.25"/>
    <s v="cali_ckn_l"/>
    <n v="1"/>
    <x v="10"/>
    <x v="3"/>
    <x v="638"/>
    <n v="20.75"/>
    <n v="20.75"/>
    <x v="1"/>
    <x v="3"/>
    <s v="Chicken, Artichoke, Spinach, Garlic, Jalapeno Peppers, Fontina Cheese, Gouda Cheese"/>
    <x v="16"/>
  </r>
  <r>
    <n v="1450"/>
    <n v="642"/>
    <n v="0.25"/>
    <s v="ital_supr_l"/>
    <n v="1"/>
    <x v="10"/>
    <x v="3"/>
    <x v="638"/>
    <n v="20.75"/>
    <n v="20.75"/>
    <x v="1"/>
    <x v="2"/>
    <s v="Calabrese Salami, Capocollo, Tomatoes, Red Onions, Green Olives, Garlic"/>
    <x v="3"/>
  </r>
  <r>
    <n v="1451"/>
    <n v="642"/>
    <n v="0.25"/>
    <s v="soppressata_l"/>
    <n v="1"/>
    <x v="10"/>
    <x v="3"/>
    <x v="638"/>
    <n v="20.75"/>
    <n v="20.75"/>
    <x v="1"/>
    <x v="2"/>
    <s v="Soppressata Salami, Fontina Cheese, Mozzarella Cheese, Mushrooms, Garlic"/>
    <x v="20"/>
  </r>
  <r>
    <n v="1452"/>
    <n v="643"/>
    <n v="1"/>
    <s v="spinach_fet_m"/>
    <n v="1"/>
    <x v="10"/>
    <x v="3"/>
    <x v="639"/>
    <n v="16"/>
    <n v="16"/>
    <x v="0"/>
    <x v="1"/>
    <s v="Spinach, Mushrooms, Red Onions, Feta Cheese, Garlic"/>
    <x v="27"/>
  </r>
  <r>
    <n v="1453"/>
    <n v="644"/>
    <n v="0.5"/>
    <s v="ital_supr_l"/>
    <n v="1"/>
    <x v="10"/>
    <x v="3"/>
    <x v="640"/>
    <n v="20.75"/>
    <n v="20.75"/>
    <x v="1"/>
    <x v="2"/>
    <s v="Calabrese Salami, Capocollo, Tomatoes, Red Onions, Green Olives, Garlic"/>
    <x v="3"/>
  </r>
  <r>
    <n v="1454"/>
    <n v="644"/>
    <n v="0.5"/>
    <s v="peppr_salami_m"/>
    <n v="1"/>
    <x v="10"/>
    <x v="3"/>
    <x v="640"/>
    <n v="16.5"/>
    <n v="16.5"/>
    <x v="0"/>
    <x v="2"/>
    <s v="Genoa Salami, Capocollo, Pepperoni, Tomatoes, Asiago Cheese, Garlic"/>
    <x v="26"/>
  </r>
  <r>
    <n v="1455"/>
    <n v="645"/>
    <n v="0.5"/>
    <s v="bbq_ckn_m"/>
    <n v="1"/>
    <x v="10"/>
    <x v="3"/>
    <x v="641"/>
    <n v="16.75"/>
    <n v="16.75"/>
    <x v="0"/>
    <x v="3"/>
    <s v="Barbecued Chicken, Red Peppers, Green Peppers, Tomatoes, Red Onions, Barbecue Sauce"/>
    <x v="7"/>
  </r>
  <r>
    <n v="1456"/>
    <n v="645"/>
    <n v="0.5"/>
    <s v="big_meat_s"/>
    <n v="1"/>
    <x v="10"/>
    <x v="3"/>
    <x v="641"/>
    <n v="12"/>
    <n v="12"/>
    <x v="2"/>
    <x v="0"/>
    <s v="Bacon, Pepperoni, Italian Sausage, Chorizo Sausage"/>
    <x v="19"/>
  </r>
  <r>
    <n v="1457"/>
    <n v="646"/>
    <n v="0.5"/>
    <s v="hawaiian_s"/>
    <n v="1"/>
    <x v="10"/>
    <x v="3"/>
    <x v="642"/>
    <n v="10.5"/>
    <n v="10.5"/>
    <x v="2"/>
    <x v="0"/>
    <s v="Sliced Ham, Pineapple, Mozzarella Cheese"/>
    <x v="0"/>
  </r>
  <r>
    <n v="1458"/>
    <n v="646"/>
    <n v="0.5"/>
    <s v="thai_ckn_l"/>
    <n v="1"/>
    <x v="10"/>
    <x v="3"/>
    <x v="642"/>
    <n v="20.75"/>
    <n v="20.75"/>
    <x v="1"/>
    <x v="3"/>
    <s v="Chicken, Pineapple, Tomatoes, Red Peppers, Thai Sweet Chilli Sauce"/>
    <x v="5"/>
  </r>
  <r>
    <n v="1459"/>
    <n v="647"/>
    <n v="1"/>
    <s v="hawaiian_s"/>
    <n v="1"/>
    <x v="10"/>
    <x v="3"/>
    <x v="643"/>
    <n v="10.5"/>
    <n v="10.5"/>
    <x v="2"/>
    <x v="0"/>
    <s v="Sliced Ham, Pineapple, Mozzarella Cheese"/>
    <x v="0"/>
  </r>
  <r>
    <n v="1460"/>
    <n v="648"/>
    <n v="0.5"/>
    <s v="four_cheese_l"/>
    <n v="1"/>
    <x v="10"/>
    <x v="3"/>
    <x v="644"/>
    <n v="17.95"/>
    <n v="17.95"/>
    <x v="1"/>
    <x v="1"/>
    <s v="Ricotta Cheese, Gorgonzola Piccante Cheese, Mozzarella Cheese, Parmigiano Reggiano Cheese, Garlic"/>
    <x v="21"/>
  </r>
  <r>
    <n v="1461"/>
    <n v="648"/>
    <n v="0.5"/>
    <s v="pepperoni_m"/>
    <n v="1"/>
    <x v="10"/>
    <x v="3"/>
    <x v="644"/>
    <n v="12.5"/>
    <n v="12.5"/>
    <x v="0"/>
    <x v="0"/>
    <s v="Mozzarella Cheese, Pepperoni"/>
    <x v="17"/>
  </r>
  <r>
    <n v="1462"/>
    <n v="649"/>
    <n v="0.25"/>
    <s v="cali_ckn_s"/>
    <n v="1"/>
    <x v="10"/>
    <x v="3"/>
    <x v="645"/>
    <n v="12.75"/>
    <n v="12.75"/>
    <x v="2"/>
    <x v="3"/>
    <s v="Chicken, Artichoke, Spinach, Garlic, Jalapeno Peppers, Fontina Cheese, Gouda Cheese"/>
    <x v="16"/>
  </r>
  <r>
    <n v="1463"/>
    <n v="649"/>
    <n v="0.25"/>
    <s v="pepperoni_m"/>
    <n v="1"/>
    <x v="10"/>
    <x v="3"/>
    <x v="645"/>
    <n v="12.5"/>
    <n v="12.5"/>
    <x v="0"/>
    <x v="0"/>
    <s v="Mozzarella Cheese, Pepperoni"/>
    <x v="17"/>
  </r>
  <r>
    <n v="1464"/>
    <n v="649"/>
    <n v="0.25"/>
    <s v="peppr_salami_m"/>
    <n v="1"/>
    <x v="10"/>
    <x v="3"/>
    <x v="645"/>
    <n v="16.5"/>
    <n v="16.5"/>
    <x v="0"/>
    <x v="2"/>
    <s v="Genoa Salami, Capocollo, Pepperoni, Tomatoes, Asiago Cheese, Garlic"/>
    <x v="26"/>
  </r>
  <r>
    <n v="1465"/>
    <n v="649"/>
    <n v="0.25"/>
    <s v="sicilian_s"/>
    <n v="1"/>
    <x v="10"/>
    <x v="3"/>
    <x v="645"/>
    <n v="12.25"/>
    <n v="12.25"/>
    <x v="2"/>
    <x v="2"/>
    <s v="Coarse Sicilian Salami, Tomatoes, Green Olives, Luganega Sausage, Onions, Garlic"/>
    <x v="28"/>
  </r>
  <r>
    <n v="1466"/>
    <n v="650"/>
    <n v="1"/>
    <s v="pepperoni_m"/>
    <n v="1"/>
    <x v="10"/>
    <x v="3"/>
    <x v="646"/>
    <n v="12.5"/>
    <n v="12.5"/>
    <x v="0"/>
    <x v="0"/>
    <s v="Mozzarella Cheese, Pepperoni"/>
    <x v="17"/>
  </r>
  <r>
    <n v="1467"/>
    <n v="651"/>
    <n v="0.33333333333333331"/>
    <s v="bbq_ckn_s"/>
    <n v="1"/>
    <x v="10"/>
    <x v="3"/>
    <x v="647"/>
    <n v="12.75"/>
    <n v="12.75"/>
    <x v="2"/>
    <x v="3"/>
    <s v="Barbecued Chicken, Red Peppers, Green Peppers, Tomatoes, Red Onions, Barbecue Sauce"/>
    <x v="7"/>
  </r>
  <r>
    <n v="1468"/>
    <n v="651"/>
    <n v="0.33333333333333331"/>
    <s v="calabrese_m"/>
    <n v="1"/>
    <x v="10"/>
    <x v="3"/>
    <x v="647"/>
    <n v="16.25"/>
    <n v="16.25"/>
    <x v="0"/>
    <x v="2"/>
    <s v="?duja Salami, Pancetta, Tomatoes, Red Onions, Friggitello Peppers, Garlic"/>
    <x v="23"/>
  </r>
  <r>
    <n v="1469"/>
    <n v="651"/>
    <n v="0.33333333333333331"/>
    <s v="pepperoni_m"/>
    <n v="1"/>
    <x v="10"/>
    <x v="3"/>
    <x v="647"/>
    <n v="12.5"/>
    <n v="12.5"/>
    <x v="0"/>
    <x v="0"/>
    <s v="Mozzarella Cheese, Pepperoni"/>
    <x v="17"/>
  </r>
  <r>
    <n v="1470"/>
    <n v="652"/>
    <n v="0.25"/>
    <s v="big_meat_s"/>
    <n v="1"/>
    <x v="10"/>
    <x v="3"/>
    <x v="648"/>
    <n v="12"/>
    <n v="12"/>
    <x v="2"/>
    <x v="0"/>
    <s v="Bacon, Pepperoni, Italian Sausage, Chorizo Sausage"/>
    <x v="19"/>
  </r>
  <r>
    <n v="1471"/>
    <n v="652"/>
    <n v="0.25"/>
    <s v="ckn_alfredo_m"/>
    <n v="1"/>
    <x v="10"/>
    <x v="3"/>
    <x v="648"/>
    <n v="16.75"/>
    <n v="16.75"/>
    <x v="0"/>
    <x v="3"/>
    <s v="Chicken, Red Onions, Red Peppers, Mushrooms, Asiago Cheese, Alfredo Sauce"/>
    <x v="29"/>
  </r>
  <r>
    <n v="1472"/>
    <n v="652"/>
    <n v="0.25"/>
    <s v="ckn_pesto_s"/>
    <n v="1"/>
    <x v="10"/>
    <x v="3"/>
    <x v="648"/>
    <n v="12.75"/>
    <n v="12.75"/>
    <x v="2"/>
    <x v="3"/>
    <s v="Chicken, Tomatoes, Red Peppers, Spinach, Garlic, Pesto Sauce"/>
    <x v="18"/>
  </r>
  <r>
    <n v="1473"/>
    <n v="652"/>
    <n v="0.25"/>
    <s v="prsc_argla_s"/>
    <n v="1"/>
    <x v="10"/>
    <x v="3"/>
    <x v="648"/>
    <n v="12.5"/>
    <n v="12.5"/>
    <x v="2"/>
    <x v="2"/>
    <s v="Prosciutto di San Daniele, Arugula, Mozzarella Cheese"/>
    <x v="6"/>
  </r>
  <r>
    <n v="1474"/>
    <n v="653"/>
    <n v="1"/>
    <s v="thai_ckn_s"/>
    <n v="1"/>
    <x v="10"/>
    <x v="3"/>
    <x v="649"/>
    <n v="12.75"/>
    <n v="12.75"/>
    <x v="2"/>
    <x v="3"/>
    <s v="Chicken, Pineapple, Tomatoes, Red Peppers, Thai Sweet Chilli Sauce"/>
    <x v="5"/>
  </r>
  <r>
    <n v="1475"/>
    <n v="654"/>
    <n v="0.33333333333333331"/>
    <s v="mexicana_l"/>
    <n v="1"/>
    <x v="10"/>
    <x v="3"/>
    <x v="650"/>
    <n v="20.25"/>
    <n v="20.25"/>
    <x v="1"/>
    <x v="1"/>
    <s v="Tomatoes, Red Peppers, Jalapeno Peppers, Red Onions, Cilantro, Corn, Chipotle Sauce, Garlic"/>
    <x v="4"/>
  </r>
  <r>
    <n v="1476"/>
    <n v="654"/>
    <n v="0.33333333333333331"/>
    <s v="sicilian_l"/>
    <n v="1"/>
    <x v="10"/>
    <x v="3"/>
    <x v="650"/>
    <n v="20.25"/>
    <n v="20.25"/>
    <x v="1"/>
    <x v="2"/>
    <s v="Coarse Sicilian Salami, Tomatoes, Green Olives, Luganega Sausage, Onions, Garlic"/>
    <x v="28"/>
  </r>
  <r>
    <n v="1477"/>
    <n v="654"/>
    <n v="0.33333333333333331"/>
    <s v="spin_pesto_m"/>
    <n v="1"/>
    <x v="10"/>
    <x v="3"/>
    <x v="650"/>
    <n v="16.5"/>
    <n v="16.5"/>
    <x v="0"/>
    <x v="1"/>
    <s v="Spinach, Artichokes, Tomatoes, Sun-dried Tomatoes, Garlic, Pesto Sauce"/>
    <x v="13"/>
  </r>
  <r>
    <n v="1478"/>
    <n v="655"/>
    <n v="1"/>
    <s v="ital_supr_m"/>
    <n v="1"/>
    <x v="10"/>
    <x v="3"/>
    <x v="651"/>
    <n v="16.5"/>
    <n v="16.5"/>
    <x v="0"/>
    <x v="2"/>
    <s v="Calabrese Salami, Capocollo, Tomatoes, Red Onions, Green Olives, Garlic"/>
    <x v="3"/>
  </r>
  <r>
    <n v="1479"/>
    <n v="656"/>
    <n v="0.5"/>
    <s v="thai_ckn_l"/>
    <n v="1"/>
    <x v="10"/>
    <x v="3"/>
    <x v="652"/>
    <n v="20.75"/>
    <n v="20.75"/>
    <x v="1"/>
    <x v="3"/>
    <s v="Chicken, Pineapple, Tomatoes, Red Peppers, Thai Sweet Chilli Sauce"/>
    <x v="5"/>
  </r>
  <r>
    <n v="1480"/>
    <n v="656"/>
    <n v="0.5"/>
    <s v="veggie_veg_l"/>
    <n v="1"/>
    <x v="10"/>
    <x v="3"/>
    <x v="652"/>
    <n v="20.25"/>
    <n v="20.25"/>
    <x v="1"/>
    <x v="1"/>
    <s v="Mushrooms, Tomatoes, Red Peppers, Green Peppers, Red Onions, Zucchini, Spinach, Garlic"/>
    <x v="14"/>
  </r>
  <r>
    <n v="1481"/>
    <n v="657"/>
    <n v="0.5"/>
    <s v="bbq_ckn_m"/>
    <n v="1"/>
    <x v="10"/>
    <x v="3"/>
    <x v="653"/>
    <n v="16.75"/>
    <n v="16.75"/>
    <x v="0"/>
    <x v="3"/>
    <s v="Barbecued Chicken, Red Peppers, Green Peppers, Tomatoes, Red Onions, Barbecue Sauce"/>
    <x v="7"/>
  </r>
  <r>
    <n v="1482"/>
    <n v="657"/>
    <n v="0.5"/>
    <s v="classic_dlx_m"/>
    <n v="1"/>
    <x v="10"/>
    <x v="3"/>
    <x v="653"/>
    <n v="16"/>
    <n v="16"/>
    <x v="0"/>
    <x v="0"/>
    <s v="Pepperoni, Mushrooms, Red Onions, Red Peppers, Bacon"/>
    <x v="1"/>
  </r>
  <r>
    <n v="1483"/>
    <n v="658"/>
    <n v="0.33333333333333331"/>
    <s v="napolitana_m"/>
    <n v="1"/>
    <x v="10"/>
    <x v="3"/>
    <x v="654"/>
    <n v="16"/>
    <n v="16"/>
    <x v="0"/>
    <x v="0"/>
    <s v="Tomatoes, Anchovies, Green Olives, Red Onions, Garlic"/>
    <x v="22"/>
  </r>
  <r>
    <n v="1484"/>
    <n v="658"/>
    <n v="0.33333333333333331"/>
    <s v="peppr_salami_s"/>
    <n v="1"/>
    <x v="10"/>
    <x v="3"/>
    <x v="654"/>
    <n v="12.5"/>
    <n v="12.5"/>
    <x v="2"/>
    <x v="2"/>
    <s v="Genoa Salami, Capocollo, Pepperoni, Tomatoes, Asiago Cheese, Garlic"/>
    <x v="26"/>
  </r>
  <r>
    <n v="1485"/>
    <n v="658"/>
    <n v="0.33333333333333331"/>
    <s v="veggie_veg_m"/>
    <n v="1"/>
    <x v="10"/>
    <x v="3"/>
    <x v="654"/>
    <n v="16"/>
    <n v="16"/>
    <x v="0"/>
    <x v="1"/>
    <s v="Mushrooms, Tomatoes, Red Peppers, Green Peppers, Red Onions, Zucchini, Spinach, Garlic"/>
    <x v="14"/>
  </r>
  <r>
    <n v="1486"/>
    <n v="659"/>
    <n v="0.5"/>
    <s v="ital_supr_m"/>
    <n v="1"/>
    <x v="10"/>
    <x v="3"/>
    <x v="655"/>
    <n v="16.5"/>
    <n v="16.5"/>
    <x v="0"/>
    <x v="2"/>
    <s v="Calabrese Salami, Capocollo, Tomatoes, Red Onions, Green Olives, Garlic"/>
    <x v="3"/>
  </r>
  <r>
    <n v="1487"/>
    <n v="659"/>
    <n v="0.5"/>
    <s v="sicilian_l"/>
    <n v="1"/>
    <x v="10"/>
    <x v="3"/>
    <x v="655"/>
    <n v="20.25"/>
    <n v="20.25"/>
    <x v="1"/>
    <x v="2"/>
    <s v="Coarse Sicilian Salami, Tomatoes, Green Olives, Luganega Sausage, Onions, Garlic"/>
    <x v="28"/>
  </r>
  <r>
    <n v="1488"/>
    <n v="660"/>
    <n v="0.5"/>
    <s v="bbq_ckn_s"/>
    <n v="1"/>
    <x v="10"/>
    <x v="3"/>
    <x v="656"/>
    <n v="12.75"/>
    <n v="12.75"/>
    <x v="2"/>
    <x v="3"/>
    <s v="Barbecued Chicken, Red Peppers, Green Peppers, Tomatoes, Red Onions, Barbecue Sauce"/>
    <x v="7"/>
  </r>
  <r>
    <n v="1489"/>
    <n v="660"/>
    <n v="0.5"/>
    <s v="ital_supr_m"/>
    <n v="1"/>
    <x v="10"/>
    <x v="3"/>
    <x v="656"/>
    <n v="16.5"/>
    <n v="16.5"/>
    <x v="0"/>
    <x v="2"/>
    <s v="Calabrese Salami, Capocollo, Tomatoes, Red Onions, Green Olives, Garlic"/>
    <x v="3"/>
  </r>
  <r>
    <n v="1490"/>
    <n v="661"/>
    <n v="1"/>
    <s v="napolitana_s"/>
    <n v="1"/>
    <x v="10"/>
    <x v="3"/>
    <x v="657"/>
    <n v="12"/>
    <n v="12"/>
    <x v="2"/>
    <x v="0"/>
    <s v="Tomatoes, Anchovies, Green Olives, Red Onions, Garlic"/>
    <x v="22"/>
  </r>
  <r>
    <n v="1491"/>
    <n v="662"/>
    <n v="0.5"/>
    <s v="bbq_ckn_l"/>
    <n v="1"/>
    <x v="10"/>
    <x v="3"/>
    <x v="658"/>
    <n v="20.75"/>
    <n v="20.75"/>
    <x v="1"/>
    <x v="3"/>
    <s v="Barbecued Chicken, Red Peppers, Green Peppers, Tomatoes, Red Onions, Barbecue Sauce"/>
    <x v="7"/>
  </r>
  <r>
    <n v="1492"/>
    <n v="662"/>
    <n v="0.5"/>
    <s v="prsc_argla_s"/>
    <n v="1"/>
    <x v="10"/>
    <x v="3"/>
    <x v="658"/>
    <n v="12.5"/>
    <n v="12.5"/>
    <x v="2"/>
    <x v="2"/>
    <s v="Prosciutto di San Daniele, Arugula, Mozzarella Cheese"/>
    <x v="6"/>
  </r>
  <r>
    <n v="1493"/>
    <n v="663"/>
    <n v="1"/>
    <s v="four_cheese_l"/>
    <n v="1"/>
    <x v="10"/>
    <x v="3"/>
    <x v="659"/>
    <n v="17.95"/>
    <n v="17.95"/>
    <x v="1"/>
    <x v="1"/>
    <s v="Ricotta Cheese, Gorgonzola Piccante Cheese, Mozzarella Cheese, Parmigiano Reggiano Cheese, Garlic"/>
    <x v="21"/>
  </r>
  <r>
    <n v="1494"/>
    <n v="664"/>
    <n v="0.33333333333333331"/>
    <s v="calabrese_m"/>
    <n v="1"/>
    <x v="10"/>
    <x v="3"/>
    <x v="660"/>
    <n v="16.25"/>
    <n v="16.25"/>
    <x v="0"/>
    <x v="2"/>
    <s v="?duja Salami, Pancetta, Tomatoes, Red Onions, Friggitello Peppers, Garlic"/>
    <x v="23"/>
  </r>
  <r>
    <n v="1495"/>
    <n v="664"/>
    <n v="0.33333333333333331"/>
    <s v="ital_supr_l"/>
    <n v="1"/>
    <x v="10"/>
    <x v="3"/>
    <x v="660"/>
    <n v="20.75"/>
    <n v="20.75"/>
    <x v="1"/>
    <x v="2"/>
    <s v="Calabrese Salami, Capocollo, Tomatoes, Red Onions, Green Olives, Garlic"/>
    <x v="3"/>
  </r>
  <r>
    <n v="1496"/>
    <n v="664"/>
    <n v="0.33333333333333331"/>
    <s v="pepperoni_l"/>
    <n v="1"/>
    <x v="10"/>
    <x v="3"/>
    <x v="660"/>
    <n v="15.25"/>
    <n v="15.25"/>
    <x v="1"/>
    <x v="0"/>
    <s v="Mozzarella Cheese, Pepperoni"/>
    <x v="17"/>
  </r>
  <r>
    <n v="1497"/>
    <n v="665"/>
    <n v="0.5"/>
    <s v="bbq_ckn_m"/>
    <n v="1"/>
    <x v="10"/>
    <x v="3"/>
    <x v="661"/>
    <n v="16.75"/>
    <n v="16.75"/>
    <x v="0"/>
    <x v="3"/>
    <s v="Barbecued Chicken, Red Peppers, Green Peppers, Tomatoes, Red Onions, Barbecue Sauce"/>
    <x v="7"/>
  </r>
  <r>
    <n v="1498"/>
    <n v="665"/>
    <n v="0.5"/>
    <s v="mediterraneo_s"/>
    <n v="1"/>
    <x v="10"/>
    <x v="3"/>
    <x v="661"/>
    <n v="12"/>
    <n v="12"/>
    <x v="2"/>
    <x v="1"/>
    <s v="Spinach, Artichokes, Kalamata Olives, Sun-dried Tomatoes, Feta Cheese, Plum Tomatoes, Red Onions"/>
    <x v="25"/>
  </r>
  <r>
    <n v="1499"/>
    <n v="666"/>
    <n v="1"/>
    <s v="hawaiian_l"/>
    <n v="1"/>
    <x v="10"/>
    <x v="3"/>
    <x v="662"/>
    <n v="16.5"/>
    <n v="16.5"/>
    <x v="1"/>
    <x v="0"/>
    <s v="Sliced Ham, Pineapple, Mozzarella Cheese"/>
    <x v="0"/>
  </r>
  <r>
    <n v="1500"/>
    <n v="667"/>
    <n v="0.5"/>
    <s v="big_meat_s"/>
    <n v="1"/>
    <x v="10"/>
    <x v="3"/>
    <x v="663"/>
    <n v="12"/>
    <n v="12"/>
    <x v="2"/>
    <x v="0"/>
    <s v="Bacon, Pepperoni, Italian Sausage, Chorizo Sausage"/>
    <x v="19"/>
  </r>
  <r>
    <n v="1501"/>
    <n v="667"/>
    <n v="0.5"/>
    <s v="pepperoni_s"/>
    <n v="1"/>
    <x v="10"/>
    <x v="3"/>
    <x v="663"/>
    <n v="9.75"/>
    <n v="9.75"/>
    <x v="2"/>
    <x v="0"/>
    <s v="Mozzarella Cheese, Pepperoni"/>
    <x v="17"/>
  </r>
  <r>
    <n v="1502"/>
    <n v="668"/>
    <n v="0.25"/>
    <s v="ital_supr_m"/>
    <n v="1"/>
    <x v="10"/>
    <x v="3"/>
    <x v="664"/>
    <n v="16.5"/>
    <n v="16.5"/>
    <x v="0"/>
    <x v="2"/>
    <s v="Calabrese Salami, Capocollo, Tomatoes, Red Onions, Green Olives, Garlic"/>
    <x v="3"/>
  </r>
  <r>
    <n v="1503"/>
    <n v="668"/>
    <n v="0.25"/>
    <s v="mexicana_l"/>
    <n v="1"/>
    <x v="10"/>
    <x v="3"/>
    <x v="664"/>
    <n v="20.25"/>
    <n v="20.25"/>
    <x v="1"/>
    <x v="1"/>
    <s v="Tomatoes, Red Peppers, Jalapeno Peppers, Red Onions, Cilantro, Corn, Chipotle Sauce, Garlic"/>
    <x v="4"/>
  </r>
  <r>
    <n v="1504"/>
    <n v="668"/>
    <n v="0.25"/>
    <s v="peppr_salami_l"/>
    <n v="1"/>
    <x v="10"/>
    <x v="3"/>
    <x v="664"/>
    <n v="20.75"/>
    <n v="20.75"/>
    <x v="1"/>
    <x v="2"/>
    <s v="Genoa Salami, Capocollo, Pepperoni, Tomatoes, Asiago Cheese, Garlic"/>
    <x v="26"/>
  </r>
  <r>
    <n v="1505"/>
    <n v="668"/>
    <n v="0.25"/>
    <s v="spicy_ital_m"/>
    <n v="1"/>
    <x v="10"/>
    <x v="3"/>
    <x v="664"/>
    <n v="16.5"/>
    <n v="16.5"/>
    <x v="0"/>
    <x v="2"/>
    <s v="Capocollo, Tomatoes, Goat Cheese, Artichokes, Peperoncini verdi, Garlic"/>
    <x v="12"/>
  </r>
  <r>
    <n v="1506"/>
    <n v="669"/>
    <n v="0.5"/>
    <s v="ital_cpcllo_l"/>
    <n v="1"/>
    <x v="10"/>
    <x v="3"/>
    <x v="665"/>
    <n v="20.5"/>
    <n v="20.5"/>
    <x v="1"/>
    <x v="0"/>
    <s v="Capocollo, Red Peppers, Tomatoes, Goat Cheese, Garlic, Oregano"/>
    <x v="11"/>
  </r>
  <r>
    <n v="1507"/>
    <n v="669"/>
    <n v="0.5"/>
    <s v="mexicana_l"/>
    <n v="1"/>
    <x v="10"/>
    <x v="3"/>
    <x v="665"/>
    <n v="20.25"/>
    <n v="20.25"/>
    <x v="1"/>
    <x v="1"/>
    <s v="Tomatoes, Red Peppers, Jalapeno Peppers, Red Onions, Cilantro, Corn, Chipotle Sauce, Garlic"/>
    <x v="4"/>
  </r>
  <r>
    <n v="1508"/>
    <n v="670"/>
    <n v="0.5"/>
    <s v="ital_cpcllo_s"/>
    <n v="1"/>
    <x v="10"/>
    <x v="3"/>
    <x v="666"/>
    <n v="12"/>
    <n v="12"/>
    <x v="2"/>
    <x v="0"/>
    <s v="Capocollo, Red Peppers, Tomatoes, Goat Cheese, Garlic, Oregano"/>
    <x v="11"/>
  </r>
  <r>
    <n v="1509"/>
    <n v="670"/>
    <n v="0.5"/>
    <s v="soppressata_m"/>
    <n v="1"/>
    <x v="10"/>
    <x v="3"/>
    <x v="666"/>
    <n v="16.5"/>
    <n v="16.5"/>
    <x v="0"/>
    <x v="2"/>
    <s v="Soppressata Salami, Fontina Cheese, Mozzarella Cheese, Mushrooms, Garlic"/>
    <x v="20"/>
  </r>
  <r>
    <n v="1510"/>
    <n v="671"/>
    <n v="1"/>
    <s v="ckn_pesto_s"/>
    <n v="1"/>
    <x v="10"/>
    <x v="3"/>
    <x v="667"/>
    <n v="12.75"/>
    <n v="12.75"/>
    <x v="2"/>
    <x v="3"/>
    <s v="Chicken, Tomatoes, Red Peppers, Spinach, Garlic, Pesto Sauce"/>
    <x v="18"/>
  </r>
  <r>
    <n v="1511"/>
    <n v="672"/>
    <n v="0.5"/>
    <s v="green_garden_m"/>
    <n v="1"/>
    <x v="10"/>
    <x v="3"/>
    <x v="668"/>
    <n v="16"/>
    <n v="16"/>
    <x v="0"/>
    <x v="1"/>
    <s v="Spinach, Mushrooms, Tomatoes, Green Olives, Feta Cheese"/>
    <x v="10"/>
  </r>
  <r>
    <n v="1512"/>
    <n v="672"/>
    <n v="0.5"/>
    <s v="spicy_ital_l"/>
    <n v="1"/>
    <x v="10"/>
    <x v="3"/>
    <x v="668"/>
    <n v="20.75"/>
    <n v="20.75"/>
    <x v="1"/>
    <x v="2"/>
    <s v="Capocollo, Tomatoes, Goat Cheese, Artichokes, Peperoncini verdi, Garlic"/>
    <x v="12"/>
  </r>
  <r>
    <n v="1513"/>
    <n v="673"/>
    <n v="0.5"/>
    <s v="soppressata_l"/>
    <n v="1"/>
    <x v="10"/>
    <x v="3"/>
    <x v="669"/>
    <n v="20.75"/>
    <n v="20.75"/>
    <x v="1"/>
    <x v="2"/>
    <s v="Soppressata Salami, Fontina Cheese, Mozzarella Cheese, Mushrooms, Garlic"/>
    <x v="20"/>
  </r>
  <r>
    <n v="1514"/>
    <n v="673"/>
    <n v="0.5"/>
    <s v="thai_ckn_m"/>
    <n v="1"/>
    <x v="10"/>
    <x v="3"/>
    <x v="669"/>
    <n v="16.75"/>
    <n v="16.75"/>
    <x v="0"/>
    <x v="3"/>
    <s v="Chicken, Pineapple, Tomatoes, Red Peppers, Thai Sweet Chilli Sauce"/>
    <x v="5"/>
  </r>
  <r>
    <n v="1515"/>
    <n v="674"/>
    <n v="0.25"/>
    <s v="ckn_pesto_m"/>
    <n v="1"/>
    <x v="10"/>
    <x v="3"/>
    <x v="670"/>
    <n v="16.75"/>
    <n v="16.75"/>
    <x v="0"/>
    <x v="3"/>
    <s v="Chicken, Tomatoes, Red Peppers, Spinach, Garlic, Pesto Sauce"/>
    <x v="18"/>
  </r>
  <r>
    <n v="1516"/>
    <n v="674"/>
    <n v="0.25"/>
    <s v="mexicana_l"/>
    <n v="1"/>
    <x v="10"/>
    <x v="3"/>
    <x v="670"/>
    <n v="20.25"/>
    <n v="20.25"/>
    <x v="1"/>
    <x v="1"/>
    <s v="Tomatoes, Red Peppers, Jalapeno Peppers, Red Onions, Cilantro, Corn, Chipotle Sauce, Garlic"/>
    <x v="4"/>
  </r>
  <r>
    <n v="1517"/>
    <n v="674"/>
    <n v="0.25"/>
    <s v="prsc_argla_s"/>
    <n v="1"/>
    <x v="10"/>
    <x v="3"/>
    <x v="670"/>
    <n v="12.5"/>
    <n v="12.5"/>
    <x v="2"/>
    <x v="2"/>
    <s v="Prosciutto di San Daniele, Arugula, Mozzarella Cheese"/>
    <x v="6"/>
  </r>
  <r>
    <n v="1518"/>
    <n v="674"/>
    <n v="0.25"/>
    <s v="spinach_fet_m"/>
    <n v="1"/>
    <x v="10"/>
    <x v="3"/>
    <x v="670"/>
    <n v="16"/>
    <n v="16"/>
    <x v="0"/>
    <x v="1"/>
    <s v="Spinach, Mushrooms, Red Onions, Feta Cheese, Garlic"/>
    <x v="27"/>
  </r>
  <r>
    <n v="1519"/>
    <n v="675"/>
    <n v="1"/>
    <s v="napolitana_l"/>
    <n v="1"/>
    <x v="10"/>
    <x v="3"/>
    <x v="671"/>
    <n v="20.5"/>
    <n v="20.5"/>
    <x v="1"/>
    <x v="0"/>
    <s v="Tomatoes, Anchovies, Green Olives, Red Onions, Garlic"/>
    <x v="22"/>
  </r>
  <r>
    <n v="1520"/>
    <n v="676"/>
    <n v="0.5"/>
    <s v="mexicana_l"/>
    <n v="1"/>
    <x v="10"/>
    <x v="3"/>
    <x v="672"/>
    <n v="20.25"/>
    <n v="20.25"/>
    <x v="1"/>
    <x v="1"/>
    <s v="Tomatoes, Red Peppers, Jalapeno Peppers, Red Onions, Cilantro, Corn, Chipotle Sauce, Garlic"/>
    <x v="4"/>
  </r>
  <r>
    <n v="1521"/>
    <n v="676"/>
    <n v="0.5"/>
    <s v="veggie_veg_m"/>
    <n v="1"/>
    <x v="10"/>
    <x v="3"/>
    <x v="672"/>
    <n v="16"/>
    <n v="16"/>
    <x v="0"/>
    <x v="1"/>
    <s v="Mushrooms, Tomatoes, Red Peppers, Green Peppers, Red Onions, Zucchini, Spinach, Garlic"/>
    <x v="14"/>
  </r>
  <r>
    <n v="1522"/>
    <n v="677"/>
    <n v="1"/>
    <s v="peppr_salami_l"/>
    <n v="1"/>
    <x v="10"/>
    <x v="3"/>
    <x v="673"/>
    <n v="20.75"/>
    <n v="20.75"/>
    <x v="1"/>
    <x v="2"/>
    <s v="Genoa Salami, Capocollo, Pepperoni, Tomatoes, Asiago Cheese, Garlic"/>
    <x v="26"/>
  </r>
  <r>
    <n v="1523"/>
    <n v="678"/>
    <n v="0.33333333333333331"/>
    <s v="mexicana_s"/>
    <n v="1"/>
    <x v="10"/>
    <x v="3"/>
    <x v="674"/>
    <n v="12"/>
    <n v="12"/>
    <x v="2"/>
    <x v="1"/>
    <s v="Tomatoes, Red Peppers, Jalapeno Peppers, Red Onions, Cilantro, Corn, Chipotle Sauce, Garlic"/>
    <x v="4"/>
  </r>
  <r>
    <n v="1524"/>
    <n v="678"/>
    <n v="0.33333333333333331"/>
    <s v="napolitana_m"/>
    <n v="1"/>
    <x v="10"/>
    <x v="3"/>
    <x v="674"/>
    <n v="16"/>
    <n v="16"/>
    <x v="0"/>
    <x v="0"/>
    <s v="Tomatoes, Anchovies, Green Olives, Red Onions, Garlic"/>
    <x v="22"/>
  </r>
  <r>
    <n v="1525"/>
    <n v="678"/>
    <n v="0.33333333333333331"/>
    <s v="spicy_ital_m"/>
    <n v="2"/>
    <x v="10"/>
    <x v="3"/>
    <x v="674"/>
    <n v="16.5"/>
    <n v="33"/>
    <x v="0"/>
    <x v="2"/>
    <s v="Capocollo, Tomatoes, Goat Cheese, Artichokes, Peperoncini verdi, Garlic"/>
    <x v="12"/>
  </r>
  <r>
    <n v="1526"/>
    <n v="679"/>
    <n v="0.25"/>
    <s v="brie_carre_s"/>
    <n v="1"/>
    <x v="10"/>
    <x v="3"/>
    <x v="675"/>
    <n v="23.65"/>
    <n v="23.65"/>
    <x v="2"/>
    <x v="2"/>
    <s v="Brie Carre Cheese, Prosciutto, Caramelized Onions, Pears, Thyme, Garlic"/>
    <x v="31"/>
  </r>
  <r>
    <n v="1527"/>
    <n v="679"/>
    <n v="0.25"/>
    <s v="four_cheese_m"/>
    <n v="1"/>
    <x v="10"/>
    <x v="3"/>
    <x v="675"/>
    <n v="14.75"/>
    <n v="14.75"/>
    <x v="0"/>
    <x v="1"/>
    <s v="Ricotta Cheese, Gorgonzola Piccante Cheese, Mozzarella Cheese, Parmigiano Reggiano Cheese, Garlic"/>
    <x v="21"/>
  </r>
  <r>
    <n v="1528"/>
    <n v="679"/>
    <n v="0.25"/>
    <s v="ital_supr_l"/>
    <n v="1"/>
    <x v="10"/>
    <x v="3"/>
    <x v="675"/>
    <n v="20.75"/>
    <n v="20.75"/>
    <x v="1"/>
    <x v="2"/>
    <s v="Calabrese Salami, Capocollo, Tomatoes, Red Onions, Green Olives, Garlic"/>
    <x v="3"/>
  </r>
  <r>
    <n v="1529"/>
    <n v="679"/>
    <n v="0.25"/>
    <s v="mediterraneo_l"/>
    <n v="1"/>
    <x v="10"/>
    <x v="3"/>
    <x v="675"/>
    <n v="20.25"/>
    <n v="20.25"/>
    <x v="1"/>
    <x v="1"/>
    <s v="Spinach, Artichokes, Kalamata Olives, Sun-dried Tomatoes, Feta Cheese, Plum Tomatoes, Red Onions"/>
    <x v="25"/>
  </r>
  <r>
    <n v="1530"/>
    <n v="680"/>
    <n v="0.5"/>
    <s v="ckn_pesto_s"/>
    <n v="1"/>
    <x v="10"/>
    <x v="3"/>
    <x v="676"/>
    <n v="12.75"/>
    <n v="12.75"/>
    <x v="2"/>
    <x v="3"/>
    <s v="Chicken, Tomatoes, Red Peppers, Spinach, Garlic, Pesto Sauce"/>
    <x v="18"/>
  </r>
  <r>
    <n v="1531"/>
    <n v="680"/>
    <n v="0.5"/>
    <s v="sicilian_m"/>
    <n v="1"/>
    <x v="10"/>
    <x v="3"/>
    <x v="676"/>
    <n v="16.25"/>
    <n v="16.25"/>
    <x v="0"/>
    <x v="2"/>
    <s v="Coarse Sicilian Salami, Tomatoes, Green Olives, Luganega Sausage, Onions, Garlic"/>
    <x v="28"/>
  </r>
  <r>
    <n v="1532"/>
    <n v="681"/>
    <n v="1"/>
    <s v="peppr_salami_l"/>
    <n v="1"/>
    <x v="10"/>
    <x v="3"/>
    <x v="677"/>
    <n v="20.75"/>
    <n v="20.75"/>
    <x v="1"/>
    <x v="2"/>
    <s v="Genoa Salami, Capocollo, Pepperoni, Tomatoes, Asiago Cheese, Garlic"/>
    <x v="26"/>
  </r>
  <r>
    <n v="1533"/>
    <n v="682"/>
    <n v="1"/>
    <s v="ital_supr_l"/>
    <n v="1"/>
    <x v="11"/>
    <x v="4"/>
    <x v="678"/>
    <n v="20.75"/>
    <n v="20.75"/>
    <x v="1"/>
    <x v="2"/>
    <s v="Calabrese Salami, Capocollo, Tomatoes, Red Onions, Green Olives, Garlic"/>
    <x v="3"/>
  </r>
  <r>
    <n v="1534"/>
    <n v="683"/>
    <n v="0.33333333333333331"/>
    <s v="ckn_pesto_l"/>
    <n v="1"/>
    <x v="11"/>
    <x v="4"/>
    <x v="679"/>
    <n v="20.75"/>
    <n v="20.75"/>
    <x v="1"/>
    <x v="3"/>
    <s v="Chicken, Tomatoes, Red Peppers, Spinach, Garlic, Pesto Sauce"/>
    <x v="18"/>
  </r>
  <r>
    <n v="1535"/>
    <n v="683"/>
    <n v="0.33333333333333331"/>
    <s v="ital_veggie_s"/>
    <n v="1"/>
    <x v="11"/>
    <x v="4"/>
    <x v="679"/>
    <n v="12.75"/>
    <n v="12.75"/>
    <x v="2"/>
    <x v="1"/>
    <s v="Eggplant, Artichokes, Tomatoes, Zucchini, Red Peppers, Garlic, Pesto Sauce"/>
    <x v="24"/>
  </r>
  <r>
    <n v="1536"/>
    <n v="683"/>
    <n v="0.33333333333333331"/>
    <s v="peppr_salami_m"/>
    <n v="1"/>
    <x v="11"/>
    <x v="4"/>
    <x v="679"/>
    <n v="16.5"/>
    <n v="16.5"/>
    <x v="0"/>
    <x v="2"/>
    <s v="Genoa Salami, Capocollo, Pepperoni, Tomatoes, Asiago Cheese, Garlic"/>
    <x v="26"/>
  </r>
  <r>
    <n v="1537"/>
    <n v="684"/>
    <n v="1"/>
    <s v="four_cheese_l"/>
    <n v="1"/>
    <x v="11"/>
    <x v="4"/>
    <x v="680"/>
    <n v="17.95"/>
    <n v="17.95"/>
    <x v="1"/>
    <x v="1"/>
    <s v="Ricotta Cheese, Gorgonzola Piccante Cheese, Mozzarella Cheese, Parmigiano Reggiano Cheese, Garlic"/>
    <x v="21"/>
  </r>
  <r>
    <n v="1538"/>
    <n v="685"/>
    <n v="1"/>
    <s v="soppressata_l"/>
    <n v="1"/>
    <x v="11"/>
    <x v="4"/>
    <x v="681"/>
    <n v="20.75"/>
    <n v="20.75"/>
    <x v="1"/>
    <x v="2"/>
    <s v="Soppressata Salami, Fontina Cheese, Mozzarella Cheese, Mushrooms, Garlic"/>
    <x v="20"/>
  </r>
  <r>
    <n v="1539"/>
    <n v="686"/>
    <n v="1"/>
    <s v="big_meat_s"/>
    <n v="1"/>
    <x v="11"/>
    <x v="4"/>
    <x v="682"/>
    <n v="12"/>
    <n v="12"/>
    <x v="2"/>
    <x v="0"/>
    <s v="Bacon, Pepperoni, Italian Sausage, Chorizo Sausage"/>
    <x v="19"/>
  </r>
  <r>
    <n v="1540"/>
    <n v="687"/>
    <n v="1"/>
    <s v="ital_veggie_m"/>
    <n v="1"/>
    <x v="11"/>
    <x v="4"/>
    <x v="683"/>
    <n v="16.75"/>
    <n v="16.75"/>
    <x v="0"/>
    <x v="1"/>
    <s v="Eggplant, Artichokes, Tomatoes, Zucchini, Red Peppers, Garlic, Pesto Sauce"/>
    <x v="24"/>
  </r>
  <r>
    <n v="1541"/>
    <n v="688"/>
    <n v="0.5"/>
    <s v="spicy_ital_l"/>
    <n v="1"/>
    <x v="11"/>
    <x v="4"/>
    <x v="684"/>
    <n v="20.75"/>
    <n v="20.75"/>
    <x v="1"/>
    <x v="2"/>
    <s v="Capocollo, Tomatoes, Goat Cheese, Artichokes, Peperoncini verdi, Garlic"/>
    <x v="12"/>
  </r>
  <r>
    <n v="1542"/>
    <n v="688"/>
    <n v="0.5"/>
    <s v="spinach_supr_m"/>
    <n v="1"/>
    <x v="11"/>
    <x v="4"/>
    <x v="684"/>
    <n v="16.5"/>
    <n v="16.5"/>
    <x v="0"/>
    <x v="2"/>
    <s v="Spinach, Red Onions, Pepperoni, Tomatoes, Artichokes, Kalamata Olives, Garlic, Asiago Cheese"/>
    <x v="9"/>
  </r>
  <r>
    <n v="1543"/>
    <n v="689"/>
    <n v="0.5"/>
    <s v="thai_ckn_l"/>
    <n v="1"/>
    <x v="11"/>
    <x v="4"/>
    <x v="685"/>
    <n v="20.75"/>
    <n v="20.75"/>
    <x v="1"/>
    <x v="3"/>
    <s v="Chicken, Pineapple, Tomatoes, Red Peppers, Thai Sweet Chilli Sauce"/>
    <x v="5"/>
  </r>
  <r>
    <n v="1544"/>
    <n v="689"/>
    <n v="0.5"/>
    <s v="thai_ckn_m"/>
    <n v="1"/>
    <x v="11"/>
    <x v="4"/>
    <x v="685"/>
    <n v="16.75"/>
    <n v="16.75"/>
    <x v="0"/>
    <x v="3"/>
    <s v="Chicken, Pineapple, Tomatoes, Red Peppers, Thai Sweet Chilli Sauce"/>
    <x v="5"/>
  </r>
  <r>
    <n v="1545"/>
    <n v="690"/>
    <n v="1"/>
    <s v="pepperoni_m"/>
    <n v="1"/>
    <x v="11"/>
    <x v="4"/>
    <x v="686"/>
    <n v="12.5"/>
    <n v="12.5"/>
    <x v="0"/>
    <x v="0"/>
    <s v="Mozzarella Cheese, Pepperoni"/>
    <x v="17"/>
  </r>
  <r>
    <n v="1546"/>
    <n v="691"/>
    <n v="1"/>
    <s v="bbq_ckn_l"/>
    <n v="1"/>
    <x v="11"/>
    <x v="4"/>
    <x v="687"/>
    <n v="20.75"/>
    <n v="20.75"/>
    <x v="1"/>
    <x v="3"/>
    <s v="Barbecued Chicken, Red Peppers, Green Peppers, Tomatoes, Red Onions, Barbecue Sauce"/>
    <x v="7"/>
  </r>
  <r>
    <n v="1547"/>
    <n v="692"/>
    <n v="0.5"/>
    <s v="cali_ckn_m"/>
    <n v="1"/>
    <x v="11"/>
    <x v="4"/>
    <x v="688"/>
    <n v="16.75"/>
    <n v="16.75"/>
    <x v="0"/>
    <x v="3"/>
    <s v="Chicken, Artichoke, Spinach, Garlic, Jalapeno Peppers, Fontina Cheese, Gouda Cheese"/>
    <x v="16"/>
  </r>
  <r>
    <n v="1548"/>
    <n v="692"/>
    <n v="0.5"/>
    <s v="ital_veggie_m"/>
    <n v="1"/>
    <x v="11"/>
    <x v="4"/>
    <x v="688"/>
    <n v="16.75"/>
    <n v="16.75"/>
    <x v="0"/>
    <x v="1"/>
    <s v="Eggplant, Artichokes, Tomatoes, Zucchini, Red Peppers, Garlic, Pesto Sauce"/>
    <x v="24"/>
  </r>
  <r>
    <n v="1549"/>
    <n v="693"/>
    <n v="0.25"/>
    <s v="bbq_ckn_l"/>
    <n v="1"/>
    <x v="11"/>
    <x v="4"/>
    <x v="689"/>
    <n v="20.75"/>
    <n v="20.75"/>
    <x v="1"/>
    <x v="3"/>
    <s v="Barbecued Chicken, Red Peppers, Green Peppers, Tomatoes, Red Onions, Barbecue Sauce"/>
    <x v="7"/>
  </r>
  <r>
    <n v="1550"/>
    <n v="693"/>
    <n v="0.25"/>
    <s v="big_meat_s"/>
    <n v="1"/>
    <x v="11"/>
    <x v="4"/>
    <x v="689"/>
    <n v="12"/>
    <n v="12"/>
    <x v="2"/>
    <x v="0"/>
    <s v="Bacon, Pepperoni, Italian Sausage, Chorizo Sausage"/>
    <x v="19"/>
  </r>
  <r>
    <n v="1551"/>
    <n v="693"/>
    <n v="0.25"/>
    <s v="green_garden_m"/>
    <n v="1"/>
    <x v="11"/>
    <x v="4"/>
    <x v="689"/>
    <n v="16"/>
    <n v="16"/>
    <x v="0"/>
    <x v="1"/>
    <s v="Spinach, Mushrooms, Tomatoes, Green Olives, Feta Cheese"/>
    <x v="10"/>
  </r>
  <r>
    <n v="1552"/>
    <n v="693"/>
    <n v="0.25"/>
    <s v="ital_cpcllo_s"/>
    <n v="1"/>
    <x v="11"/>
    <x v="4"/>
    <x v="689"/>
    <n v="12"/>
    <n v="12"/>
    <x v="2"/>
    <x v="0"/>
    <s v="Capocollo, Red Peppers, Tomatoes, Goat Cheese, Garlic, Oregano"/>
    <x v="11"/>
  </r>
  <r>
    <n v="1553"/>
    <n v="694"/>
    <n v="0.33333333333333331"/>
    <s v="ital_veggie_l"/>
    <n v="1"/>
    <x v="11"/>
    <x v="4"/>
    <x v="690"/>
    <n v="21"/>
    <n v="21"/>
    <x v="1"/>
    <x v="1"/>
    <s v="Eggplant, Artichokes, Tomatoes, Zucchini, Red Peppers, Garlic, Pesto Sauce"/>
    <x v="24"/>
  </r>
  <r>
    <n v="1554"/>
    <n v="694"/>
    <n v="0.33333333333333331"/>
    <s v="pep_msh_pep_m"/>
    <n v="1"/>
    <x v="11"/>
    <x v="4"/>
    <x v="690"/>
    <n v="14.5"/>
    <n v="14.5"/>
    <x v="0"/>
    <x v="0"/>
    <s v="Pepperoni, Mushrooms, Green Peppers"/>
    <x v="30"/>
  </r>
  <r>
    <n v="1555"/>
    <n v="694"/>
    <n v="0.33333333333333331"/>
    <s v="pepperoni_l"/>
    <n v="1"/>
    <x v="11"/>
    <x v="4"/>
    <x v="690"/>
    <n v="15.25"/>
    <n v="15.25"/>
    <x v="1"/>
    <x v="0"/>
    <s v="Mozzarella Cheese, Pepperoni"/>
    <x v="17"/>
  </r>
  <r>
    <n v="1556"/>
    <n v="695"/>
    <n v="1"/>
    <s v="southw_ckn_s"/>
    <n v="1"/>
    <x v="11"/>
    <x v="4"/>
    <x v="691"/>
    <n v="12.75"/>
    <n v="12.75"/>
    <x v="2"/>
    <x v="3"/>
    <s v="Chicken, Tomatoes, Red Peppers, Red Onions, Jalapeno Peppers, Corn, Cilantro, Chipotle Sauce"/>
    <x v="15"/>
  </r>
  <r>
    <n v="1557"/>
    <n v="696"/>
    <n v="0.5"/>
    <s v="prsc_argla_m"/>
    <n v="1"/>
    <x v="11"/>
    <x v="4"/>
    <x v="692"/>
    <n v="16.5"/>
    <n v="16.5"/>
    <x v="0"/>
    <x v="2"/>
    <s v="Prosciutto di San Daniele, Arugula, Mozzarella Cheese"/>
    <x v="6"/>
  </r>
  <r>
    <n v="1558"/>
    <n v="696"/>
    <n v="0.5"/>
    <s v="spicy_ital_s"/>
    <n v="1"/>
    <x v="11"/>
    <x v="4"/>
    <x v="692"/>
    <n v="12.5"/>
    <n v="12.5"/>
    <x v="2"/>
    <x v="2"/>
    <s v="Capocollo, Tomatoes, Goat Cheese, Artichokes, Peperoncini verdi, Garlic"/>
    <x v="12"/>
  </r>
  <r>
    <n v="1559"/>
    <n v="697"/>
    <n v="0.5"/>
    <s v="classic_dlx_m"/>
    <n v="1"/>
    <x v="11"/>
    <x v="4"/>
    <x v="693"/>
    <n v="16"/>
    <n v="16"/>
    <x v="0"/>
    <x v="0"/>
    <s v="Pepperoni, Mushrooms, Red Onions, Red Peppers, Bacon"/>
    <x v="1"/>
  </r>
  <r>
    <n v="1560"/>
    <n v="697"/>
    <n v="0.5"/>
    <s v="spin_pesto_s"/>
    <n v="1"/>
    <x v="11"/>
    <x v="4"/>
    <x v="693"/>
    <n v="12.5"/>
    <n v="12.5"/>
    <x v="2"/>
    <x v="1"/>
    <s v="Spinach, Artichokes, Tomatoes, Sun-dried Tomatoes, Garlic, Pesto Sauce"/>
    <x v="13"/>
  </r>
  <r>
    <n v="1561"/>
    <n v="698"/>
    <n v="0.33333333333333331"/>
    <s v="big_meat_s"/>
    <n v="1"/>
    <x v="11"/>
    <x v="4"/>
    <x v="694"/>
    <n v="12"/>
    <n v="12"/>
    <x v="2"/>
    <x v="0"/>
    <s v="Bacon, Pepperoni, Italian Sausage, Chorizo Sausage"/>
    <x v="19"/>
  </r>
  <r>
    <n v="1562"/>
    <n v="698"/>
    <n v="0.33333333333333331"/>
    <s v="pep_msh_pep_l"/>
    <n v="1"/>
    <x v="11"/>
    <x v="4"/>
    <x v="694"/>
    <n v="17.5"/>
    <n v="17.5"/>
    <x v="1"/>
    <x v="0"/>
    <s v="Pepperoni, Mushrooms, Green Peppers"/>
    <x v="30"/>
  </r>
  <r>
    <n v="1563"/>
    <n v="698"/>
    <n v="0.33333333333333331"/>
    <s v="thai_ckn_l"/>
    <n v="1"/>
    <x v="11"/>
    <x v="4"/>
    <x v="694"/>
    <n v="20.75"/>
    <n v="20.75"/>
    <x v="1"/>
    <x v="3"/>
    <s v="Chicken, Pineapple, Tomatoes, Red Peppers, Thai Sweet Chilli Sauce"/>
    <x v="5"/>
  </r>
  <r>
    <n v="1564"/>
    <n v="699"/>
    <n v="1"/>
    <s v="pepperoni_s"/>
    <n v="1"/>
    <x v="11"/>
    <x v="4"/>
    <x v="695"/>
    <n v="9.75"/>
    <n v="9.75"/>
    <x v="2"/>
    <x v="0"/>
    <s v="Mozzarella Cheese, Pepperoni"/>
    <x v="17"/>
  </r>
  <r>
    <n v="1565"/>
    <n v="700"/>
    <n v="0.2"/>
    <s v="brie_carre_s"/>
    <n v="1"/>
    <x v="11"/>
    <x v="4"/>
    <x v="696"/>
    <n v="23.65"/>
    <n v="23.65"/>
    <x v="2"/>
    <x v="2"/>
    <s v="Brie Carre Cheese, Prosciutto, Caramelized Onions, Pears, Thyme, Garlic"/>
    <x v="31"/>
  </r>
  <r>
    <n v="1566"/>
    <n v="700"/>
    <n v="0.2"/>
    <s v="ckn_pesto_s"/>
    <n v="1"/>
    <x v="11"/>
    <x v="4"/>
    <x v="696"/>
    <n v="12.75"/>
    <n v="12.75"/>
    <x v="2"/>
    <x v="3"/>
    <s v="Chicken, Tomatoes, Red Peppers, Spinach, Garlic, Pesto Sauce"/>
    <x v="18"/>
  </r>
  <r>
    <n v="1567"/>
    <n v="700"/>
    <n v="0.2"/>
    <s v="ital_cpcllo_l"/>
    <n v="1"/>
    <x v="11"/>
    <x v="4"/>
    <x v="696"/>
    <n v="20.5"/>
    <n v="20.5"/>
    <x v="1"/>
    <x v="0"/>
    <s v="Capocollo, Red Peppers, Tomatoes, Goat Cheese, Garlic, Oregano"/>
    <x v="11"/>
  </r>
  <r>
    <n v="1568"/>
    <n v="700"/>
    <n v="0.2"/>
    <s v="peppr_salami_s"/>
    <n v="1"/>
    <x v="11"/>
    <x v="4"/>
    <x v="696"/>
    <n v="12.5"/>
    <n v="12.5"/>
    <x v="2"/>
    <x v="2"/>
    <s v="Genoa Salami, Capocollo, Pepperoni, Tomatoes, Asiago Cheese, Garlic"/>
    <x v="26"/>
  </r>
  <r>
    <n v="1569"/>
    <n v="700"/>
    <n v="0.2"/>
    <s v="sicilian_s"/>
    <n v="1"/>
    <x v="11"/>
    <x v="4"/>
    <x v="696"/>
    <n v="12.25"/>
    <n v="12.25"/>
    <x v="2"/>
    <x v="2"/>
    <s v="Coarse Sicilian Salami, Tomatoes, Green Olives, Luganega Sausage, Onions, Garlic"/>
    <x v="28"/>
  </r>
  <r>
    <n v="1570"/>
    <n v="701"/>
    <n v="0.5"/>
    <s v="hawaiian_s"/>
    <n v="1"/>
    <x v="11"/>
    <x v="4"/>
    <x v="697"/>
    <n v="10.5"/>
    <n v="10.5"/>
    <x v="2"/>
    <x v="0"/>
    <s v="Sliced Ham, Pineapple, Mozzarella Cheese"/>
    <x v="0"/>
  </r>
  <r>
    <n v="1571"/>
    <n v="701"/>
    <n v="0.5"/>
    <s v="prsc_argla_s"/>
    <n v="1"/>
    <x v="11"/>
    <x v="4"/>
    <x v="697"/>
    <n v="12.5"/>
    <n v="12.5"/>
    <x v="2"/>
    <x v="2"/>
    <s v="Prosciutto di San Daniele, Arugula, Mozzarella Cheese"/>
    <x v="6"/>
  </r>
  <r>
    <n v="1572"/>
    <n v="702"/>
    <n v="0.5"/>
    <s v="bbq_ckn_s"/>
    <n v="1"/>
    <x v="11"/>
    <x v="4"/>
    <x v="698"/>
    <n v="12.75"/>
    <n v="12.75"/>
    <x v="2"/>
    <x v="3"/>
    <s v="Barbecued Chicken, Red Peppers, Green Peppers, Tomatoes, Red Onions, Barbecue Sauce"/>
    <x v="7"/>
  </r>
  <r>
    <n v="1573"/>
    <n v="702"/>
    <n v="0.5"/>
    <s v="sicilian_s"/>
    <n v="1"/>
    <x v="11"/>
    <x v="4"/>
    <x v="698"/>
    <n v="12.25"/>
    <n v="12.25"/>
    <x v="2"/>
    <x v="2"/>
    <s v="Coarse Sicilian Salami, Tomatoes, Green Olives, Luganega Sausage, Onions, Garlic"/>
    <x v="28"/>
  </r>
  <r>
    <n v="1574"/>
    <n v="703"/>
    <n v="1"/>
    <s v="peppr_salami_s"/>
    <n v="1"/>
    <x v="11"/>
    <x v="4"/>
    <x v="699"/>
    <n v="12.5"/>
    <n v="12.5"/>
    <x v="2"/>
    <x v="2"/>
    <s v="Genoa Salami, Capocollo, Pepperoni, Tomatoes, Asiago Cheese, Garlic"/>
    <x v="26"/>
  </r>
  <r>
    <n v="1575"/>
    <n v="704"/>
    <n v="0.5"/>
    <s v="calabrese_m"/>
    <n v="1"/>
    <x v="11"/>
    <x v="4"/>
    <x v="700"/>
    <n v="16.25"/>
    <n v="16.25"/>
    <x v="0"/>
    <x v="2"/>
    <s v="?duja Salami, Pancetta, Tomatoes, Red Onions, Friggitello Peppers, Garlic"/>
    <x v="23"/>
  </r>
  <r>
    <n v="1576"/>
    <n v="704"/>
    <n v="0.5"/>
    <s v="mediterraneo_l"/>
    <n v="1"/>
    <x v="11"/>
    <x v="4"/>
    <x v="700"/>
    <n v="20.25"/>
    <n v="20.25"/>
    <x v="1"/>
    <x v="1"/>
    <s v="Spinach, Artichokes, Kalamata Olives, Sun-dried Tomatoes, Feta Cheese, Plum Tomatoes, Red Onions"/>
    <x v="25"/>
  </r>
  <r>
    <n v="1577"/>
    <n v="705"/>
    <n v="0.33333333333333331"/>
    <s v="green_garden_s"/>
    <n v="1"/>
    <x v="11"/>
    <x v="4"/>
    <x v="701"/>
    <n v="12"/>
    <n v="12"/>
    <x v="2"/>
    <x v="1"/>
    <s v="Spinach, Mushrooms, Tomatoes, Green Olives, Feta Cheese"/>
    <x v="10"/>
  </r>
  <r>
    <n v="1578"/>
    <n v="705"/>
    <n v="0.33333333333333331"/>
    <s v="ital_supr_m"/>
    <n v="1"/>
    <x v="11"/>
    <x v="4"/>
    <x v="701"/>
    <n v="16.5"/>
    <n v="16.5"/>
    <x v="0"/>
    <x v="2"/>
    <s v="Calabrese Salami, Capocollo, Tomatoes, Red Onions, Green Olives, Garlic"/>
    <x v="3"/>
  </r>
  <r>
    <n v="1579"/>
    <n v="705"/>
    <n v="0.33333333333333331"/>
    <s v="southw_ckn_m"/>
    <n v="1"/>
    <x v="11"/>
    <x v="4"/>
    <x v="701"/>
    <n v="16.75"/>
    <n v="16.75"/>
    <x v="0"/>
    <x v="3"/>
    <s v="Chicken, Tomatoes, Red Peppers, Red Onions, Jalapeno Peppers, Corn, Cilantro, Chipotle Sauce"/>
    <x v="15"/>
  </r>
  <r>
    <n v="1580"/>
    <n v="706"/>
    <n v="0.5"/>
    <s v="cali_ckn_s"/>
    <n v="1"/>
    <x v="11"/>
    <x v="4"/>
    <x v="702"/>
    <n v="12.75"/>
    <n v="12.75"/>
    <x v="2"/>
    <x v="3"/>
    <s v="Chicken, Artichoke, Spinach, Garlic, Jalapeno Peppers, Fontina Cheese, Gouda Cheese"/>
    <x v="16"/>
  </r>
  <r>
    <n v="1581"/>
    <n v="706"/>
    <n v="0.5"/>
    <s v="napolitana_l"/>
    <n v="1"/>
    <x v="11"/>
    <x v="4"/>
    <x v="702"/>
    <n v="20.5"/>
    <n v="20.5"/>
    <x v="1"/>
    <x v="0"/>
    <s v="Tomatoes, Anchovies, Green Olives, Red Onions, Garlic"/>
    <x v="22"/>
  </r>
  <r>
    <n v="1582"/>
    <n v="707"/>
    <n v="0.33333333333333331"/>
    <s v="bbq_ckn_m"/>
    <n v="1"/>
    <x v="11"/>
    <x v="4"/>
    <x v="703"/>
    <n v="16.75"/>
    <n v="16.75"/>
    <x v="0"/>
    <x v="3"/>
    <s v="Barbecued Chicken, Red Peppers, Green Peppers, Tomatoes, Red Onions, Barbecue Sauce"/>
    <x v="7"/>
  </r>
  <r>
    <n v="1583"/>
    <n v="707"/>
    <n v="0.33333333333333331"/>
    <s v="peppr_salami_l"/>
    <n v="1"/>
    <x v="11"/>
    <x v="4"/>
    <x v="703"/>
    <n v="20.75"/>
    <n v="20.75"/>
    <x v="1"/>
    <x v="2"/>
    <s v="Genoa Salami, Capocollo, Pepperoni, Tomatoes, Asiago Cheese, Garlic"/>
    <x v="26"/>
  </r>
  <r>
    <n v="1584"/>
    <n v="707"/>
    <n v="0.33333333333333331"/>
    <s v="southw_ckn_l"/>
    <n v="1"/>
    <x v="11"/>
    <x v="4"/>
    <x v="703"/>
    <n v="20.75"/>
    <n v="20.75"/>
    <x v="1"/>
    <x v="3"/>
    <s v="Chicken, Tomatoes, Red Peppers, Red Onions, Jalapeno Peppers, Corn, Cilantro, Chipotle Sauce"/>
    <x v="15"/>
  </r>
  <r>
    <n v="1585"/>
    <n v="708"/>
    <n v="1"/>
    <s v="four_cheese_l"/>
    <n v="1"/>
    <x v="11"/>
    <x v="4"/>
    <x v="704"/>
    <n v="17.95"/>
    <n v="17.95"/>
    <x v="1"/>
    <x v="1"/>
    <s v="Ricotta Cheese, Gorgonzola Piccante Cheese, Mozzarella Cheese, Parmigiano Reggiano Cheese, Garlic"/>
    <x v="21"/>
  </r>
  <r>
    <n v="1586"/>
    <n v="709"/>
    <n v="1"/>
    <s v="bbq_ckn_s"/>
    <n v="1"/>
    <x v="11"/>
    <x v="4"/>
    <x v="705"/>
    <n v="12.75"/>
    <n v="12.75"/>
    <x v="2"/>
    <x v="3"/>
    <s v="Barbecued Chicken, Red Peppers, Green Peppers, Tomatoes, Red Onions, Barbecue Sauce"/>
    <x v="7"/>
  </r>
  <r>
    <n v="1587"/>
    <n v="710"/>
    <n v="0.25"/>
    <s v="hawaiian_l"/>
    <n v="1"/>
    <x v="11"/>
    <x v="4"/>
    <x v="706"/>
    <n v="16.5"/>
    <n v="16.5"/>
    <x v="1"/>
    <x v="0"/>
    <s v="Sliced Ham, Pineapple, Mozzarella Cheese"/>
    <x v="0"/>
  </r>
  <r>
    <n v="1588"/>
    <n v="710"/>
    <n v="0.25"/>
    <s v="southw_ckn_l"/>
    <n v="1"/>
    <x v="11"/>
    <x v="4"/>
    <x v="706"/>
    <n v="20.75"/>
    <n v="20.75"/>
    <x v="1"/>
    <x v="3"/>
    <s v="Chicken, Tomatoes, Red Peppers, Red Onions, Jalapeno Peppers, Corn, Cilantro, Chipotle Sauce"/>
    <x v="15"/>
  </r>
  <r>
    <n v="1589"/>
    <n v="710"/>
    <n v="0.25"/>
    <s v="the_greek_s"/>
    <n v="1"/>
    <x v="11"/>
    <x v="4"/>
    <x v="706"/>
    <n v="12"/>
    <n v="12"/>
    <x v="2"/>
    <x v="0"/>
    <s v="Kalamata Olives, Feta Cheese, Tomatoes, Garlic, Beef Chuck Roast, Red Onions"/>
    <x v="8"/>
  </r>
  <r>
    <n v="1590"/>
    <n v="710"/>
    <n v="0.25"/>
    <s v="the_greek_xl"/>
    <n v="1"/>
    <x v="11"/>
    <x v="4"/>
    <x v="706"/>
    <n v="25.5"/>
    <n v="25.5"/>
    <x v="3"/>
    <x v="0"/>
    <s v="Kalamata Olives, Feta Cheese, Tomatoes, Garlic, Beef Chuck Roast, Red Onions"/>
    <x v="8"/>
  </r>
  <r>
    <n v="1591"/>
    <n v="711"/>
    <n v="0.25"/>
    <s v="ckn_alfredo_m"/>
    <n v="1"/>
    <x v="11"/>
    <x v="4"/>
    <x v="707"/>
    <n v="16.75"/>
    <n v="16.75"/>
    <x v="0"/>
    <x v="3"/>
    <s v="Chicken, Red Onions, Red Peppers, Mushrooms, Asiago Cheese, Alfredo Sauce"/>
    <x v="29"/>
  </r>
  <r>
    <n v="1592"/>
    <n v="711"/>
    <n v="0.25"/>
    <s v="mexicana_l"/>
    <n v="1"/>
    <x v="11"/>
    <x v="4"/>
    <x v="707"/>
    <n v="20.25"/>
    <n v="20.25"/>
    <x v="1"/>
    <x v="1"/>
    <s v="Tomatoes, Red Peppers, Jalapeno Peppers, Red Onions, Cilantro, Corn, Chipotle Sauce, Garlic"/>
    <x v="4"/>
  </r>
  <r>
    <n v="1593"/>
    <n v="711"/>
    <n v="0.25"/>
    <s v="pep_msh_pep_m"/>
    <n v="1"/>
    <x v="11"/>
    <x v="4"/>
    <x v="707"/>
    <n v="14.5"/>
    <n v="14.5"/>
    <x v="0"/>
    <x v="0"/>
    <s v="Pepperoni, Mushrooms, Green Peppers"/>
    <x v="30"/>
  </r>
  <r>
    <n v="1594"/>
    <n v="711"/>
    <n v="0.25"/>
    <s v="sicilian_l"/>
    <n v="1"/>
    <x v="11"/>
    <x v="4"/>
    <x v="707"/>
    <n v="20.25"/>
    <n v="20.25"/>
    <x v="1"/>
    <x v="2"/>
    <s v="Coarse Sicilian Salami, Tomatoes, Green Olives, Luganega Sausage, Onions, Garlic"/>
    <x v="28"/>
  </r>
  <r>
    <n v="1595"/>
    <n v="712"/>
    <n v="1"/>
    <s v="ital_veggie_l"/>
    <n v="1"/>
    <x v="11"/>
    <x v="4"/>
    <x v="708"/>
    <n v="21"/>
    <n v="21"/>
    <x v="1"/>
    <x v="1"/>
    <s v="Eggplant, Artichokes, Tomatoes, Zucchini, Red Peppers, Garlic, Pesto Sauce"/>
    <x v="24"/>
  </r>
  <r>
    <n v="1596"/>
    <n v="713"/>
    <n v="0.5"/>
    <s v="five_cheese_l"/>
    <n v="1"/>
    <x v="11"/>
    <x v="4"/>
    <x v="709"/>
    <n v="18.5"/>
    <n v="18.5"/>
    <x v="1"/>
    <x v="1"/>
    <s v="Mozzarella Cheese, Provolone Cheese, Smoked Gouda Cheese, Romano Cheese, Blue Cheese, Garlic"/>
    <x v="2"/>
  </r>
  <r>
    <n v="1597"/>
    <n v="713"/>
    <n v="0.5"/>
    <s v="mediterraneo_s"/>
    <n v="1"/>
    <x v="11"/>
    <x v="4"/>
    <x v="709"/>
    <n v="12"/>
    <n v="12"/>
    <x v="2"/>
    <x v="1"/>
    <s v="Spinach, Artichokes, Kalamata Olives, Sun-dried Tomatoes, Feta Cheese, Plum Tomatoes, Red Onions"/>
    <x v="25"/>
  </r>
  <r>
    <n v="1598"/>
    <n v="714"/>
    <n v="0.25"/>
    <s v="classic_dlx_m"/>
    <n v="1"/>
    <x v="11"/>
    <x v="4"/>
    <x v="710"/>
    <n v="16"/>
    <n v="16"/>
    <x v="0"/>
    <x v="0"/>
    <s v="Pepperoni, Mushrooms, Red Onions, Red Peppers, Bacon"/>
    <x v="1"/>
  </r>
  <r>
    <n v="1599"/>
    <n v="714"/>
    <n v="0.25"/>
    <s v="hawaiian_l"/>
    <n v="1"/>
    <x v="11"/>
    <x v="4"/>
    <x v="710"/>
    <n v="16.5"/>
    <n v="16.5"/>
    <x v="1"/>
    <x v="0"/>
    <s v="Sliced Ham, Pineapple, Mozzarella Cheese"/>
    <x v="0"/>
  </r>
  <r>
    <n v="1600"/>
    <n v="714"/>
    <n v="0.25"/>
    <s v="hawaiian_s"/>
    <n v="1"/>
    <x v="11"/>
    <x v="4"/>
    <x v="710"/>
    <n v="10.5"/>
    <n v="10.5"/>
    <x v="2"/>
    <x v="0"/>
    <s v="Sliced Ham, Pineapple, Mozzarella Cheese"/>
    <x v="0"/>
  </r>
  <r>
    <n v="1601"/>
    <n v="714"/>
    <n v="0.25"/>
    <s v="ital_cpcllo_l"/>
    <n v="1"/>
    <x v="11"/>
    <x v="4"/>
    <x v="710"/>
    <n v="20.5"/>
    <n v="20.5"/>
    <x v="1"/>
    <x v="0"/>
    <s v="Capocollo, Red Peppers, Tomatoes, Goat Cheese, Garlic, Oregano"/>
    <x v="11"/>
  </r>
  <r>
    <n v="1602"/>
    <n v="715"/>
    <n v="0.33333333333333331"/>
    <s v="pepperoni_m"/>
    <n v="1"/>
    <x v="11"/>
    <x v="4"/>
    <x v="711"/>
    <n v="12.5"/>
    <n v="12.5"/>
    <x v="0"/>
    <x v="0"/>
    <s v="Mozzarella Cheese, Pepperoni"/>
    <x v="17"/>
  </r>
  <r>
    <n v="1603"/>
    <n v="715"/>
    <n v="0.33333333333333331"/>
    <s v="peppr_salami_m"/>
    <n v="1"/>
    <x v="11"/>
    <x v="4"/>
    <x v="711"/>
    <n v="16.5"/>
    <n v="16.5"/>
    <x v="0"/>
    <x v="2"/>
    <s v="Genoa Salami, Capocollo, Pepperoni, Tomatoes, Asiago Cheese, Garlic"/>
    <x v="26"/>
  </r>
  <r>
    <n v="1604"/>
    <n v="715"/>
    <n v="0.33333333333333331"/>
    <s v="spinach_fet_m"/>
    <n v="1"/>
    <x v="11"/>
    <x v="4"/>
    <x v="711"/>
    <n v="16"/>
    <n v="16"/>
    <x v="0"/>
    <x v="1"/>
    <s v="Spinach, Mushrooms, Red Onions, Feta Cheese, Garlic"/>
    <x v="27"/>
  </r>
  <r>
    <n v="1605"/>
    <n v="716"/>
    <n v="1"/>
    <s v="big_meat_s"/>
    <n v="1"/>
    <x v="11"/>
    <x v="4"/>
    <x v="712"/>
    <n v="12"/>
    <n v="12"/>
    <x v="2"/>
    <x v="0"/>
    <s v="Bacon, Pepperoni, Italian Sausage, Chorizo Sausage"/>
    <x v="19"/>
  </r>
  <r>
    <n v="1606"/>
    <n v="717"/>
    <n v="0.5"/>
    <s v="bbq_ckn_m"/>
    <n v="1"/>
    <x v="11"/>
    <x v="4"/>
    <x v="713"/>
    <n v="16.75"/>
    <n v="16.75"/>
    <x v="0"/>
    <x v="3"/>
    <s v="Barbecued Chicken, Red Peppers, Green Peppers, Tomatoes, Red Onions, Barbecue Sauce"/>
    <x v="7"/>
  </r>
  <r>
    <n v="1607"/>
    <n v="717"/>
    <n v="0.5"/>
    <s v="southw_ckn_l"/>
    <n v="1"/>
    <x v="11"/>
    <x v="4"/>
    <x v="713"/>
    <n v="20.75"/>
    <n v="20.75"/>
    <x v="1"/>
    <x v="3"/>
    <s v="Chicken, Tomatoes, Red Peppers, Red Onions, Jalapeno Peppers, Corn, Cilantro, Chipotle Sauce"/>
    <x v="15"/>
  </r>
  <r>
    <n v="1608"/>
    <n v="718"/>
    <n v="0.5"/>
    <s v="cali_ckn_m"/>
    <n v="1"/>
    <x v="11"/>
    <x v="4"/>
    <x v="714"/>
    <n v="16.75"/>
    <n v="16.75"/>
    <x v="0"/>
    <x v="3"/>
    <s v="Chicken, Artichoke, Spinach, Garlic, Jalapeno Peppers, Fontina Cheese, Gouda Cheese"/>
    <x v="16"/>
  </r>
  <r>
    <n v="1609"/>
    <n v="718"/>
    <n v="0.5"/>
    <s v="southw_ckn_l"/>
    <n v="1"/>
    <x v="11"/>
    <x v="4"/>
    <x v="714"/>
    <n v="20.75"/>
    <n v="20.75"/>
    <x v="1"/>
    <x v="3"/>
    <s v="Chicken, Tomatoes, Red Peppers, Red Onions, Jalapeno Peppers, Corn, Cilantro, Chipotle Sauce"/>
    <x v="15"/>
  </r>
  <r>
    <n v="1610"/>
    <n v="719"/>
    <n v="0.5"/>
    <s v="bbq_ckn_l"/>
    <n v="1"/>
    <x v="11"/>
    <x v="4"/>
    <x v="715"/>
    <n v="20.75"/>
    <n v="20.75"/>
    <x v="1"/>
    <x v="3"/>
    <s v="Barbecued Chicken, Red Peppers, Green Peppers, Tomatoes, Red Onions, Barbecue Sauce"/>
    <x v="7"/>
  </r>
  <r>
    <n v="1611"/>
    <n v="719"/>
    <n v="0.5"/>
    <s v="mexicana_s"/>
    <n v="1"/>
    <x v="11"/>
    <x v="4"/>
    <x v="715"/>
    <n v="12"/>
    <n v="12"/>
    <x v="2"/>
    <x v="1"/>
    <s v="Tomatoes, Red Peppers, Jalapeno Peppers, Red Onions, Cilantro, Corn, Chipotle Sauce, Garlic"/>
    <x v="4"/>
  </r>
  <r>
    <n v="1612"/>
    <n v="720"/>
    <n v="0.25"/>
    <s v="green_garden_m"/>
    <n v="1"/>
    <x v="11"/>
    <x v="4"/>
    <x v="716"/>
    <n v="16"/>
    <n v="16"/>
    <x v="0"/>
    <x v="1"/>
    <s v="Spinach, Mushrooms, Tomatoes, Green Olives, Feta Cheese"/>
    <x v="10"/>
  </r>
  <r>
    <n v="1613"/>
    <n v="720"/>
    <n v="0.25"/>
    <s v="napolitana_l"/>
    <n v="1"/>
    <x v="11"/>
    <x v="4"/>
    <x v="716"/>
    <n v="20.5"/>
    <n v="20.5"/>
    <x v="1"/>
    <x v="0"/>
    <s v="Tomatoes, Anchovies, Green Olives, Red Onions, Garlic"/>
    <x v="22"/>
  </r>
  <r>
    <n v="1614"/>
    <n v="720"/>
    <n v="0.25"/>
    <s v="pep_msh_pep_m"/>
    <n v="1"/>
    <x v="11"/>
    <x v="4"/>
    <x v="716"/>
    <n v="14.5"/>
    <n v="14.5"/>
    <x v="0"/>
    <x v="0"/>
    <s v="Pepperoni, Mushrooms, Green Peppers"/>
    <x v="30"/>
  </r>
  <r>
    <n v="1615"/>
    <n v="720"/>
    <n v="0.25"/>
    <s v="sicilian_m"/>
    <n v="1"/>
    <x v="11"/>
    <x v="4"/>
    <x v="716"/>
    <n v="16.25"/>
    <n v="16.25"/>
    <x v="0"/>
    <x v="2"/>
    <s v="Coarse Sicilian Salami, Tomatoes, Green Olives, Luganega Sausage, Onions, Garlic"/>
    <x v="28"/>
  </r>
  <r>
    <n v="1616"/>
    <n v="721"/>
    <n v="0.5"/>
    <s v="classic_dlx_s"/>
    <n v="1"/>
    <x v="11"/>
    <x v="4"/>
    <x v="717"/>
    <n v="12"/>
    <n v="12"/>
    <x v="2"/>
    <x v="0"/>
    <s v="Pepperoni, Mushrooms, Red Onions, Red Peppers, Bacon"/>
    <x v="1"/>
  </r>
  <r>
    <n v="1617"/>
    <n v="721"/>
    <n v="0.5"/>
    <s v="spicy_ital_l"/>
    <n v="1"/>
    <x v="11"/>
    <x v="4"/>
    <x v="717"/>
    <n v="20.75"/>
    <n v="20.75"/>
    <x v="1"/>
    <x v="2"/>
    <s v="Capocollo, Tomatoes, Goat Cheese, Artichokes, Peperoncini verdi, Garlic"/>
    <x v="12"/>
  </r>
  <r>
    <n v="1618"/>
    <n v="722"/>
    <n v="0.5"/>
    <s v="napolitana_l"/>
    <n v="1"/>
    <x v="11"/>
    <x v="4"/>
    <x v="718"/>
    <n v="20.5"/>
    <n v="20.5"/>
    <x v="1"/>
    <x v="0"/>
    <s v="Tomatoes, Anchovies, Green Olives, Red Onions, Garlic"/>
    <x v="22"/>
  </r>
  <r>
    <n v="1619"/>
    <n v="722"/>
    <n v="0.5"/>
    <s v="spin_pesto_s"/>
    <n v="1"/>
    <x v="11"/>
    <x v="4"/>
    <x v="718"/>
    <n v="12.5"/>
    <n v="12.5"/>
    <x v="2"/>
    <x v="1"/>
    <s v="Spinach, Artichokes, Tomatoes, Sun-dried Tomatoes, Garlic, Pesto Sauce"/>
    <x v="13"/>
  </r>
  <r>
    <n v="1620"/>
    <n v="723"/>
    <n v="0.5"/>
    <s v="bbq_ckn_l"/>
    <n v="1"/>
    <x v="11"/>
    <x v="4"/>
    <x v="719"/>
    <n v="20.75"/>
    <n v="20.75"/>
    <x v="1"/>
    <x v="3"/>
    <s v="Barbecued Chicken, Red Peppers, Green Peppers, Tomatoes, Red Onions, Barbecue Sauce"/>
    <x v="7"/>
  </r>
  <r>
    <n v="1621"/>
    <n v="723"/>
    <n v="0.5"/>
    <s v="pepperoni_s"/>
    <n v="1"/>
    <x v="11"/>
    <x v="4"/>
    <x v="719"/>
    <n v="9.75"/>
    <n v="9.75"/>
    <x v="2"/>
    <x v="0"/>
    <s v="Mozzarella Cheese, Pepperoni"/>
    <x v="17"/>
  </r>
  <r>
    <n v="1622"/>
    <n v="724"/>
    <n v="0.33333333333333331"/>
    <s v="big_meat_s"/>
    <n v="1"/>
    <x v="11"/>
    <x v="4"/>
    <x v="720"/>
    <n v="12"/>
    <n v="12"/>
    <x v="2"/>
    <x v="0"/>
    <s v="Bacon, Pepperoni, Italian Sausage, Chorizo Sausage"/>
    <x v="19"/>
  </r>
  <r>
    <n v="1623"/>
    <n v="724"/>
    <n v="0.33333333333333331"/>
    <s v="green_garden_m"/>
    <n v="1"/>
    <x v="11"/>
    <x v="4"/>
    <x v="720"/>
    <n v="16"/>
    <n v="16"/>
    <x v="0"/>
    <x v="1"/>
    <s v="Spinach, Mushrooms, Tomatoes, Green Olives, Feta Cheese"/>
    <x v="10"/>
  </r>
  <r>
    <n v="1624"/>
    <n v="724"/>
    <n v="0.33333333333333331"/>
    <s v="southw_ckn_l"/>
    <n v="2"/>
    <x v="11"/>
    <x v="4"/>
    <x v="720"/>
    <n v="20.75"/>
    <n v="41.5"/>
    <x v="1"/>
    <x v="3"/>
    <s v="Chicken, Tomatoes, Red Peppers, Red Onions, Jalapeno Peppers, Corn, Cilantro, Chipotle Sauce"/>
    <x v="15"/>
  </r>
  <r>
    <n v="1625"/>
    <n v="725"/>
    <n v="0.25"/>
    <s v="big_meat_s"/>
    <n v="1"/>
    <x v="11"/>
    <x v="4"/>
    <x v="721"/>
    <n v="12"/>
    <n v="12"/>
    <x v="2"/>
    <x v="0"/>
    <s v="Bacon, Pepperoni, Italian Sausage, Chorizo Sausage"/>
    <x v="19"/>
  </r>
  <r>
    <n v="1626"/>
    <n v="725"/>
    <n v="0.25"/>
    <s v="mexicana_s"/>
    <n v="1"/>
    <x v="11"/>
    <x v="4"/>
    <x v="721"/>
    <n v="12"/>
    <n v="12"/>
    <x v="2"/>
    <x v="1"/>
    <s v="Tomatoes, Red Peppers, Jalapeno Peppers, Red Onions, Cilantro, Corn, Chipotle Sauce, Garlic"/>
    <x v="4"/>
  </r>
  <r>
    <n v="1627"/>
    <n v="725"/>
    <n v="0.25"/>
    <s v="thai_ckn_l"/>
    <n v="1"/>
    <x v="11"/>
    <x v="4"/>
    <x v="721"/>
    <n v="20.75"/>
    <n v="20.75"/>
    <x v="1"/>
    <x v="3"/>
    <s v="Chicken, Pineapple, Tomatoes, Red Peppers, Thai Sweet Chilli Sauce"/>
    <x v="5"/>
  </r>
  <r>
    <n v="1628"/>
    <n v="725"/>
    <n v="0.25"/>
    <s v="the_greek_xl"/>
    <n v="1"/>
    <x v="11"/>
    <x v="4"/>
    <x v="721"/>
    <n v="25.5"/>
    <n v="25.5"/>
    <x v="3"/>
    <x v="0"/>
    <s v="Kalamata Olives, Feta Cheese, Tomatoes, Garlic, Beef Chuck Roast, Red Onions"/>
    <x v="8"/>
  </r>
  <r>
    <n v="1629"/>
    <n v="726"/>
    <n v="1"/>
    <s v="sicilian_s"/>
    <n v="1"/>
    <x v="11"/>
    <x v="4"/>
    <x v="722"/>
    <n v="12.25"/>
    <n v="12.25"/>
    <x v="2"/>
    <x v="2"/>
    <s v="Coarse Sicilian Salami, Tomatoes, Green Olives, Luganega Sausage, Onions, Garlic"/>
    <x v="28"/>
  </r>
  <r>
    <n v="1630"/>
    <n v="727"/>
    <n v="1"/>
    <s v="sicilian_s"/>
    <n v="1"/>
    <x v="11"/>
    <x v="4"/>
    <x v="723"/>
    <n v="12.25"/>
    <n v="12.25"/>
    <x v="2"/>
    <x v="2"/>
    <s v="Coarse Sicilian Salami, Tomatoes, Green Olives, Luganega Sausage, Onions, Garlic"/>
    <x v="28"/>
  </r>
  <r>
    <n v="1631"/>
    <n v="728"/>
    <n v="0.33333333333333331"/>
    <s v="southw_ckn_m"/>
    <n v="1"/>
    <x v="11"/>
    <x v="4"/>
    <x v="724"/>
    <n v="16.75"/>
    <n v="16.75"/>
    <x v="0"/>
    <x v="3"/>
    <s v="Chicken, Tomatoes, Red Peppers, Red Onions, Jalapeno Peppers, Corn, Cilantro, Chipotle Sauce"/>
    <x v="15"/>
  </r>
  <r>
    <n v="1632"/>
    <n v="728"/>
    <n v="0.33333333333333331"/>
    <s v="thai_ckn_s"/>
    <n v="1"/>
    <x v="11"/>
    <x v="4"/>
    <x v="724"/>
    <n v="12.75"/>
    <n v="12.75"/>
    <x v="2"/>
    <x v="3"/>
    <s v="Chicken, Pineapple, Tomatoes, Red Peppers, Thai Sweet Chilli Sauce"/>
    <x v="5"/>
  </r>
  <r>
    <n v="1633"/>
    <n v="728"/>
    <n v="0.33333333333333331"/>
    <s v="the_greek_m"/>
    <n v="1"/>
    <x v="11"/>
    <x v="4"/>
    <x v="724"/>
    <n v="16"/>
    <n v="16"/>
    <x v="0"/>
    <x v="0"/>
    <s v="Kalamata Olives, Feta Cheese, Tomatoes, Garlic, Beef Chuck Roast, Red Onions"/>
    <x v="8"/>
  </r>
  <r>
    <n v="1634"/>
    <n v="729"/>
    <n v="0.33333333333333331"/>
    <s v="classic_dlx_m"/>
    <n v="1"/>
    <x v="11"/>
    <x v="4"/>
    <x v="725"/>
    <n v="16"/>
    <n v="16"/>
    <x v="0"/>
    <x v="0"/>
    <s v="Pepperoni, Mushrooms, Red Onions, Red Peppers, Bacon"/>
    <x v="1"/>
  </r>
  <r>
    <n v="1635"/>
    <n v="729"/>
    <n v="0.33333333333333331"/>
    <s v="hawaiian_l"/>
    <n v="1"/>
    <x v="11"/>
    <x v="4"/>
    <x v="725"/>
    <n v="16.5"/>
    <n v="16.5"/>
    <x v="1"/>
    <x v="0"/>
    <s v="Sliced Ham, Pineapple, Mozzarella Cheese"/>
    <x v="0"/>
  </r>
  <r>
    <n v="1636"/>
    <n v="729"/>
    <n v="0.33333333333333331"/>
    <s v="sicilian_s"/>
    <n v="1"/>
    <x v="11"/>
    <x v="4"/>
    <x v="725"/>
    <n v="12.25"/>
    <n v="12.25"/>
    <x v="2"/>
    <x v="2"/>
    <s v="Coarse Sicilian Salami, Tomatoes, Green Olives, Luganega Sausage, Onions, Garlic"/>
    <x v="28"/>
  </r>
  <r>
    <n v="1637"/>
    <n v="730"/>
    <n v="1"/>
    <s v="ital_supr_m"/>
    <n v="1"/>
    <x v="11"/>
    <x v="4"/>
    <x v="726"/>
    <n v="16.5"/>
    <n v="16.5"/>
    <x v="0"/>
    <x v="2"/>
    <s v="Calabrese Salami, Capocollo, Tomatoes, Red Onions, Green Olives, Garlic"/>
    <x v="3"/>
  </r>
  <r>
    <n v="1638"/>
    <n v="731"/>
    <n v="0.5"/>
    <s v="sicilian_m"/>
    <n v="1"/>
    <x v="11"/>
    <x v="4"/>
    <x v="727"/>
    <n v="16.25"/>
    <n v="16.25"/>
    <x v="0"/>
    <x v="2"/>
    <s v="Coarse Sicilian Salami, Tomatoes, Green Olives, Luganega Sausage, Onions, Garlic"/>
    <x v="28"/>
  </r>
  <r>
    <n v="1639"/>
    <n v="731"/>
    <n v="0.5"/>
    <s v="veggie_veg_s"/>
    <n v="1"/>
    <x v="11"/>
    <x v="4"/>
    <x v="727"/>
    <n v="12"/>
    <n v="12"/>
    <x v="2"/>
    <x v="1"/>
    <s v="Mushrooms, Tomatoes, Red Peppers, Green Peppers, Red Onions, Zucchini, Spinach, Garlic"/>
    <x v="14"/>
  </r>
  <r>
    <n v="1640"/>
    <n v="732"/>
    <n v="1"/>
    <s v="spinach_fet_l"/>
    <n v="1"/>
    <x v="11"/>
    <x v="4"/>
    <x v="728"/>
    <n v="20.25"/>
    <n v="20.25"/>
    <x v="1"/>
    <x v="1"/>
    <s v="Spinach, Mushrooms, Red Onions, Feta Cheese, Garlic"/>
    <x v="27"/>
  </r>
  <r>
    <n v="1641"/>
    <n v="733"/>
    <n v="0.25"/>
    <s v="cali_ckn_s"/>
    <n v="1"/>
    <x v="11"/>
    <x v="4"/>
    <x v="729"/>
    <n v="12.75"/>
    <n v="12.75"/>
    <x v="2"/>
    <x v="3"/>
    <s v="Chicken, Artichoke, Spinach, Garlic, Jalapeno Peppers, Fontina Cheese, Gouda Cheese"/>
    <x v="16"/>
  </r>
  <r>
    <n v="1642"/>
    <n v="733"/>
    <n v="0.25"/>
    <s v="ital_cpcllo_l"/>
    <n v="1"/>
    <x v="11"/>
    <x v="4"/>
    <x v="729"/>
    <n v="20.5"/>
    <n v="20.5"/>
    <x v="1"/>
    <x v="0"/>
    <s v="Capocollo, Red Peppers, Tomatoes, Goat Cheese, Garlic, Oregano"/>
    <x v="11"/>
  </r>
  <r>
    <n v="1643"/>
    <n v="733"/>
    <n v="0.25"/>
    <s v="pepperoni_s"/>
    <n v="1"/>
    <x v="11"/>
    <x v="4"/>
    <x v="729"/>
    <n v="9.75"/>
    <n v="9.75"/>
    <x v="2"/>
    <x v="0"/>
    <s v="Mozzarella Cheese, Pepperoni"/>
    <x v="17"/>
  </r>
  <r>
    <n v="1644"/>
    <n v="733"/>
    <n v="0.25"/>
    <s v="thai_ckn_l"/>
    <n v="1"/>
    <x v="11"/>
    <x v="4"/>
    <x v="729"/>
    <n v="20.75"/>
    <n v="20.75"/>
    <x v="1"/>
    <x v="3"/>
    <s v="Chicken, Pineapple, Tomatoes, Red Peppers, Thai Sweet Chilli Sauce"/>
    <x v="5"/>
  </r>
  <r>
    <n v="1645"/>
    <n v="734"/>
    <n v="1"/>
    <s v="pepperoni_s"/>
    <n v="1"/>
    <x v="11"/>
    <x v="4"/>
    <x v="730"/>
    <n v="9.75"/>
    <n v="9.75"/>
    <x v="2"/>
    <x v="0"/>
    <s v="Mozzarella Cheese, Pepperoni"/>
    <x v="17"/>
  </r>
  <r>
    <n v="1646"/>
    <n v="735"/>
    <n v="0.33333333333333331"/>
    <s v="ckn_pesto_s"/>
    <n v="1"/>
    <x v="11"/>
    <x v="4"/>
    <x v="731"/>
    <n v="12.75"/>
    <n v="12.75"/>
    <x v="2"/>
    <x v="3"/>
    <s v="Chicken, Tomatoes, Red Peppers, Spinach, Garlic, Pesto Sauce"/>
    <x v="18"/>
  </r>
  <r>
    <n v="1647"/>
    <n v="735"/>
    <n v="0.33333333333333331"/>
    <s v="pep_msh_pep_m"/>
    <n v="1"/>
    <x v="11"/>
    <x v="4"/>
    <x v="731"/>
    <n v="14.5"/>
    <n v="14.5"/>
    <x v="0"/>
    <x v="0"/>
    <s v="Pepperoni, Mushrooms, Green Peppers"/>
    <x v="30"/>
  </r>
  <r>
    <n v="1648"/>
    <n v="735"/>
    <n v="0.33333333333333331"/>
    <s v="pep_msh_pep_s"/>
    <n v="1"/>
    <x v="11"/>
    <x v="4"/>
    <x v="731"/>
    <n v="11"/>
    <n v="11"/>
    <x v="2"/>
    <x v="0"/>
    <s v="Pepperoni, Mushrooms, Green Peppers"/>
    <x v="30"/>
  </r>
  <r>
    <n v="1649"/>
    <n v="736"/>
    <n v="0.5"/>
    <s v="five_cheese_l"/>
    <n v="1"/>
    <x v="11"/>
    <x v="4"/>
    <x v="732"/>
    <n v="18.5"/>
    <n v="18.5"/>
    <x v="1"/>
    <x v="1"/>
    <s v="Mozzarella Cheese, Provolone Cheese, Smoked Gouda Cheese, Romano Cheese, Blue Cheese, Garlic"/>
    <x v="2"/>
  </r>
  <r>
    <n v="1650"/>
    <n v="736"/>
    <n v="0.5"/>
    <s v="veggie_veg_s"/>
    <n v="1"/>
    <x v="11"/>
    <x v="4"/>
    <x v="732"/>
    <n v="12"/>
    <n v="12"/>
    <x v="2"/>
    <x v="1"/>
    <s v="Mushrooms, Tomatoes, Red Peppers, Green Peppers, Red Onions, Zucchini, Spinach, Garlic"/>
    <x v="14"/>
  </r>
  <r>
    <n v="1651"/>
    <n v="737"/>
    <n v="0.5"/>
    <s v="bbq_ckn_m"/>
    <n v="1"/>
    <x v="12"/>
    <x v="5"/>
    <x v="733"/>
    <n v="16.75"/>
    <n v="16.75"/>
    <x v="0"/>
    <x v="3"/>
    <s v="Barbecued Chicken, Red Peppers, Green Peppers, Tomatoes, Red Onions, Barbecue Sauce"/>
    <x v="7"/>
  </r>
  <r>
    <n v="1652"/>
    <n v="737"/>
    <n v="0.5"/>
    <s v="thai_ckn_m"/>
    <n v="1"/>
    <x v="12"/>
    <x v="5"/>
    <x v="733"/>
    <n v="16.75"/>
    <n v="16.75"/>
    <x v="0"/>
    <x v="3"/>
    <s v="Chicken, Pineapple, Tomatoes, Red Peppers, Thai Sweet Chilli Sauce"/>
    <x v="5"/>
  </r>
  <r>
    <n v="1653"/>
    <n v="738"/>
    <n v="1"/>
    <s v="southw_ckn_m"/>
    <n v="1"/>
    <x v="12"/>
    <x v="5"/>
    <x v="734"/>
    <n v="16.75"/>
    <n v="16.75"/>
    <x v="0"/>
    <x v="3"/>
    <s v="Chicken, Tomatoes, Red Peppers, Red Onions, Jalapeno Peppers, Corn, Cilantro, Chipotle Sauce"/>
    <x v="15"/>
  </r>
  <r>
    <n v="1654"/>
    <n v="739"/>
    <n v="1"/>
    <s v="big_meat_s"/>
    <n v="1"/>
    <x v="12"/>
    <x v="5"/>
    <x v="735"/>
    <n v="12"/>
    <n v="12"/>
    <x v="2"/>
    <x v="0"/>
    <s v="Bacon, Pepperoni, Italian Sausage, Chorizo Sausage"/>
    <x v="19"/>
  </r>
  <r>
    <n v="1655"/>
    <n v="740"/>
    <n v="7.6923076923076927E-2"/>
    <s v="cali_ckn_m"/>
    <n v="1"/>
    <x v="12"/>
    <x v="5"/>
    <x v="736"/>
    <n v="16.75"/>
    <n v="16.75"/>
    <x v="0"/>
    <x v="3"/>
    <s v="Chicken, Artichoke, Spinach, Garlic, Jalapeno Peppers, Fontina Cheese, Gouda Cheese"/>
    <x v="16"/>
  </r>
  <r>
    <n v="1656"/>
    <n v="740"/>
    <n v="7.6923076923076927E-2"/>
    <s v="ckn_pesto_l"/>
    <n v="1"/>
    <x v="12"/>
    <x v="5"/>
    <x v="736"/>
    <n v="20.75"/>
    <n v="20.75"/>
    <x v="1"/>
    <x v="3"/>
    <s v="Chicken, Tomatoes, Red Peppers, Spinach, Garlic, Pesto Sauce"/>
    <x v="18"/>
  </r>
  <r>
    <n v="1657"/>
    <n v="740"/>
    <n v="7.6923076923076927E-2"/>
    <s v="five_cheese_l"/>
    <n v="2"/>
    <x v="12"/>
    <x v="5"/>
    <x v="736"/>
    <n v="18.5"/>
    <n v="37"/>
    <x v="1"/>
    <x v="1"/>
    <s v="Mozzarella Cheese, Provolone Cheese, Smoked Gouda Cheese, Romano Cheese, Blue Cheese, Garlic"/>
    <x v="2"/>
  </r>
  <r>
    <n v="1658"/>
    <n v="740"/>
    <n v="7.6923076923076927E-2"/>
    <s v="four_cheese_l"/>
    <n v="1"/>
    <x v="12"/>
    <x v="5"/>
    <x v="736"/>
    <n v="17.95"/>
    <n v="17.95"/>
    <x v="1"/>
    <x v="1"/>
    <s v="Ricotta Cheese, Gorgonzola Piccante Cheese, Mozzarella Cheese, Parmigiano Reggiano Cheese, Garlic"/>
    <x v="21"/>
  </r>
  <r>
    <n v="1659"/>
    <n v="740"/>
    <n v="7.6923076923076927E-2"/>
    <s v="ital_cpcllo_l"/>
    <n v="2"/>
    <x v="12"/>
    <x v="5"/>
    <x v="736"/>
    <n v="20.5"/>
    <n v="41"/>
    <x v="1"/>
    <x v="0"/>
    <s v="Capocollo, Red Peppers, Tomatoes, Goat Cheese, Garlic, Oregano"/>
    <x v="11"/>
  </r>
  <r>
    <n v="1660"/>
    <n v="740"/>
    <n v="7.6923076923076927E-2"/>
    <s v="ital_supr_m"/>
    <n v="1"/>
    <x v="12"/>
    <x v="5"/>
    <x v="736"/>
    <n v="16.5"/>
    <n v="16.5"/>
    <x v="0"/>
    <x v="2"/>
    <s v="Calabrese Salami, Capocollo, Tomatoes, Red Onions, Green Olives, Garlic"/>
    <x v="3"/>
  </r>
  <r>
    <n v="1661"/>
    <n v="740"/>
    <n v="7.6923076923076927E-2"/>
    <s v="napolitana_l"/>
    <n v="1"/>
    <x v="12"/>
    <x v="5"/>
    <x v="736"/>
    <n v="20.5"/>
    <n v="20.5"/>
    <x v="1"/>
    <x v="0"/>
    <s v="Tomatoes, Anchovies, Green Olives, Red Onions, Garlic"/>
    <x v="22"/>
  </r>
  <r>
    <n v="1662"/>
    <n v="740"/>
    <n v="7.6923076923076927E-2"/>
    <s v="prsc_argla_m"/>
    <n v="1"/>
    <x v="12"/>
    <x v="5"/>
    <x v="736"/>
    <n v="16.5"/>
    <n v="16.5"/>
    <x v="0"/>
    <x v="2"/>
    <s v="Prosciutto di San Daniele, Arugula, Mozzarella Cheese"/>
    <x v="6"/>
  </r>
  <r>
    <n v="1663"/>
    <n v="740"/>
    <n v="7.6923076923076927E-2"/>
    <s v="sicilian_l"/>
    <n v="1"/>
    <x v="12"/>
    <x v="5"/>
    <x v="736"/>
    <n v="20.25"/>
    <n v="20.25"/>
    <x v="1"/>
    <x v="2"/>
    <s v="Coarse Sicilian Salami, Tomatoes, Green Olives, Luganega Sausage, Onions, Garlic"/>
    <x v="28"/>
  </r>
  <r>
    <n v="1664"/>
    <n v="740"/>
    <n v="7.6923076923076927E-2"/>
    <s v="spinach_fet_l"/>
    <n v="1"/>
    <x v="12"/>
    <x v="5"/>
    <x v="736"/>
    <n v="20.25"/>
    <n v="20.25"/>
    <x v="1"/>
    <x v="1"/>
    <s v="Spinach, Mushrooms, Red Onions, Feta Cheese, Garlic"/>
    <x v="27"/>
  </r>
  <r>
    <n v="1665"/>
    <n v="740"/>
    <n v="7.6923076923076927E-2"/>
    <s v="spinach_fet_m"/>
    <n v="1"/>
    <x v="12"/>
    <x v="5"/>
    <x v="736"/>
    <n v="16"/>
    <n v="16"/>
    <x v="0"/>
    <x v="1"/>
    <s v="Spinach, Mushrooms, Red Onions, Feta Cheese, Garlic"/>
    <x v="27"/>
  </r>
  <r>
    <n v="1666"/>
    <n v="740"/>
    <n v="7.6923076923076927E-2"/>
    <s v="spinach_fet_s"/>
    <n v="1"/>
    <x v="12"/>
    <x v="5"/>
    <x v="736"/>
    <n v="12"/>
    <n v="12"/>
    <x v="2"/>
    <x v="1"/>
    <s v="Spinach, Mushrooms, Red Onions, Feta Cheese, Garlic"/>
    <x v="27"/>
  </r>
  <r>
    <n v="1667"/>
    <n v="740"/>
    <n v="7.6923076923076927E-2"/>
    <s v="the_greek_xl"/>
    <n v="1"/>
    <x v="12"/>
    <x v="5"/>
    <x v="736"/>
    <n v="25.5"/>
    <n v="25.5"/>
    <x v="3"/>
    <x v="0"/>
    <s v="Kalamata Olives, Feta Cheese, Tomatoes, Garlic, Beef Chuck Roast, Red Onions"/>
    <x v="8"/>
  </r>
  <r>
    <n v="1668"/>
    <n v="741"/>
    <n v="1"/>
    <s v="napolitana_m"/>
    <n v="1"/>
    <x v="12"/>
    <x v="5"/>
    <x v="737"/>
    <n v="16"/>
    <n v="16"/>
    <x v="0"/>
    <x v="0"/>
    <s v="Tomatoes, Anchovies, Green Olives, Red Onions, Garlic"/>
    <x v="22"/>
  </r>
  <r>
    <n v="1669"/>
    <n v="742"/>
    <n v="1"/>
    <s v="bbq_ckn_l"/>
    <n v="1"/>
    <x v="12"/>
    <x v="5"/>
    <x v="738"/>
    <n v="20.75"/>
    <n v="20.75"/>
    <x v="1"/>
    <x v="3"/>
    <s v="Barbecued Chicken, Red Peppers, Green Peppers, Tomatoes, Red Onions, Barbecue Sauce"/>
    <x v="7"/>
  </r>
  <r>
    <n v="1670"/>
    <n v="743"/>
    <n v="1"/>
    <s v="napolitana_l"/>
    <n v="1"/>
    <x v="12"/>
    <x v="5"/>
    <x v="739"/>
    <n v="20.5"/>
    <n v="20.5"/>
    <x v="1"/>
    <x v="0"/>
    <s v="Tomatoes, Anchovies, Green Olives, Red Onions, Garlic"/>
    <x v="22"/>
  </r>
  <r>
    <n v="1671"/>
    <n v="744"/>
    <n v="1"/>
    <s v="peppr_salami_m"/>
    <n v="1"/>
    <x v="12"/>
    <x v="5"/>
    <x v="740"/>
    <n v="16.5"/>
    <n v="16.5"/>
    <x v="0"/>
    <x v="2"/>
    <s v="Genoa Salami, Capocollo, Pepperoni, Tomatoes, Asiago Cheese, Garlic"/>
    <x v="26"/>
  </r>
  <r>
    <n v="1672"/>
    <n v="745"/>
    <n v="0.14285714285714285"/>
    <s v="bbq_ckn_l"/>
    <n v="1"/>
    <x v="12"/>
    <x v="5"/>
    <x v="741"/>
    <n v="20.75"/>
    <n v="20.75"/>
    <x v="1"/>
    <x v="3"/>
    <s v="Barbecued Chicken, Red Peppers, Green Peppers, Tomatoes, Red Onions, Barbecue Sauce"/>
    <x v="7"/>
  </r>
  <r>
    <n v="1673"/>
    <n v="745"/>
    <n v="0.14285714285714285"/>
    <s v="cali_ckn_m"/>
    <n v="1"/>
    <x v="12"/>
    <x v="5"/>
    <x v="741"/>
    <n v="16.75"/>
    <n v="16.75"/>
    <x v="0"/>
    <x v="3"/>
    <s v="Chicken, Artichoke, Spinach, Garlic, Jalapeno Peppers, Fontina Cheese, Gouda Cheese"/>
    <x v="16"/>
  </r>
  <r>
    <n v="1674"/>
    <n v="745"/>
    <n v="0.14285714285714285"/>
    <s v="classic_dlx_m"/>
    <n v="1"/>
    <x v="12"/>
    <x v="5"/>
    <x v="741"/>
    <n v="16"/>
    <n v="16"/>
    <x v="0"/>
    <x v="0"/>
    <s v="Pepperoni, Mushrooms, Red Onions, Red Peppers, Bacon"/>
    <x v="1"/>
  </r>
  <r>
    <n v="1675"/>
    <n v="745"/>
    <n v="0.14285714285714285"/>
    <s v="four_cheese_m"/>
    <n v="1"/>
    <x v="12"/>
    <x v="5"/>
    <x v="741"/>
    <n v="14.75"/>
    <n v="14.75"/>
    <x v="0"/>
    <x v="1"/>
    <s v="Ricotta Cheese, Gorgonzola Piccante Cheese, Mozzarella Cheese, Parmigiano Reggiano Cheese, Garlic"/>
    <x v="21"/>
  </r>
  <r>
    <n v="1676"/>
    <n v="745"/>
    <n v="0.14285714285714285"/>
    <s v="mediterraneo_m"/>
    <n v="1"/>
    <x v="12"/>
    <x v="5"/>
    <x v="741"/>
    <n v="16"/>
    <n v="16"/>
    <x v="0"/>
    <x v="1"/>
    <s v="Spinach, Artichokes, Kalamata Olives, Sun-dried Tomatoes, Feta Cheese, Plum Tomatoes, Red Onions"/>
    <x v="25"/>
  </r>
  <r>
    <n v="1677"/>
    <n v="745"/>
    <n v="0.14285714285714285"/>
    <s v="napolitana_l"/>
    <n v="1"/>
    <x v="12"/>
    <x v="5"/>
    <x v="741"/>
    <n v="20.5"/>
    <n v="20.5"/>
    <x v="1"/>
    <x v="0"/>
    <s v="Tomatoes, Anchovies, Green Olives, Red Onions, Garlic"/>
    <x v="22"/>
  </r>
  <r>
    <n v="1678"/>
    <n v="745"/>
    <n v="0.14285714285714285"/>
    <s v="the_greek_m"/>
    <n v="1"/>
    <x v="12"/>
    <x v="5"/>
    <x v="741"/>
    <n v="16"/>
    <n v="16"/>
    <x v="0"/>
    <x v="0"/>
    <s v="Kalamata Olives, Feta Cheese, Tomatoes, Garlic, Beef Chuck Roast, Red Onions"/>
    <x v="8"/>
  </r>
  <r>
    <n v="1679"/>
    <n v="746"/>
    <n v="0.5"/>
    <s v="spicy_ital_l"/>
    <n v="1"/>
    <x v="12"/>
    <x v="5"/>
    <x v="742"/>
    <n v="20.75"/>
    <n v="20.75"/>
    <x v="1"/>
    <x v="2"/>
    <s v="Capocollo, Tomatoes, Goat Cheese, Artichokes, Peperoncini verdi, Garlic"/>
    <x v="12"/>
  </r>
  <r>
    <n v="1680"/>
    <n v="746"/>
    <n v="0.5"/>
    <s v="veggie_veg_m"/>
    <n v="1"/>
    <x v="12"/>
    <x v="5"/>
    <x v="742"/>
    <n v="16"/>
    <n v="16"/>
    <x v="0"/>
    <x v="1"/>
    <s v="Mushrooms, Tomatoes, Red Peppers, Green Peppers, Red Onions, Zucchini, Spinach, Garlic"/>
    <x v="14"/>
  </r>
  <r>
    <n v="1681"/>
    <n v="747"/>
    <n v="0.33333333333333331"/>
    <s v="mexicana_l"/>
    <n v="1"/>
    <x v="12"/>
    <x v="5"/>
    <x v="743"/>
    <n v="20.25"/>
    <n v="20.25"/>
    <x v="1"/>
    <x v="1"/>
    <s v="Tomatoes, Red Peppers, Jalapeno Peppers, Red Onions, Cilantro, Corn, Chipotle Sauce, Garlic"/>
    <x v="4"/>
  </r>
  <r>
    <n v="1682"/>
    <n v="747"/>
    <n v="0.33333333333333331"/>
    <s v="sicilian_s"/>
    <n v="1"/>
    <x v="12"/>
    <x v="5"/>
    <x v="743"/>
    <n v="12.25"/>
    <n v="12.25"/>
    <x v="2"/>
    <x v="2"/>
    <s v="Coarse Sicilian Salami, Tomatoes, Green Olives, Luganega Sausage, Onions, Garlic"/>
    <x v="28"/>
  </r>
  <r>
    <n v="1683"/>
    <n v="747"/>
    <n v="0.33333333333333331"/>
    <s v="spicy_ital_l"/>
    <n v="1"/>
    <x v="12"/>
    <x v="5"/>
    <x v="743"/>
    <n v="20.75"/>
    <n v="20.75"/>
    <x v="1"/>
    <x v="2"/>
    <s v="Capocollo, Tomatoes, Goat Cheese, Artichokes, Peperoncini verdi, Garlic"/>
    <x v="12"/>
  </r>
  <r>
    <n v="1684"/>
    <n v="748"/>
    <n v="1"/>
    <s v="five_cheese_l"/>
    <n v="1"/>
    <x v="12"/>
    <x v="5"/>
    <x v="744"/>
    <n v="18.5"/>
    <n v="18.5"/>
    <x v="1"/>
    <x v="1"/>
    <s v="Mozzarella Cheese, Provolone Cheese, Smoked Gouda Cheese, Romano Cheese, Blue Cheese, Garlic"/>
    <x v="2"/>
  </r>
  <r>
    <n v="1685"/>
    <n v="749"/>
    <n v="1"/>
    <s v="pepperoni_m"/>
    <n v="1"/>
    <x v="12"/>
    <x v="5"/>
    <x v="645"/>
    <n v="12.5"/>
    <n v="12.5"/>
    <x v="0"/>
    <x v="0"/>
    <s v="Mozzarella Cheese, Pepperoni"/>
    <x v="17"/>
  </r>
  <r>
    <n v="1686"/>
    <n v="750"/>
    <n v="1"/>
    <s v="pep_msh_pep_m"/>
    <n v="1"/>
    <x v="12"/>
    <x v="5"/>
    <x v="745"/>
    <n v="14.5"/>
    <n v="14.5"/>
    <x v="0"/>
    <x v="0"/>
    <s v="Pepperoni, Mushrooms, Green Peppers"/>
    <x v="30"/>
  </r>
  <r>
    <n v="1687"/>
    <n v="751"/>
    <n v="0.25"/>
    <s v="calabrese_l"/>
    <n v="1"/>
    <x v="12"/>
    <x v="5"/>
    <x v="746"/>
    <n v="20.25"/>
    <n v="20.25"/>
    <x v="1"/>
    <x v="2"/>
    <s v="?duja Salami, Pancetta, Tomatoes, Red Onions, Friggitello Peppers, Garlic"/>
    <x v="23"/>
  </r>
  <r>
    <n v="1688"/>
    <n v="751"/>
    <n v="0.25"/>
    <s v="hawaiian_s"/>
    <n v="1"/>
    <x v="12"/>
    <x v="5"/>
    <x v="746"/>
    <n v="10.5"/>
    <n v="10.5"/>
    <x v="2"/>
    <x v="0"/>
    <s v="Sliced Ham, Pineapple, Mozzarella Cheese"/>
    <x v="0"/>
  </r>
  <r>
    <n v="1689"/>
    <n v="751"/>
    <n v="0.25"/>
    <s v="napolitana_s"/>
    <n v="1"/>
    <x v="12"/>
    <x v="5"/>
    <x v="746"/>
    <n v="12"/>
    <n v="12"/>
    <x v="2"/>
    <x v="0"/>
    <s v="Tomatoes, Anchovies, Green Olives, Red Onions, Garlic"/>
    <x v="22"/>
  </r>
  <r>
    <n v="1690"/>
    <n v="751"/>
    <n v="0.25"/>
    <s v="veggie_veg_m"/>
    <n v="1"/>
    <x v="12"/>
    <x v="5"/>
    <x v="746"/>
    <n v="16"/>
    <n v="16"/>
    <x v="0"/>
    <x v="1"/>
    <s v="Mushrooms, Tomatoes, Red Peppers, Green Peppers, Red Onions, Zucchini, Spinach, Garlic"/>
    <x v="14"/>
  </r>
  <r>
    <n v="1691"/>
    <n v="752"/>
    <n v="0.5"/>
    <s v="hawaiian_s"/>
    <n v="1"/>
    <x v="12"/>
    <x v="5"/>
    <x v="747"/>
    <n v="10.5"/>
    <n v="10.5"/>
    <x v="2"/>
    <x v="0"/>
    <s v="Sliced Ham, Pineapple, Mozzarella Cheese"/>
    <x v="0"/>
  </r>
  <r>
    <n v="1692"/>
    <n v="752"/>
    <n v="0.5"/>
    <s v="soppressata_s"/>
    <n v="1"/>
    <x v="12"/>
    <x v="5"/>
    <x v="747"/>
    <n v="12.5"/>
    <n v="12.5"/>
    <x v="2"/>
    <x v="2"/>
    <s v="Soppressata Salami, Fontina Cheese, Mozzarella Cheese, Mushrooms, Garlic"/>
    <x v="20"/>
  </r>
  <r>
    <n v="1693"/>
    <n v="753"/>
    <n v="0.25"/>
    <s v="green_garden_s"/>
    <n v="1"/>
    <x v="12"/>
    <x v="5"/>
    <x v="748"/>
    <n v="12"/>
    <n v="12"/>
    <x v="2"/>
    <x v="1"/>
    <s v="Spinach, Mushrooms, Tomatoes, Green Olives, Feta Cheese"/>
    <x v="10"/>
  </r>
  <r>
    <n v="1694"/>
    <n v="753"/>
    <n v="0.25"/>
    <s v="hawaiian_s"/>
    <n v="1"/>
    <x v="12"/>
    <x v="5"/>
    <x v="748"/>
    <n v="10.5"/>
    <n v="10.5"/>
    <x v="2"/>
    <x v="0"/>
    <s v="Sliced Ham, Pineapple, Mozzarella Cheese"/>
    <x v="0"/>
  </r>
  <r>
    <n v="1695"/>
    <n v="753"/>
    <n v="0.25"/>
    <s v="ital_supr_m"/>
    <n v="1"/>
    <x v="12"/>
    <x v="5"/>
    <x v="748"/>
    <n v="16.5"/>
    <n v="16.5"/>
    <x v="0"/>
    <x v="2"/>
    <s v="Calabrese Salami, Capocollo, Tomatoes, Red Onions, Green Olives, Garlic"/>
    <x v="3"/>
  </r>
  <r>
    <n v="1696"/>
    <n v="753"/>
    <n v="0.25"/>
    <s v="prsc_argla_l"/>
    <n v="1"/>
    <x v="12"/>
    <x v="5"/>
    <x v="748"/>
    <n v="20.75"/>
    <n v="20.75"/>
    <x v="1"/>
    <x v="2"/>
    <s v="Prosciutto di San Daniele, Arugula, Mozzarella Cheese"/>
    <x v="6"/>
  </r>
  <r>
    <n v="1697"/>
    <n v="754"/>
    <n v="0.5"/>
    <s v="pep_msh_pep_m"/>
    <n v="1"/>
    <x v="12"/>
    <x v="5"/>
    <x v="749"/>
    <n v="14.5"/>
    <n v="14.5"/>
    <x v="0"/>
    <x v="0"/>
    <s v="Pepperoni, Mushrooms, Green Peppers"/>
    <x v="30"/>
  </r>
  <r>
    <n v="1698"/>
    <n v="754"/>
    <n v="0.5"/>
    <s v="southw_ckn_l"/>
    <n v="1"/>
    <x v="12"/>
    <x v="5"/>
    <x v="749"/>
    <n v="20.75"/>
    <n v="20.75"/>
    <x v="1"/>
    <x v="3"/>
    <s v="Chicken, Tomatoes, Red Peppers, Red Onions, Jalapeno Peppers, Corn, Cilantro, Chipotle Sauce"/>
    <x v="15"/>
  </r>
  <r>
    <n v="1699"/>
    <n v="755"/>
    <n v="0.5"/>
    <s v="bbq_ckn_m"/>
    <n v="1"/>
    <x v="12"/>
    <x v="5"/>
    <x v="750"/>
    <n v="16.75"/>
    <n v="16.75"/>
    <x v="0"/>
    <x v="3"/>
    <s v="Barbecued Chicken, Red Peppers, Green Peppers, Tomatoes, Red Onions, Barbecue Sauce"/>
    <x v="7"/>
  </r>
  <r>
    <n v="1700"/>
    <n v="755"/>
    <n v="0.5"/>
    <s v="four_cheese_m"/>
    <n v="1"/>
    <x v="12"/>
    <x v="5"/>
    <x v="750"/>
    <n v="14.75"/>
    <n v="14.75"/>
    <x v="0"/>
    <x v="1"/>
    <s v="Ricotta Cheese, Gorgonzola Piccante Cheese, Mozzarella Cheese, Parmigiano Reggiano Cheese, Garlic"/>
    <x v="21"/>
  </r>
  <r>
    <n v="1701"/>
    <n v="756"/>
    <n v="0.33333333333333331"/>
    <s v="ckn_pesto_s"/>
    <n v="1"/>
    <x v="12"/>
    <x v="5"/>
    <x v="751"/>
    <n v="12.75"/>
    <n v="12.75"/>
    <x v="2"/>
    <x v="3"/>
    <s v="Chicken, Tomatoes, Red Peppers, Spinach, Garlic, Pesto Sauce"/>
    <x v="18"/>
  </r>
  <r>
    <n v="1702"/>
    <n v="756"/>
    <n v="0.33333333333333331"/>
    <s v="spin_pesto_m"/>
    <n v="1"/>
    <x v="12"/>
    <x v="5"/>
    <x v="751"/>
    <n v="16.5"/>
    <n v="16.5"/>
    <x v="0"/>
    <x v="1"/>
    <s v="Spinach, Artichokes, Tomatoes, Sun-dried Tomatoes, Garlic, Pesto Sauce"/>
    <x v="13"/>
  </r>
  <r>
    <n v="1703"/>
    <n v="756"/>
    <n v="0.33333333333333331"/>
    <s v="veggie_veg_s"/>
    <n v="1"/>
    <x v="12"/>
    <x v="5"/>
    <x v="751"/>
    <n v="12"/>
    <n v="12"/>
    <x v="2"/>
    <x v="1"/>
    <s v="Mushrooms, Tomatoes, Red Peppers, Green Peppers, Red Onions, Zucchini, Spinach, Garlic"/>
    <x v="14"/>
  </r>
  <r>
    <n v="1704"/>
    <n v="757"/>
    <n v="0.25"/>
    <s v="napolitana_l"/>
    <n v="1"/>
    <x v="12"/>
    <x v="5"/>
    <x v="752"/>
    <n v="20.5"/>
    <n v="20.5"/>
    <x v="1"/>
    <x v="0"/>
    <s v="Tomatoes, Anchovies, Green Olives, Red Onions, Garlic"/>
    <x v="22"/>
  </r>
  <r>
    <n v="1705"/>
    <n v="757"/>
    <n v="0.25"/>
    <s v="pepperoni_m"/>
    <n v="1"/>
    <x v="12"/>
    <x v="5"/>
    <x v="752"/>
    <n v="12.5"/>
    <n v="12.5"/>
    <x v="0"/>
    <x v="0"/>
    <s v="Mozzarella Cheese, Pepperoni"/>
    <x v="17"/>
  </r>
  <r>
    <n v="1706"/>
    <n v="757"/>
    <n v="0.25"/>
    <s v="spicy_ital_l"/>
    <n v="1"/>
    <x v="12"/>
    <x v="5"/>
    <x v="752"/>
    <n v="20.75"/>
    <n v="20.75"/>
    <x v="1"/>
    <x v="2"/>
    <s v="Capocollo, Tomatoes, Goat Cheese, Artichokes, Peperoncini verdi, Garlic"/>
    <x v="12"/>
  </r>
  <r>
    <n v="1707"/>
    <n v="757"/>
    <n v="0.25"/>
    <s v="veggie_veg_m"/>
    <n v="1"/>
    <x v="12"/>
    <x v="5"/>
    <x v="752"/>
    <n v="16"/>
    <n v="16"/>
    <x v="0"/>
    <x v="1"/>
    <s v="Mushrooms, Tomatoes, Red Peppers, Green Peppers, Red Onions, Zucchini, Spinach, Garlic"/>
    <x v="14"/>
  </r>
  <r>
    <n v="1708"/>
    <n v="758"/>
    <n v="0.5"/>
    <s v="four_cheese_m"/>
    <n v="1"/>
    <x v="12"/>
    <x v="5"/>
    <x v="753"/>
    <n v="14.75"/>
    <n v="14.75"/>
    <x v="0"/>
    <x v="1"/>
    <s v="Ricotta Cheese, Gorgonzola Piccante Cheese, Mozzarella Cheese, Parmigiano Reggiano Cheese, Garlic"/>
    <x v="21"/>
  </r>
  <r>
    <n v="1709"/>
    <n v="758"/>
    <n v="0.5"/>
    <s v="prsc_argla_s"/>
    <n v="1"/>
    <x v="12"/>
    <x v="5"/>
    <x v="753"/>
    <n v="12.5"/>
    <n v="12.5"/>
    <x v="2"/>
    <x v="2"/>
    <s v="Prosciutto di San Daniele, Arugula, Mozzarella Cheese"/>
    <x v="6"/>
  </r>
  <r>
    <n v="1710"/>
    <n v="759"/>
    <n v="1"/>
    <s v="calabrese_l"/>
    <n v="1"/>
    <x v="12"/>
    <x v="5"/>
    <x v="754"/>
    <n v="20.25"/>
    <n v="20.25"/>
    <x v="1"/>
    <x v="2"/>
    <s v="?duja Salami, Pancetta, Tomatoes, Red Onions, Friggitello Peppers, Garlic"/>
    <x v="23"/>
  </r>
  <r>
    <n v="1711"/>
    <n v="760"/>
    <n v="1"/>
    <s v="cali_ckn_s"/>
    <n v="1"/>
    <x v="12"/>
    <x v="5"/>
    <x v="755"/>
    <n v="12.75"/>
    <n v="12.75"/>
    <x v="2"/>
    <x v="3"/>
    <s v="Chicken, Artichoke, Spinach, Garlic, Jalapeno Peppers, Fontina Cheese, Gouda Cheese"/>
    <x v="16"/>
  </r>
  <r>
    <n v="1712"/>
    <n v="761"/>
    <n v="0.5"/>
    <s v="sicilian_s"/>
    <n v="1"/>
    <x v="12"/>
    <x v="5"/>
    <x v="756"/>
    <n v="12.25"/>
    <n v="12.25"/>
    <x v="2"/>
    <x v="2"/>
    <s v="Coarse Sicilian Salami, Tomatoes, Green Olives, Luganega Sausage, Onions, Garlic"/>
    <x v="28"/>
  </r>
  <r>
    <n v="1713"/>
    <n v="761"/>
    <n v="0.5"/>
    <s v="soppressata_m"/>
    <n v="1"/>
    <x v="12"/>
    <x v="5"/>
    <x v="756"/>
    <n v="16.5"/>
    <n v="16.5"/>
    <x v="0"/>
    <x v="2"/>
    <s v="Soppressata Salami, Fontina Cheese, Mozzarella Cheese, Mushrooms, Garlic"/>
    <x v="20"/>
  </r>
  <r>
    <n v="1714"/>
    <n v="762"/>
    <n v="0.25"/>
    <s v="ital_cpcllo_l"/>
    <n v="1"/>
    <x v="12"/>
    <x v="5"/>
    <x v="757"/>
    <n v="20.5"/>
    <n v="20.5"/>
    <x v="1"/>
    <x v="0"/>
    <s v="Capocollo, Red Peppers, Tomatoes, Goat Cheese, Garlic, Oregano"/>
    <x v="11"/>
  </r>
  <r>
    <n v="1715"/>
    <n v="762"/>
    <n v="0.25"/>
    <s v="soppressata_l"/>
    <n v="1"/>
    <x v="12"/>
    <x v="5"/>
    <x v="757"/>
    <n v="20.75"/>
    <n v="20.75"/>
    <x v="1"/>
    <x v="2"/>
    <s v="Soppressata Salami, Fontina Cheese, Mozzarella Cheese, Mushrooms, Garlic"/>
    <x v="20"/>
  </r>
  <r>
    <n v="1716"/>
    <n v="762"/>
    <n v="0.25"/>
    <s v="thai_ckn_l"/>
    <n v="1"/>
    <x v="12"/>
    <x v="5"/>
    <x v="757"/>
    <n v="20.75"/>
    <n v="20.75"/>
    <x v="1"/>
    <x v="3"/>
    <s v="Chicken, Pineapple, Tomatoes, Red Peppers, Thai Sweet Chilli Sauce"/>
    <x v="5"/>
  </r>
  <r>
    <n v="1717"/>
    <n v="762"/>
    <n v="0.25"/>
    <s v="the_greek_xl"/>
    <n v="1"/>
    <x v="12"/>
    <x v="5"/>
    <x v="757"/>
    <n v="25.5"/>
    <n v="25.5"/>
    <x v="3"/>
    <x v="0"/>
    <s v="Kalamata Olives, Feta Cheese, Tomatoes, Garlic, Beef Chuck Roast, Red Onions"/>
    <x v="8"/>
  </r>
  <r>
    <n v="1718"/>
    <n v="763"/>
    <n v="1"/>
    <s v="classic_dlx_m"/>
    <n v="1"/>
    <x v="12"/>
    <x v="5"/>
    <x v="758"/>
    <n v="16"/>
    <n v="16"/>
    <x v="0"/>
    <x v="0"/>
    <s v="Pepperoni, Mushrooms, Red Onions, Red Peppers, Bacon"/>
    <x v="1"/>
  </r>
  <r>
    <n v="1719"/>
    <n v="764"/>
    <n v="0.5"/>
    <s v="ital_supr_m"/>
    <n v="1"/>
    <x v="12"/>
    <x v="5"/>
    <x v="759"/>
    <n v="16.5"/>
    <n v="16.5"/>
    <x v="0"/>
    <x v="2"/>
    <s v="Calabrese Salami, Capocollo, Tomatoes, Red Onions, Green Olives, Garlic"/>
    <x v="3"/>
  </r>
  <r>
    <n v="1720"/>
    <n v="764"/>
    <n v="0.5"/>
    <s v="the_greek_xl"/>
    <n v="1"/>
    <x v="12"/>
    <x v="5"/>
    <x v="759"/>
    <n v="25.5"/>
    <n v="25.5"/>
    <x v="3"/>
    <x v="0"/>
    <s v="Kalamata Olives, Feta Cheese, Tomatoes, Garlic, Beef Chuck Roast, Red Onions"/>
    <x v="8"/>
  </r>
  <r>
    <n v="1721"/>
    <n v="765"/>
    <n v="0.25"/>
    <s v="cali_ckn_s"/>
    <n v="1"/>
    <x v="12"/>
    <x v="5"/>
    <x v="760"/>
    <n v="12.75"/>
    <n v="12.75"/>
    <x v="2"/>
    <x v="3"/>
    <s v="Chicken, Artichoke, Spinach, Garlic, Jalapeno Peppers, Fontina Cheese, Gouda Cheese"/>
    <x v="16"/>
  </r>
  <r>
    <n v="1722"/>
    <n v="765"/>
    <n v="0.25"/>
    <s v="ital_cpcllo_l"/>
    <n v="1"/>
    <x v="12"/>
    <x v="5"/>
    <x v="760"/>
    <n v="20.5"/>
    <n v="20.5"/>
    <x v="1"/>
    <x v="0"/>
    <s v="Capocollo, Red Peppers, Tomatoes, Goat Cheese, Garlic, Oregano"/>
    <x v="11"/>
  </r>
  <r>
    <n v="1723"/>
    <n v="765"/>
    <n v="0.25"/>
    <s v="peppr_salami_s"/>
    <n v="1"/>
    <x v="12"/>
    <x v="5"/>
    <x v="760"/>
    <n v="12.5"/>
    <n v="12.5"/>
    <x v="2"/>
    <x v="2"/>
    <s v="Genoa Salami, Capocollo, Pepperoni, Tomatoes, Asiago Cheese, Garlic"/>
    <x v="26"/>
  </r>
  <r>
    <n v="1724"/>
    <n v="765"/>
    <n v="0.25"/>
    <s v="sicilian_s"/>
    <n v="1"/>
    <x v="12"/>
    <x v="5"/>
    <x v="760"/>
    <n v="12.25"/>
    <n v="12.25"/>
    <x v="2"/>
    <x v="2"/>
    <s v="Coarse Sicilian Salami, Tomatoes, Green Olives, Luganega Sausage, Onions, Garlic"/>
    <x v="28"/>
  </r>
  <r>
    <n v="1725"/>
    <n v="766"/>
    <n v="0.33333333333333331"/>
    <s v="ital_veggie_s"/>
    <n v="1"/>
    <x v="12"/>
    <x v="5"/>
    <x v="761"/>
    <n v="12.75"/>
    <n v="12.75"/>
    <x v="2"/>
    <x v="1"/>
    <s v="Eggplant, Artichokes, Tomatoes, Zucchini, Red Peppers, Garlic, Pesto Sauce"/>
    <x v="24"/>
  </r>
  <r>
    <n v="1726"/>
    <n v="766"/>
    <n v="0.33333333333333331"/>
    <s v="mexicana_m"/>
    <n v="1"/>
    <x v="12"/>
    <x v="5"/>
    <x v="761"/>
    <n v="16"/>
    <n v="16"/>
    <x v="0"/>
    <x v="1"/>
    <s v="Tomatoes, Red Peppers, Jalapeno Peppers, Red Onions, Cilantro, Corn, Chipotle Sauce, Garlic"/>
    <x v="4"/>
  </r>
  <r>
    <n v="1727"/>
    <n v="766"/>
    <n v="0.33333333333333331"/>
    <s v="southw_ckn_l"/>
    <n v="1"/>
    <x v="12"/>
    <x v="5"/>
    <x v="761"/>
    <n v="20.75"/>
    <n v="20.75"/>
    <x v="1"/>
    <x v="3"/>
    <s v="Chicken, Tomatoes, Red Peppers, Red Onions, Jalapeno Peppers, Corn, Cilantro, Chipotle Sauce"/>
    <x v="15"/>
  </r>
  <r>
    <n v="1728"/>
    <n v="767"/>
    <n v="1"/>
    <s v="classic_dlx_l"/>
    <n v="1"/>
    <x v="12"/>
    <x v="5"/>
    <x v="762"/>
    <n v="20.5"/>
    <n v="20.5"/>
    <x v="1"/>
    <x v="0"/>
    <s v="Pepperoni, Mushrooms, Red Onions, Red Peppers, Bacon"/>
    <x v="1"/>
  </r>
  <r>
    <n v="1729"/>
    <n v="768"/>
    <n v="1"/>
    <s v="brie_carre_s"/>
    <n v="1"/>
    <x v="12"/>
    <x v="5"/>
    <x v="763"/>
    <n v="23.65"/>
    <n v="23.65"/>
    <x v="2"/>
    <x v="2"/>
    <s v="Brie Carre Cheese, Prosciutto, Caramelized Onions, Pears, Thyme, Garlic"/>
    <x v="31"/>
  </r>
  <r>
    <n v="1730"/>
    <n v="769"/>
    <n v="1"/>
    <s v="four_cheese_m"/>
    <n v="1"/>
    <x v="12"/>
    <x v="5"/>
    <x v="764"/>
    <n v="14.75"/>
    <n v="14.75"/>
    <x v="0"/>
    <x v="1"/>
    <s v="Ricotta Cheese, Gorgonzola Piccante Cheese, Mozzarella Cheese, Parmigiano Reggiano Cheese, Garlic"/>
    <x v="21"/>
  </r>
  <r>
    <n v="1731"/>
    <n v="770"/>
    <n v="0.5"/>
    <s v="peppr_salami_l"/>
    <n v="1"/>
    <x v="12"/>
    <x v="5"/>
    <x v="765"/>
    <n v="20.75"/>
    <n v="20.75"/>
    <x v="1"/>
    <x v="2"/>
    <s v="Genoa Salami, Capocollo, Pepperoni, Tomatoes, Asiago Cheese, Garlic"/>
    <x v="26"/>
  </r>
  <r>
    <n v="1732"/>
    <n v="770"/>
    <n v="0.5"/>
    <s v="sicilian_s"/>
    <n v="1"/>
    <x v="12"/>
    <x v="5"/>
    <x v="765"/>
    <n v="12.25"/>
    <n v="12.25"/>
    <x v="2"/>
    <x v="2"/>
    <s v="Coarse Sicilian Salami, Tomatoes, Green Olives, Luganega Sausage, Onions, Garlic"/>
    <x v="28"/>
  </r>
  <r>
    <n v="1733"/>
    <n v="771"/>
    <n v="0.5"/>
    <s v="cali_ckn_m"/>
    <n v="1"/>
    <x v="12"/>
    <x v="5"/>
    <x v="766"/>
    <n v="16.75"/>
    <n v="16.75"/>
    <x v="0"/>
    <x v="3"/>
    <s v="Chicken, Artichoke, Spinach, Garlic, Jalapeno Peppers, Fontina Cheese, Gouda Cheese"/>
    <x v="16"/>
  </r>
  <r>
    <n v="1734"/>
    <n v="771"/>
    <n v="0.5"/>
    <s v="sicilian_s"/>
    <n v="1"/>
    <x v="12"/>
    <x v="5"/>
    <x v="766"/>
    <n v="12.25"/>
    <n v="12.25"/>
    <x v="2"/>
    <x v="2"/>
    <s v="Coarse Sicilian Salami, Tomatoes, Green Olives, Luganega Sausage, Onions, Garlic"/>
    <x v="28"/>
  </r>
  <r>
    <n v="1735"/>
    <n v="772"/>
    <n v="1"/>
    <s v="ital_veggie_m"/>
    <n v="1"/>
    <x v="12"/>
    <x v="5"/>
    <x v="767"/>
    <n v="16.75"/>
    <n v="16.75"/>
    <x v="0"/>
    <x v="1"/>
    <s v="Eggplant, Artichokes, Tomatoes, Zucchini, Red Peppers, Garlic, Pesto Sauce"/>
    <x v="24"/>
  </r>
  <r>
    <n v="1736"/>
    <n v="773"/>
    <n v="0.5"/>
    <s v="classic_dlx_m"/>
    <n v="1"/>
    <x v="12"/>
    <x v="5"/>
    <x v="768"/>
    <n v="16"/>
    <n v="16"/>
    <x v="0"/>
    <x v="0"/>
    <s v="Pepperoni, Mushrooms, Red Onions, Red Peppers, Bacon"/>
    <x v="1"/>
  </r>
  <r>
    <n v="1737"/>
    <n v="773"/>
    <n v="0.5"/>
    <s v="pep_msh_pep_l"/>
    <n v="1"/>
    <x v="12"/>
    <x v="5"/>
    <x v="768"/>
    <n v="17.5"/>
    <n v="17.5"/>
    <x v="1"/>
    <x v="0"/>
    <s v="Pepperoni, Mushrooms, Green Peppers"/>
    <x v="30"/>
  </r>
  <r>
    <n v="1738"/>
    <n v="774"/>
    <n v="0.5"/>
    <s v="ckn_pesto_l"/>
    <n v="1"/>
    <x v="12"/>
    <x v="5"/>
    <x v="769"/>
    <n v="20.75"/>
    <n v="20.75"/>
    <x v="1"/>
    <x v="3"/>
    <s v="Chicken, Tomatoes, Red Peppers, Spinach, Garlic, Pesto Sauce"/>
    <x v="18"/>
  </r>
  <r>
    <n v="1739"/>
    <n v="774"/>
    <n v="0.5"/>
    <s v="spinach_fet_s"/>
    <n v="1"/>
    <x v="12"/>
    <x v="5"/>
    <x v="769"/>
    <n v="12"/>
    <n v="12"/>
    <x v="2"/>
    <x v="1"/>
    <s v="Spinach, Mushrooms, Red Onions, Feta Cheese, Garlic"/>
    <x v="27"/>
  </r>
  <r>
    <n v="1740"/>
    <n v="775"/>
    <n v="0.25"/>
    <s v="bbq_ckn_l"/>
    <n v="1"/>
    <x v="12"/>
    <x v="5"/>
    <x v="770"/>
    <n v="20.75"/>
    <n v="20.75"/>
    <x v="1"/>
    <x v="3"/>
    <s v="Barbecued Chicken, Red Peppers, Green Peppers, Tomatoes, Red Onions, Barbecue Sauce"/>
    <x v="7"/>
  </r>
  <r>
    <n v="1741"/>
    <n v="775"/>
    <n v="0.25"/>
    <s v="five_cheese_l"/>
    <n v="1"/>
    <x v="12"/>
    <x v="5"/>
    <x v="770"/>
    <n v="18.5"/>
    <n v="18.5"/>
    <x v="1"/>
    <x v="1"/>
    <s v="Mozzarella Cheese, Provolone Cheese, Smoked Gouda Cheese, Romano Cheese, Blue Cheese, Garlic"/>
    <x v="2"/>
  </r>
  <r>
    <n v="1742"/>
    <n v="775"/>
    <n v="0.25"/>
    <s v="pep_msh_pep_s"/>
    <n v="1"/>
    <x v="12"/>
    <x v="5"/>
    <x v="770"/>
    <n v="11"/>
    <n v="11"/>
    <x v="2"/>
    <x v="0"/>
    <s v="Pepperoni, Mushrooms, Green Peppers"/>
    <x v="30"/>
  </r>
  <r>
    <n v="1743"/>
    <n v="775"/>
    <n v="0.25"/>
    <s v="prsc_argla_m"/>
    <n v="1"/>
    <x v="12"/>
    <x v="5"/>
    <x v="770"/>
    <n v="16.5"/>
    <n v="16.5"/>
    <x v="0"/>
    <x v="2"/>
    <s v="Prosciutto di San Daniele, Arugula, Mozzarella Cheese"/>
    <x v="6"/>
  </r>
  <r>
    <n v="1744"/>
    <n v="776"/>
    <n v="0.5"/>
    <s v="spinach_fet_s"/>
    <n v="1"/>
    <x v="12"/>
    <x v="5"/>
    <x v="771"/>
    <n v="12"/>
    <n v="12"/>
    <x v="2"/>
    <x v="1"/>
    <s v="Spinach, Mushrooms, Red Onions, Feta Cheese, Garlic"/>
    <x v="27"/>
  </r>
  <r>
    <n v="1745"/>
    <n v="776"/>
    <n v="0.5"/>
    <s v="thai_ckn_l"/>
    <n v="2"/>
    <x v="12"/>
    <x v="5"/>
    <x v="771"/>
    <n v="20.75"/>
    <n v="41.5"/>
    <x v="1"/>
    <x v="3"/>
    <s v="Chicken, Pineapple, Tomatoes, Red Peppers, Thai Sweet Chilli Sauce"/>
    <x v="5"/>
  </r>
  <r>
    <n v="1746"/>
    <n v="777"/>
    <n v="0.5"/>
    <s v="bbq_ckn_l"/>
    <n v="1"/>
    <x v="12"/>
    <x v="5"/>
    <x v="772"/>
    <n v="20.75"/>
    <n v="20.75"/>
    <x v="1"/>
    <x v="3"/>
    <s v="Barbecued Chicken, Red Peppers, Green Peppers, Tomatoes, Red Onions, Barbecue Sauce"/>
    <x v="7"/>
  </r>
  <r>
    <n v="1747"/>
    <n v="777"/>
    <n v="0.5"/>
    <s v="the_greek_m"/>
    <n v="1"/>
    <x v="12"/>
    <x v="5"/>
    <x v="772"/>
    <n v="16"/>
    <n v="16"/>
    <x v="0"/>
    <x v="0"/>
    <s v="Kalamata Olives, Feta Cheese, Tomatoes, Garlic, Beef Chuck Roast, Red Onions"/>
    <x v="8"/>
  </r>
  <r>
    <n v="1748"/>
    <n v="778"/>
    <n v="0.25"/>
    <s v="four_cheese_m"/>
    <n v="1"/>
    <x v="12"/>
    <x v="5"/>
    <x v="773"/>
    <n v="14.75"/>
    <n v="14.75"/>
    <x v="0"/>
    <x v="1"/>
    <s v="Ricotta Cheese, Gorgonzola Piccante Cheese, Mozzarella Cheese, Parmigiano Reggiano Cheese, Garlic"/>
    <x v="21"/>
  </r>
  <r>
    <n v="1749"/>
    <n v="778"/>
    <n v="0.25"/>
    <s v="ital_supr_m"/>
    <n v="1"/>
    <x v="12"/>
    <x v="5"/>
    <x v="773"/>
    <n v="16.5"/>
    <n v="16.5"/>
    <x v="0"/>
    <x v="2"/>
    <s v="Calabrese Salami, Capocollo, Tomatoes, Red Onions, Green Olives, Garlic"/>
    <x v="3"/>
  </r>
  <r>
    <n v="1750"/>
    <n v="778"/>
    <n v="0.25"/>
    <s v="prsc_argla_m"/>
    <n v="1"/>
    <x v="12"/>
    <x v="5"/>
    <x v="773"/>
    <n v="16.5"/>
    <n v="16.5"/>
    <x v="0"/>
    <x v="2"/>
    <s v="Prosciutto di San Daniele, Arugula, Mozzarella Cheese"/>
    <x v="6"/>
  </r>
  <r>
    <n v="1751"/>
    <n v="778"/>
    <n v="0.25"/>
    <s v="southw_ckn_m"/>
    <n v="1"/>
    <x v="12"/>
    <x v="5"/>
    <x v="773"/>
    <n v="16.75"/>
    <n v="16.75"/>
    <x v="0"/>
    <x v="3"/>
    <s v="Chicken, Tomatoes, Red Peppers, Red Onions, Jalapeno Peppers, Corn, Cilantro, Chipotle Sauce"/>
    <x v="15"/>
  </r>
  <r>
    <n v="1752"/>
    <n v="779"/>
    <n v="0.25"/>
    <s v="classic_dlx_m"/>
    <n v="1"/>
    <x v="12"/>
    <x v="5"/>
    <x v="774"/>
    <n v="16"/>
    <n v="16"/>
    <x v="0"/>
    <x v="0"/>
    <s v="Pepperoni, Mushrooms, Red Onions, Red Peppers, Bacon"/>
    <x v="1"/>
  </r>
  <r>
    <n v="1753"/>
    <n v="779"/>
    <n v="0.25"/>
    <s v="ital_cpcllo_m"/>
    <n v="1"/>
    <x v="12"/>
    <x v="5"/>
    <x v="774"/>
    <n v="16"/>
    <n v="16"/>
    <x v="0"/>
    <x v="0"/>
    <s v="Capocollo, Red Peppers, Tomatoes, Goat Cheese, Garlic, Oregano"/>
    <x v="11"/>
  </r>
  <r>
    <n v="1754"/>
    <n v="779"/>
    <n v="0.25"/>
    <s v="ital_supr_l"/>
    <n v="1"/>
    <x v="12"/>
    <x v="5"/>
    <x v="774"/>
    <n v="20.75"/>
    <n v="20.75"/>
    <x v="1"/>
    <x v="2"/>
    <s v="Calabrese Salami, Capocollo, Tomatoes, Red Onions, Green Olives, Garlic"/>
    <x v="3"/>
  </r>
  <r>
    <n v="1755"/>
    <n v="779"/>
    <n v="0.25"/>
    <s v="ital_supr_m"/>
    <n v="1"/>
    <x v="12"/>
    <x v="5"/>
    <x v="774"/>
    <n v="16.5"/>
    <n v="16.5"/>
    <x v="0"/>
    <x v="2"/>
    <s v="Calabrese Salami, Capocollo, Tomatoes, Red Onions, Green Olives, Garlic"/>
    <x v="3"/>
  </r>
  <r>
    <n v="1756"/>
    <n v="780"/>
    <n v="0.5"/>
    <s v="big_meat_s"/>
    <n v="1"/>
    <x v="12"/>
    <x v="5"/>
    <x v="775"/>
    <n v="12"/>
    <n v="12"/>
    <x v="2"/>
    <x v="0"/>
    <s v="Bacon, Pepperoni, Italian Sausage, Chorizo Sausage"/>
    <x v="19"/>
  </r>
  <r>
    <n v="1757"/>
    <n v="780"/>
    <n v="0.5"/>
    <s v="ital_cpcllo_l"/>
    <n v="1"/>
    <x v="12"/>
    <x v="5"/>
    <x v="775"/>
    <n v="20.5"/>
    <n v="20.5"/>
    <x v="1"/>
    <x v="0"/>
    <s v="Capocollo, Red Peppers, Tomatoes, Goat Cheese, Garlic, Oregano"/>
    <x v="11"/>
  </r>
  <r>
    <n v="1758"/>
    <n v="781"/>
    <n v="0.25"/>
    <s v="ital_cpcllo_l"/>
    <n v="1"/>
    <x v="12"/>
    <x v="5"/>
    <x v="776"/>
    <n v="20.5"/>
    <n v="20.5"/>
    <x v="1"/>
    <x v="0"/>
    <s v="Capocollo, Red Peppers, Tomatoes, Goat Cheese, Garlic, Oregano"/>
    <x v="11"/>
  </r>
  <r>
    <n v="1759"/>
    <n v="781"/>
    <n v="0.25"/>
    <s v="southw_ckn_l"/>
    <n v="1"/>
    <x v="12"/>
    <x v="5"/>
    <x v="776"/>
    <n v="20.75"/>
    <n v="20.75"/>
    <x v="1"/>
    <x v="3"/>
    <s v="Chicken, Tomatoes, Red Peppers, Red Onions, Jalapeno Peppers, Corn, Cilantro, Chipotle Sauce"/>
    <x v="15"/>
  </r>
  <r>
    <n v="1760"/>
    <n v="781"/>
    <n v="0.25"/>
    <s v="southw_ckn_m"/>
    <n v="1"/>
    <x v="12"/>
    <x v="5"/>
    <x v="776"/>
    <n v="16.75"/>
    <n v="16.75"/>
    <x v="0"/>
    <x v="3"/>
    <s v="Chicken, Tomatoes, Red Peppers, Red Onions, Jalapeno Peppers, Corn, Cilantro, Chipotle Sauce"/>
    <x v="15"/>
  </r>
  <r>
    <n v="1761"/>
    <n v="781"/>
    <n v="0.25"/>
    <s v="veggie_veg_l"/>
    <n v="1"/>
    <x v="12"/>
    <x v="5"/>
    <x v="776"/>
    <n v="20.25"/>
    <n v="20.25"/>
    <x v="1"/>
    <x v="1"/>
    <s v="Mushrooms, Tomatoes, Red Peppers, Green Peppers, Red Onions, Zucchini, Spinach, Garlic"/>
    <x v="14"/>
  </r>
  <r>
    <n v="1762"/>
    <n v="782"/>
    <n v="0.5"/>
    <s v="calabrese_l"/>
    <n v="1"/>
    <x v="12"/>
    <x v="5"/>
    <x v="777"/>
    <n v="20.25"/>
    <n v="20.25"/>
    <x v="1"/>
    <x v="2"/>
    <s v="?duja Salami, Pancetta, Tomatoes, Red Onions, Friggitello Peppers, Garlic"/>
    <x v="23"/>
  </r>
  <r>
    <n v="1763"/>
    <n v="782"/>
    <n v="0.5"/>
    <s v="thai_ckn_l"/>
    <n v="1"/>
    <x v="12"/>
    <x v="5"/>
    <x v="777"/>
    <n v="20.75"/>
    <n v="20.75"/>
    <x v="1"/>
    <x v="3"/>
    <s v="Chicken, Pineapple, Tomatoes, Red Peppers, Thai Sweet Chilli Sauce"/>
    <x v="5"/>
  </r>
  <r>
    <n v="1764"/>
    <n v="783"/>
    <n v="0.33333333333333331"/>
    <s v="spinach_fet_m"/>
    <n v="1"/>
    <x v="12"/>
    <x v="5"/>
    <x v="778"/>
    <n v="16"/>
    <n v="16"/>
    <x v="0"/>
    <x v="1"/>
    <s v="Spinach, Mushrooms, Red Onions, Feta Cheese, Garlic"/>
    <x v="27"/>
  </r>
  <r>
    <n v="1765"/>
    <n v="783"/>
    <n v="0.33333333333333331"/>
    <s v="thai_ckn_l"/>
    <n v="1"/>
    <x v="12"/>
    <x v="5"/>
    <x v="778"/>
    <n v="20.75"/>
    <n v="20.75"/>
    <x v="1"/>
    <x v="3"/>
    <s v="Chicken, Pineapple, Tomatoes, Red Peppers, Thai Sweet Chilli Sauce"/>
    <x v="5"/>
  </r>
  <r>
    <n v="1766"/>
    <n v="783"/>
    <n v="0.33333333333333331"/>
    <s v="veggie_veg_m"/>
    <n v="1"/>
    <x v="12"/>
    <x v="5"/>
    <x v="778"/>
    <n v="16"/>
    <n v="16"/>
    <x v="0"/>
    <x v="1"/>
    <s v="Mushrooms, Tomatoes, Red Peppers, Green Peppers, Red Onions, Zucchini, Spinach, Garlic"/>
    <x v="14"/>
  </r>
  <r>
    <n v="1767"/>
    <n v="784"/>
    <n v="1"/>
    <s v="napolitana_m"/>
    <n v="1"/>
    <x v="12"/>
    <x v="5"/>
    <x v="779"/>
    <n v="16"/>
    <n v="16"/>
    <x v="0"/>
    <x v="0"/>
    <s v="Tomatoes, Anchovies, Green Olives, Red Onions, Garlic"/>
    <x v="22"/>
  </r>
  <r>
    <n v="1768"/>
    <n v="785"/>
    <n v="0.5"/>
    <s v="hawaiian_l"/>
    <n v="1"/>
    <x v="13"/>
    <x v="6"/>
    <x v="780"/>
    <n v="16.5"/>
    <n v="16.5"/>
    <x v="1"/>
    <x v="0"/>
    <s v="Sliced Ham, Pineapple, Mozzarella Cheese"/>
    <x v="0"/>
  </r>
  <r>
    <n v="1769"/>
    <n v="785"/>
    <n v="0.5"/>
    <s v="southw_ckn_l"/>
    <n v="1"/>
    <x v="13"/>
    <x v="6"/>
    <x v="780"/>
    <n v="20.75"/>
    <n v="20.75"/>
    <x v="1"/>
    <x v="3"/>
    <s v="Chicken, Tomatoes, Red Peppers, Red Onions, Jalapeno Peppers, Corn, Cilantro, Chipotle Sauce"/>
    <x v="15"/>
  </r>
  <r>
    <n v="1770"/>
    <n v="786"/>
    <n v="1"/>
    <s v="five_cheese_l"/>
    <n v="1"/>
    <x v="13"/>
    <x v="6"/>
    <x v="781"/>
    <n v="18.5"/>
    <n v="18.5"/>
    <x v="1"/>
    <x v="1"/>
    <s v="Mozzarella Cheese, Provolone Cheese, Smoked Gouda Cheese, Romano Cheese, Blue Cheese, Garlic"/>
    <x v="2"/>
  </r>
  <r>
    <n v="1771"/>
    <n v="787"/>
    <n v="0.5"/>
    <s v="cali_ckn_m"/>
    <n v="1"/>
    <x v="13"/>
    <x v="6"/>
    <x v="782"/>
    <n v="16.75"/>
    <n v="16.75"/>
    <x v="0"/>
    <x v="3"/>
    <s v="Chicken, Artichoke, Spinach, Garlic, Jalapeno Peppers, Fontina Cheese, Gouda Cheese"/>
    <x v="16"/>
  </r>
  <r>
    <n v="1772"/>
    <n v="787"/>
    <n v="0.5"/>
    <s v="spicy_ital_l"/>
    <n v="1"/>
    <x v="13"/>
    <x v="6"/>
    <x v="782"/>
    <n v="20.75"/>
    <n v="20.75"/>
    <x v="1"/>
    <x v="2"/>
    <s v="Capocollo, Tomatoes, Goat Cheese, Artichokes, Peperoncini verdi, Garlic"/>
    <x v="12"/>
  </r>
  <r>
    <n v="1773"/>
    <n v="788"/>
    <n v="1"/>
    <s v="sicilian_s"/>
    <n v="1"/>
    <x v="13"/>
    <x v="6"/>
    <x v="783"/>
    <n v="12.25"/>
    <n v="12.25"/>
    <x v="2"/>
    <x v="2"/>
    <s v="Coarse Sicilian Salami, Tomatoes, Green Olives, Luganega Sausage, Onions, Garlic"/>
    <x v="28"/>
  </r>
  <r>
    <n v="1774"/>
    <n v="789"/>
    <n v="1"/>
    <s v="spinach_fet_l"/>
    <n v="1"/>
    <x v="13"/>
    <x v="6"/>
    <x v="784"/>
    <n v="20.25"/>
    <n v="20.25"/>
    <x v="1"/>
    <x v="1"/>
    <s v="Spinach, Mushrooms, Red Onions, Feta Cheese, Garlic"/>
    <x v="27"/>
  </r>
  <r>
    <n v="1775"/>
    <n v="790"/>
    <n v="0.5"/>
    <s v="five_cheese_l"/>
    <n v="1"/>
    <x v="13"/>
    <x v="6"/>
    <x v="785"/>
    <n v="18.5"/>
    <n v="18.5"/>
    <x v="1"/>
    <x v="1"/>
    <s v="Mozzarella Cheese, Provolone Cheese, Smoked Gouda Cheese, Romano Cheese, Blue Cheese, Garlic"/>
    <x v="2"/>
  </r>
  <r>
    <n v="1776"/>
    <n v="790"/>
    <n v="0.5"/>
    <s v="spinach_supr_l"/>
    <n v="1"/>
    <x v="13"/>
    <x v="6"/>
    <x v="785"/>
    <n v="20.75"/>
    <n v="20.75"/>
    <x v="1"/>
    <x v="2"/>
    <s v="Spinach, Red Onions, Pepperoni, Tomatoes, Artichokes, Kalamata Olives, Garlic, Asiago Cheese"/>
    <x v="9"/>
  </r>
  <r>
    <n v="1777"/>
    <n v="791"/>
    <n v="0.5"/>
    <s v="pepperoni_s"/>
    <n v="1"/>
    <x v="13"/>
    <x v="6"/>
    <x v="786"/>
    <n v="9.75"/>
    <n v="9.75"/>
    <x v="2"/>
    <x v="0"/>
    <s v="Mozzarella Cheese, Pepperoni"/>
    <x v="17"/>
  </r>
  <r>
    <n v="1778"/>
    <n v="791"/>
    <n v="0.5"/>
    <s v="thai_ckn_m"/>
    <n v="1"/>
    <x v="13"/>
    <x v="6"/>
    <x v="786"/>
    <n v="16.75"/>
    <n v="16.75"/>
    <x v="0"/>
    <x v="3"/>
    <s v="Chicken, Pineapple, Tomatoes, Red Peppers, Thai Sweet Chilli Sauce"/>
    <x v="5"/>
  </r>
  <r>
    <n v="1779"/>
    <n v="792"/>
    <n v="0.14285714285714285"/>
    <s v="ckn_alfredo_m"/>
    <n v="1"/>
    <x v="13"/>
    <x v="6"/>
    <x v="787"/>
    <n v="16.75"/>
    <n v="16.75"/>
    <x v="0"/>
    <x v="3"/>
    <s v="Chicken, Red Onions, Red Peppers, Mushrooms, Asiago Cheese, Alfredo Sauce"/>
    <x v="29"/>
  </r>
  <r>
    <n v="1780"/>
    <n v="792"/>
    <n v="0.14285714285714285"/>
    <s v="four_cheese_l"/>
    <n v="1"/>
    <x v="13"/>
    <x v="6"/>
    <x v="787"/>
    <n v="17.95"/>
    <n v="17.95"/>
    <x v="1"/>
    <x v="1"/>
    <s v="Ricotta Cheese, Gorgonzola Piccante Cheese, Mozzarella Cheese, Parmigiano Reggiano Cheese, Garlic"/>
    <x v="21"/>
  </r>
  <r>
    <n v="1781"/>
    <n v="792"/>
    <n v="0.14285714285714285"/>
    <s v="ital_veggie_m"/>
    <n v="1"/>
    <x v="13"/>
    <x v="6"/>
    <x v="787"/>
    <n v="16.75"/>
    <n v="16.75"/>
    <x v="0"/>
    <x v="1"/>
    <s v="Eggplant, Artichokes, Tomatoes, Zucchini, Red Peppers, Garlic, Pesto Sauce"/>
    <x v="24"/>
  </r>
  <r>
    <n v="1782"/>
    <n v="792"/>
    <n v="0.14285714285714285"/>
    <s v="mexicana_l"/>
    <n v="1"/>
    <x v="13"/>
    <x v="6"/>
    <x v="787"/>
    <n v="20.25"/>
    <n v="20.25"/>
    <x v="1"/>
    <x v="1"/>
    <s v="Tomatoes, Red Peppers, Jalapeno Peppers, Red Onions, Cilantro, Corn, Chipotle Sauce, Garlic"/>
    <x v="4"/>
  </r>
  <r>
    <n v="1783"/>
    <n v="792"/>
    <n v="0.14285714285714285"/>
    <s v="prsc_argla_s"/>
    <n v="1"/>
    <x v="13"/>
    <x v="6"/>
    <x v="787"/>
    <n v="12.5"/>
    <n v="12.5"/>
    <x v="2"/>
    <x v="2"/>
    <s v="Prosciutto di San Daniele, Arugula, Mozzarella Cheese"/>
    <x v="6"/>
  </r>
  <r>
    <n v="1784"/>
    <n v="792"/>
    <n v="0.14285714285714285"/>
    <s v="spin_pesto_l"/>
    <n v="2"/>
    <x v="13"/>
    <x v="6"/>
    <x v="787"/>
    <n v="20.75"/>
    <n v="41.5"/>
    <x v="1"/>
    <x v="1"/>
    <s v="Spinach, Artichokes, Tomatoes, Sun-dried Tomatoes, Garlic, Pesto Sauce"/>
    <x v="13"/>
  </r>
  <r>
    <n v="1785"/>
    <n v="792"/>
    <n v="0.14285714285714285"/>
    <s v="veggie_veg_m"/>
    <n v="1"/>
    <x v="13"/>
    <x v="6"/>
    <x v="787"/>
    <n v="16"/>
    <n v="16"/>
    <x v="0"/>
    <x v="1"/>
    <s v="Mushrooms, Tomatoes, Red Peppers, Green Peppers, Red Onions, Zucchini, Spinach, Garlic"/>
    <x v="14"/>
  </r>
  <r>
    <n v="1786"/>
    <n v="793"/>
    <n v="1"/>
    <s v="prsc_argla_l"/>
    <n v="1"/>
    <x v="13"/>
    <x v="6"/>
    <x v="788"/>
    <n v="20.75"/>
    <n v="20.75"/>
    <x v="1"/>
    <x v="2"/>
    <s v="Prosciutto di San Daniele, Arugula, Mozzarella Cheese"/>
    <x v="6"/>
  </r>
  <r>
    <n v="1787"/>
    <n v="794"/>
    <n v="1"/>
    <s v="napolitana_m"/>
    <n v="1"/>
    <x v="13"/>
    <x v="6"/>
    <x v="789"/>
    <n v="16"/>
    <n v="16"/>
    <x v="0"/>
    <x v="0"/>
    <s v="Tomatoes, Anchovies, Green Olives, Red Onions, Garlic"/>
    <x v="22"/>
  </r>
  <r>
    <n v="1788"/>
    <n v="795"/>
    <n v="1"/>
    <s v="five_cheese_l"/>
    <n v="1"/>
    <x v="13"/>
    <x v="6"/>
    <x v="790"/>
    <n v="18.5"/>
    <n v="18.5"/>
    <x v="1"/>
    <x v="1"/>
    <s v="Mozzarella Cheese, Provolone Cheese, Smoked Gouda Cheese, Romano Cheese, Blue Cheese, Garlic"/>
    <x v="2"/>
  </r>
  <r>
    <n v="1789"/>
    <n v="796"/>
    <n v="1"/>
    <s v="mexicana_m"/>
    <n v="1"/>
    <x v="13"/>
    <x v="6"/>
    <x v="791"/>
    <n v="16"/>
    <n v="16"/>
    <x v="0"/>
    <x v="1"/>
    <s v="Tomatoes, Red Peppers, Jalapeno Peppers, Red Onions, Cilantro, Corn, Chipotle Sauce, Garlic"/>
    <x v="4"/>
  </r>
  <r>
    <n v="1790"/>
    <n v="797"/>
    <n v="0.33333333333333331"/>
    <s v="peppr_salami_m"/>
    <n v="1"/>
    <x v="13"/>
    <x v="6"/>
    <x v="792"/>
    <n v="16.5"/>
    <n v="16.5"/>
    <x v="0"/>
    <x v="2"/>
    <s v="Genoa Salami, Capocollo, Pepperoni, Tomatoes, Asiago Cheese, Garlic"/>
    <x v="26"/>
  </r>
  <r>
    <n v="1791"/>
    <n v="797"/>
    <n v="0.33333333333333331"/>
    <s v="prsc_argla_m"/>
    <n v="1"/>
    <x v="13"/>
    <x v="6"/>
    <x v="792"/>
    <n v="16.5"/>
    <n v="16.5"/>
    <x v="0"/>
    <x v="2"/>
    <s v="Prosciutto di San Daniele, Arugula, Mozzarella Cheese"/>
    <x v="6"/>
  </r>
  <r>
    <n v="1792"/>
    <n v="797"/>
    <n v="0.33333333333333331"/>
    <s v="veggie_veg_m"/>
    <n v="1"/>
    <x v="13"/>
    <x v="6"/>
    <x v="792"/>
    <n v="16"/>
    <n v="16"/>
    <x v="0"/>
    <x v="1"/>
    <s v="Mushrooms, Tomatoes, Red Peppers, Green Peppers, Red Onions, Zucchini, Spinach, Garlic"/>
    <x v="14"/>
  </r>
  <r>
    <n v="1793"/>
    <n v="798"/>
    <n v="0.25"/>
    <s v="five_cheese_l"/>
    <n v="1"/>
    <x v="13"/>
    <x v="6"/>
    <x v="793"/>
    <n v="18.5"/>
    <n v="18.5"/>
    <x v="1"/>
    <x v="1"/>
    <s v="Mozzarella Cheese, Provolone Cheese, Smoked Gouda Cheese, Romano Cheese, Blue Cheese, Garlic"/>
    <x v="2"/>
  </r>
  <r>
    <n v="1794"/>
    <n v="798"/>
    <n v="0.25"/>
    <s v="green_garden_s"/>
    <n v="1"/>
    <x v="13"/>
    <x v="6"/>
    <x v="793"/>
    <n v="12"/>
    <n v="12"/>
    <x v="2"/>
    <x v="1"/>
    <s v="Spinach, Mushrooms, Tomatoes, Green Olives, Feta Cheese"/>
    <x v="10"/>
  </r>
  <r>
    <n v="1795"/>
    <n v="798"/>
    <n v="0.25"/>
    <s v="soppressata_s"/>
    <n v="1"/>
    <x v="13"/>
    <x v="6"/>
    <x v="793"/>
    <n v="12.5"/>
    <n v="12.5"/>
    <x v="2"/>
    <x v="2"/>
    <s v="Soppressata Salami, Fontina Cheese, Mozzarella Cheese, Mushrooms, Garlic"/>
    <x v="20"/>
  </r>
  <r>
    <n v="1796"/>
    <n v="798"/>
    <n v="0.25"/>
    <s v="spinach_fet_m"/>
    <n v="1"/>
    <x v="13"/>
    <x v="6"/>
    <x v="793"/>
    <n v="16"/>
    <n v="16"/>
    <x v="0"/>
    <x v="1"/>
    <s v="Spinach, Mushrooms, Red Onions, Feta Cheese, Garlic"/>
    <x v="27"/>
  </r>
  <r>
    <n v="1797"/>
    <n v="799"/>
    <n v="0.33333333333333331"/>
    <s v="ital_supr_m"/>
    <n v="1"/>
    <x v="13"/>
    <x v="6"/>
    <x v="794"/>
    <n v="16.5"/>
    <n v="16.5"/>
    <x v="0"/>
    <x v="2"/>
    <s v="Calabrese Salami, Capocollo, Tomatoes, Red Onions, Green Olives, Garlic"/>
    <x v="3"/>
  </r>
  <r>
    <n v="1798"/>
    <n v="799"/>
    <n v="0.33333333333333331"/>
    <s v="pep_msh_pep_s"/>
    <n v="1"/>
    <x v="13"/>
    <x v="6"/>
    <x v="794"/>
    <n v="11"/>
    <n v="11"/>
    <x v="2"/>
    <x v="0"/>
    <s v="Pepperoni, Mushrooms, Green Peppers"/>
    <x v="30"/>
  </r>
  <r>
    <n v="1799"/>
    <n v="799"/>
    <n v="0.33333333333333331"/>
    <s v="thai_ckn_m"/>
    <n v="1"/>
    <x v="13"/>
    <x v="6"/>
    <x v="794"/>
    <n v="16.75"/>
    <n v="16.75"/>
    <x v="0"/>
    <x v="3"/>
    <s v="Chicken, Pineapple, Tomatoes, Red Peppers, Thai Sweet Chilli Sauce"/>
    <x v="5"/>
  </r>
  <r>
    <n v="1800"/>
    <n v="800"/>
    <n v="0.16666666666666666"/>
    <s v="calabrese_l"/>
    <n v="2"/>
    <x v="13"/>
    <x v="6"/>
    <x v="795"/>
    <n v="20.25"/>
    <n v="40.5"/>
    <x v="1"/>
    <x v="2"/>
    <s v="?duja Salami, Pancetta, Tomatoes, Red Onions, Friggitello Peppers, Garlic"/>
    <x v="23"/>
  </r>
  <r>
    <n v="1801"/>
    <n v="800"/>
    <n v="0.16666666666666666"/>
    <s v="hawaiian_s"/>
    <n v="1"/>
    <x v="13"/>
    <x v="6"/>
    <x v="795"/>
    <n v="10.5"/>
    <n v="10.5"/>
    <x v="2"/>
    <x v="0"/>
    <s v="Sliced Ham, Pineapple, Mozzarella Cheese"/>
    <x v="0"/>
  </r>
  <r>
    <n v="1802"/>
    <n v="800"/>
    <n v="0.16666666666666666"/>
    <s v="ital_veggie_s"/>
    <n v="1"/>
    <x v="13"/>
    <x v="6"/>
    <x v="795"/>
    <n v="12.75"/>
    <n v="12.75"/>
    <x v="2"/>
    <x v="1"/>
    <s v="Eggplant, Artichokes, Tomatoes, Zucchini, Red Peppers, Garlic, Pesto Sauce"/>
    <x v="24"/>
  </r>
  <r>
    <n v="1803"/>
    <n v="800"/>
    <n v="0.16666666666666666"/>
    <s v="napolitana_s"/>
    <n v="1"/>
    <x v="13"/>
    <x v="6"/>
    <x v="795"/>
    <n v="12"/>
    <n v="12"/>
    <x v="2"/>
    <x v="0"/>
    <s v="Tomatoes, Anchovies, Green Olives, Red Onions, Garlic"/>
    <x v="22"/>
  </r>
  <r>
    <n v="1804"/>
    <n v="800"/>
    <n v="0.16666666666666666"/>
    <s v="southw_ckn_s"/>
    <n v="2"/>
    <x v="13"/>
    <x v="6"/>
    <x v="795"/>
    <n v="12.75"/>
    <n v="25.5"/>
    <x v="2"/>
    <x v="3"/>
    <s v="Chicken, Tomatoes, Red Peppers, Red Onions, Jalapeno Peppers, Corn, Cilantro, Chipotle Sauce"/>
    <x v="15"/>
  </r>
  <r>
    <n v="1805"/>
    <n v="800"/>
    <n v="0.16666666666666666"/>
    <s v="spicy_ital_l"/>
    <n v="1"/>
    <x v="13"/>
    <x v="6"/>
    <x v="795"/>
    <n v="20.75"/>
    <n v="20.75"/>
    <x v="1"/>
    <x v="2"/>
    <s v="Capocollo, Tomatoes, Goat Cheese, Artichokes, Peperoncini verdi, Garlic"/>
    <x v="12"/>
  </r>
  <r>
    <n v="1806"/>
    <n v="801"/>
    <n v="8.3333333333333329E-2"/>
    <s v="bbq_ckn_m"/>
    <n v="1"/>
    <x v="13"/>
    <x v="6"/>
    <x v="796"/>
    <n v="16.75"/>
    <n v="16.75"/>
    <x v="0"/>
    <x v="3"/>
    <s v="Barbecued Chicken, Red Peppers, Green Peppers, Tomatoes, Red Onions, Barbecue Sauce"/>
    <x v="7"/>
  </r>
  <r>
    <n v="1807"/>
    <n v="801"/>
    <n v="8.3333333333333329E-2"/>
    <s v="classic_dlx_l"/>
    <n v="1"/>
    <x v="13"/>
    <x v="6"/>
    <x v="796"/>
    <n v="20.5"/>
    <n v="20.5"/>
    <x v="1"/>
    <x v="0"/>
    <s v="Pepperoni, Mushrooms, Red Onions, Red Peppers, Bacon"/>
    <x v="1"/>
  </r>
  <r>
    <n v="1808"/>
    <n v="801"/>
    <n v="8.3333333333333329E-2"/>
    <s v="classic_dlx_s"/>
    <n v="1"/>
    <x v="13"/>
    <x v="6"/>
    <x v="796"/>
    <n v="12"/>
    <n v="12"/>
    <x v="2"/>
    <x v="0"/>
    <s v="Pepperoni, Mushrooms, Red Onions, Red Peppers, Bacon"/>
    <x v="1"/>
  </r>
  <r>
    <n v="1809"/>
    <n v="801"/>
    <n v="8.3333333333333329E-2"/>
    <s v="ital_supr_m"/>
    <n v="1"/>
    <x v="13"/>
    <x v="6"/>
    <x v="796"/>
    <n v="16.5"/>
    <n v="16.5"/>
    <x v="0"/>
    <x v="2"/>
    <s v="Calabrese Salami, Capocollo, Tomatoes, Red Onions, Green Olives, Garlic"/>
    <x v="3"/>
  </r>
  <r>
    <n v="1810"/>
    <n v="801"/>
    <n v="8.3333333333333329E-2"/>
    <s v="napolitana_l"/>
    <n v="1"/>
    <x v="13"/>
    <x v="6"/>
    <x v="796"/>
    <n v="20.5"/>
    <n v="20.5"/>
    <x v="1"/>
    <x v="0"/>
    <s v="Tomatoes, Anchovies, Green Olives, Red Onions, Garlic"/>
    <x v="22"/>
  </r>
  <r>
    <n v="1811"/>
    <n v="801"/>
    <n v="8.3333333333333329E-2"/>
    <s v="sicilian_l"/>
    <n v="1"/>
    <x v="13"/>
    <x v="6"/>
    <x v="796"/>
    <n v="20.25"/>
    <n v="20.25"/>
    <x v="1"/>
    <x v="2"/>
    <s v="Coarse Sicilian Salami, Tomatoes, Green Olives, Luganega Sausage, Onions, Garlic"/>
    <x v="28"/>
  </r>
  <r>
    <n v="1812"/>
    <n v="801"/>
    <n v="8.3333333333333329E-2"/>
    <s v="sicilian_s"/>
    <n v="2"/>
    <x v="13"/>
    <x v="6"/>
    <x v="796"/>
    <n v="12.25"/>
    <n v="24.5"/>
    <x v="2"/>
    <x v="2"/>
    <s v="Coarse Sicilian Salami, Tomatoes, Green Olives, Luganega Sausage, Onions, Garlic"/>
    <x v="28"/>
  </r>
  <r>
    <n v="1813"/>
    <n v="801"/>
    <n v="8.3333333333333329E-2"/>
    <s v="southw_ckn_l"/>
    <n v="1"/>
    <x v="13"/>
    <x v="6"/>
    <x v="796"/>
    <n v="20.75"/>
    <n v="20.75"/>
    <x v="1"/>
    <x v="3"/>
    <s v="Chicken, Tomatoes, Red Peppers, Red Onions, Jalapeno Peppers, Corn, Cilantro, Chipotle Sauce"/>
    <x v="15"/>
  </r>
  <r>
    <n v="1814"/>
    <n v="801"/>
    <n v="8.3333333333333329E-2"/>
    <s v="southw_ckn_s"/>
    <n v="1"/>
    <x v="13"/>
    <x v="6"/>
    <x v="796"/>
    <n v="12.75"/>
    <n v="12.75"/>
    <x v="2"/>
    <x v="3"/>
    <s v="Chicken, Tomatoes, Red Peppers, Red Onions, Jalapeno Peppers, Corn, Cilantro, Chipotle Sauce"/>
    <x v="15"/>
  </r>
  <r>
    <n v="1815"/>
    <n v="801"/>
    <n v="8.3333333333333329E-2"/>
    <s v="spin_pesto_l"/>
    <n v="1"/>
    <x v="13"/>
    <x v="6"/>
    <x v="796"/>
    <n v="20.75"/>
    <n v="20.75"/>
    <x v="1"/>
    <x v="1"/>
    <s v="Spinach, Artichokes, Tomatoes, Sun-dried Tomatoes, Garlic, Pesto Sauce"/>
    <x v="13"/>
  </r>
  <r>
    <n v="1816"/>
    <n v="801"/>
    <n v="8.3333333333333329E-2"/>
    <s v="spinach_supr_l"/>
    <n v="1"/>
    <x v="13"/>
    <x v="6"/>
    <x v="796"/>
    <n v="20.75"/>
    <n v="20.75"/>
    <x v="1"/>
    <x v="2"/>
    <s v="Spinach, Red Onions, Pepperoni, Tomatoes, Artichokes, Kalamata Olives, Garlic, Asiago Cheese"/>
    <x v="9"/>
  </r>
  <r>
    <n v="1817"/>
    <n v="801"/>
    <n v="8.3333333333333329E-2"/>
    <s v="thai_ckn_l"/>
    <n v="1"/>
    <x v="13"/>
    <x v="6"/>
    <x v="796"/>
    <n v="20.75"/>
    <n v="20.75"/>
    <x v="1"/>
    <x v="3"/>
    <s v="Chicken, Pineapple, Tomatoes, Red Peppers, Thai Sweet Chilli Sauce"/>
    <x v="5"/>
  </r>
  <r>
    <n v="1818"/>
    <n v="802"/>
    <n v="0.5"/>
    <s v="ckn_alfredo_s"/>
    <n v="1"/>
    <x v="13"/>
    <x v="6"/>
    <x v="797"/>
    <n v="12.75"/>
    <n v="12.75"/>
    <x v="2"/>
    <x v="3"/>
    <s v="Chicken, Red Onions, Red Peppers, Mushrooms, Asiago Cheese, Alfredo Sauce"/>
    <x v="29"/>
  </r>
  <r>
    <n v="1819"/>
    <n v="802"/>
    <n v="0.5"/>
    <s v="hawaiian_s"/>
    <n v="1"/>
    <x v="13"/>
    <x v="6"/>
    <x v="797"/>
    <n v="10.5"/>
    <n v="10.5"/>
    <x v="2"/>
    <x v="0"/>
    <s v="Sliced Ham, Pineapple, Mozzarella Cheese"/>
    <x v="0"/>
  </r>
  <r>
    <n v="1820"/>
    <n v="803"/>
    <n v="1"/>
    <s v="ital_supr_m"/>
    <n v="1"/>
    <x v="13"/>
    <x v="6"/>
    <x v="798"/>
    <n v="16.5"/>
    <n v="16.5"/>
    <x v="0"/>
    <x v="2"/>
    <s v="Calabrese Salami, Capocollo, Tomatoes, Red Onions, Green Olives, Garlic"/>
    <x v="3"/>
  </r>
  <r>
    <n v="1821"/>
    <n v="804"/>
    <n v="1"/>
    <s v="prsc_argla_s"/>
    <n v="1"/>
    <x v="13"/>
    <x v="6"/>
    <x v="799"/>
    <n v="12.5"/>
    <n v="12.5"/>
    <x v="2"/>
    <x v="2"/>
    <s v="Prosciutto di San Daniele, Arugula, Mozzarella Cheese"/>
    <x v="6"/>
  </r>
  <r>
    <n v="1822"/>
    <n v="805"/>
    <n v="0.5"/>
    <s v="big_meat_s"/>
    <n v="1"/>
    <x v="13"/>
    <x v="6"/>
    <x v="800"/>
    <n v="12"/>
    <n v="12"/>
    <x v="2"/>
    <x v="0"/>
    <s v="Bacon, Pepperoni, Italian Sausage, Chorizo Sausage"/>
    <x v="19"/>
  </r>
  <r>
    <n v="1823"/>
    <n v="805"/>
    <n v="0.5"/>
    <s v="four_cheese_m"/>
    <n v="1"/>
    <x v="13"/>
    <x v="6"/>
    <x v="800"/>
    <n v="14.75"/>
    <n v="14.75"/>
    <x v="0"/>
    <x v="1"/>
    <s v="Ricotta Cheese, Gorgonzola Piccante Cheese, Mozzarella Cheese, Parmigiano Reggiano Cheese, Garlic"/>
    <x v="21"/>
  </r>
  <r>
    <n v="1824"/>
    <n v="806"/>
    <n v="1"/>
    <s v="bbq_ckn_l"/>
    <n v="1"/>
    <x v="13"/>
    <x v="6"/>
    <x v="801"/>
    <n v="20.75"/>
    <n v="20.75"/>
    <x v="1"/>
    <x v="3"/>
    <s v="Barbecued Chicken, Red Peppers, Green Peppers, Tomatoes, Red Onions, Barbecue Sauce"/>
    <x v="7"/>
  </r>
  <r>
    <n v="1825"/>
    <n v="807"/>
    <n v="1"/>
    <s v="big_meat_s"/>
    <n v="1"/>
    <x v="13"/>
    <x v="6"/>
    <x v="802"/>
    <n v="12"/>
    <n v="12"/>
    <x v="2"/>
    <x v="0"/>
    <s v="Bacon, Pepperoni, Italian Sausage, Chorizo Sausage"/>
    <x v="19"/>
  </r>
  <r>
    <n v="1826"/>
    <n v="808"/>
    <n v="1"/>
    <s v="peppr_salami_l"/>
    <n v="2"/>
    <x v="13"/>
    <x v="6"/>
    <x v="803"/>
    <n v="20.75"/>
    <n v="41.5"/>
    <x v="1"/>
    <x v="2"/>
    <s v="Genoa Salami, Capocollo, Pepperoni, Tomatoes, Asiago Cheese, Garlic"/>
    <x v="26"/>
  </r>
  <r>
    <n v="1827"/>
    <n v="809"/>
    <n v="1"/>
    <s v="hawaiian_s"/>
    <n v="1"/>
    <x v="13"/>
    <x v="6"/>
    <x v="804"/>
    <n v="10.5"/>
    <n v="10.5"/>
    <x v="2"/>
    <x v="0"/>
    <s v="Sliced Ham, Pineapple, Mozzarella Cheese"/>
    <x v="0"/>
  </r>
  <r>
    <n v="1828"/>
    <n v="810"/>
    <n v="1"/>
    <s v="ital_veggie_m"/>
    <n v="1"/>
    <x v="13"/>
    <x v="6"/>
    <x v="805"/>
    <n v="16.75"/>
    <n v="16.75"/>
    <x v="0"/>
    <x v="1"/>
    <s v="Eggplant, Artichokes, Tomatoes, Zucchini, Red Peppers, Garlic, Pesto Sauce"/>
    <x v="24"/>
  </r>
  <r>
    <n v="1829"/>
    <n v="811"/>
    <n v="1"/>
    <s v="veggie_veg_m"/>
    <n v="1"/>
    <x v="13"/>
    <x v="6"/>
    <x v="806"/>
    <n v="16"/>
    <n v="16"/>
    <x v="0"/>
    <x v="1"/>
    <s v="Mushrooms, Tomatoes, Red Peppers, Green Peppers, Red Onions, Zucchini, Spinach, Garlic"/>
    <x v="14"/>
  </r>
  <r>
    <n v="1830"/>
    <n v="812"/>
    <n v="0.5"/>
    <s v="calabrese_s"/>
    <n v="1"/>
    <x v="13"/>
    <x v="6"/>
    <x v="807"/>
    <n v="12.25"/>
    <n v="12.25"/>
    <x v="2"/>
    <x v="2"/>
    <s v="?duja Salami, Pancetta, Tomatoes, Red Onions, Friggitello Peppers, Garlic"/>
    <x v="23"/>
  </r>
  <r>
    <n v="1831"/>
    <n v="812"/>
    <n v="0.5"/>
    <s v="pep_msh_pep_m"/>
    <n v="1"/>
    <x v="13"/>
    <x v="6"/>
    <x v="807"/>
    <n v="14.5"/>
    <n v="14.5"/>
    <x v="0"/>
    <x v="0"/>
    <s v="Pepperoni, Mushrooms, Green Peppers"/>
    <x v="30"/>
  </r>
  <r>
    <n v="1832"/>
    <n v="813"/>
    <n v="0.5"/>
    <s v="cali_ckn_s"/>
    <n v="1"/>
    <x v="13"/>
    <x v="6"/>
    <x v="808"/>
    <n v="12.75"/>
    <n v="12.75"/>
    <x v="2"/>
    <x v="3"/>
    <s v="Chicken, Artichoke, Spinach, Garlic, Jalapeno Peppers, Fontina Cheese, Gouda Cheese"/>
    <x v="16"/>
  </r>
  <r>
    <n v="1833"/>
    <n v="813"/>
    <n v="0.5"/>
    <s v="southw_ckn_l"/>
    <n v="1"/>
    <x v="13"/>
    <x v="6"/>
    <x v="808"/>
    <n v="20.75"/>
    <n v="20.75"/>
    <x v="1"/>
    <x v="3"/>
    <s v="Chicken, Tomatoes, Red Peppers, Red Onions, Jalapeno Peppers, Corn, Cilantro, Chipotle Sauce"/>
    <x v="15"/>
  </r>
  <r>
    <n v="1834"/>
    <n v="814"/>
    <n v="0.5"/>
    <s v="classic_dlx_s"/>
    <n v="1"/>
    <x v="13"/>
    <x v="6"/>
    <x v="809"/>
    <n v="12"/>
    <n v="12"/>
    <x v="2"/>
    <x v="0"/>
    <s v="Pepperoni, Mushrooms, Red Onions, Red Peppers, Bacon"/>
    <x v="1"/>
  </r>
  <r>
    <n v="1835"/>
    <n v="814"/>
    <n v="0.5"/>
    <s v="veggie_veg_l"/>
    <n v="1"/>
    <x v="13"/>
    <x v="6"/>
    <x v="809"/>
    <n v="20.25"/>
    <n v="20.25"/>
    <x v="1"/>
    <x v="1"/>
    <s v="Mushrooms, Tomatoes, Red Peppers, Green Peppers, Red Onions, Zucchini, Spinach, Garlic"/>
    <x v="14"/>
  </r>
  <r>
    <n v="1836"/>
    <n v="815"/>
    <n v="1"/>
    <s v="napolitana_l"/>
    <n v="1"/>
    <x v="13"/>
    <x v="6"/>
    <x v="810"/>
    <n v="20.5"/>
    <n v="20.5"/>
    <x v="1"/>
    <x v="0"/>
    <s v="Tomatoes, Anchovies, Green Olives, Red Onions, Garlic"/>
    <x v="22"/>
  </r>
  <r>
    <n v="1837"/>
    <n v="816"/>
    <n v="0.5"/>
    <s v="southw_ckn_l"/>
    <n v="1"/>
    <x v="13"/>
    <x v="6"/>
    <x v="811"/>
    <n v="20.75"/>
    <n v="20.75"/>
    <x v="1"/>
    <x v="3"/>
    <s v="Chicken, Tomatoes, Red Peppers, Red Onions, Jalapeno Peppers, Corn, Cilantro, Chipotle Sauce"/>
    <x v="15"/>
  </r>
  <r>
    <n v="1838"/>
    <n v="816"/>
    <n v="0.5"/>
    <s v="veggie_veg_l"/>
    <n v="1"/>
    <x v="13"/>
    <x v="6"/>
    <x v="811"/>
    <n v="20.25"/>
    <n v="20.25"/>
    <x v="1"/>
    <x v="1"/>
    <s v="Mushrooms, Tomatoes, Red Peppers, Green Peppers, Red Onions, Zucchini, Spinach, Garlic"/>
    <x v="14"/>
  </r>
  <r>
    <n v="1839"/>
    <n v="817"/>
    <n v="0.25"/>
    <s v="classic_dlx_s"/>
    <n v="1"/>
    <x v="13"/>
    <x v="6"/>
    <x v="812"/>
    <n v="12"/>
    <n v="12"/>
    <x v="2"/>
    <x v="0"/>
    <s v="Pepperoni, Mushrooms, Red Onions, Red Peppers, Bacon"/>
    <x v="1"/>
  </r>
  <r>
    <n v="1840"/>
    <n v="817"/>
    <n v="0.25"/>
    <s v="pepperoni_m"/>
    <n v="1"/>
    <x v="13"/>
    <x v="6"/>
    <x v="812"/>
    <n v="12.5"/>
    <n v="12.5"/>
    <x v="0"/>
    <x v="0"/>
    <s v="Mozzarella Cheese, Pepperoni"/>
    <x v="17"/>
  </r>
  <r>
    <n v="1841"/>
    <n v="817"/>
    <n v="0.25"/>
    <s v="southw_ckn_l"/>
    <n v="1"/>
    <x v="13"/>
    <x v="6"/>
    <x v="812"/>
    <n v="20.75"/>
    <n v="20.75"/>
    <x v="1"/>
    <x v="3"/>
    <s v="Chicken, Tomatoes, Red Peppers, Red Onions, Jalapeno Peppers, Corn, Cilantro, Chipotle Sauce"/>
    <x v="15"/>
  </r>
  <r>
    <n v="1842"/>
    <n v="817"/>
    <n v="0.25"/>
    <s v="thai_ckn_l"/>
    <n v="1"/>
    <x v="13"/>
    <x v="6"/>
    <x v="812"/>
    <n v="20.75"/>
    <n v="20.75"/>
    <x v="1"/>
    <x v="3"/>
    <s v="Chicken, Pineapple, Tomatoes, Red Peppers, Thai Sweet Chilli Sauce"/>
    <x v="5"/>
  </r>
  <r>
    <n v="1843"/>
    <n v="818"/>
    <n v="0.33333333333333331"/>
    <s v="pep_msh_pep_s"/>
    <n v="1"/>
    <x v="13"/>
    <x v="6"/>
    <x v="813"/>
    <n v="11"/>
    <n v="11"/>
    <x v="2"/>
    <x v="0"/>
    <s v="Pepperoni, Mushrooms, Green Peppers"/>
    <x v="30"/>
  </r>
  <r>
    <n v="1844"/>
    <n v="818"/>
    <n v="0.33333333333333331"/>
    <s v="sicilian_l"/>
    <n v="1"/>
    <x v="13"/>
    <x v="6"/>
    <x v="813"/>
    <n v="20.25"/>
    <n v="20.25"/>
    <x v="1"/>
    <x v="2"/>
    <s v="Coarse Sicilian Salami, Tomatoes, Green Olives, Luganega Sausage, Onions, Garlic"/>
    <x v="28"/>
  </r>
  <r>
    <n v="1845"/>
    <n v="818"/>
    <n v="0.33333333333333331"/>
    <s v="sicilian_s"/>
    <n v="1"/>
    <x v="13"/>
    <x v="6"/>
    <x v="813"/>
    <n v="12.25"/>
    <n v="12.25"/>
    <x v="2"/>
    <x v="2"/>
    <s v="Coarse Sicilian Salami, Tomatoes, Green Olives, Luganega Sausage, Onions, Garlic"/>
    <x v="28"/>
  </r>
  <r>
    <n v="1846"/>
    <n v="819"/>
    <n v="0.5"/>
    <s v="bbq_ckn_m"/>
    <n v="1"/>
    <x v="13"/>
    <x v="6"/>
    <x v="814"/>
    <n v="16.75"/>
    <n v="16.75"/>
    <x v="0"/>
    <x v="3"/>
    <s v="Barbecued Chicken, Red Peppers, Green Peppers, Tomatoes, Red Onions, Barbecue Sauce"/>
    <x v="7"/>
  </r>
  <r>
    <n v="1847"/>
    <n v="819"/>
    <n v="0.5"/>
    <s v="sicilian_s"/>
    <n v="1"/>
    <x v="13"/>
    <x v="6"/>
    <x v="814"/>
    <n v="12.25"/>
    <n v="12.25"/>
    <x v="2"/>
    <x v="2"/>
    <s v="Coarse Sicilian Salami, Tomatoes, Green Olives, Luganega Sausage, Onions, Garlic"/>
    <x v="28"/>
  </r>
  <r>
    <n v="1848"/>
    <n v="820"/>
    <n v="0.5"/>
    <s v="southw_ckn_l"/>
    <n v="1"/>
    <x v="13"/>
    <x v="6"/>
    <x v="815"/>
    <n v="20.75"/>
    <n v="20.75"/>
    <x v="1"/>
    <x v="3"/>
    <s v="Chicken, Tomatoes, Red Peppers, Red Onions, Jalapeno Peppers, Corn, Cilantro, Chipotle Sauce"/>
    <x v="15"/>
  </r>
  <r>
    <n v="1849"/>
    <n v="820"/>
    <n v="0.5"/>
    <s v="spinach_supr_l"/>
    <n v="1"/>
    <x v="13"/>
    <x v="6"/>
    <x v="815"/>
    <n v="20.75"/>
    <n v="20.75"/>
    <x v="1"/>
    <x v="2"/>
    <s v="Spinach, Red Onions, Pepperoni, Tomatoes, Artichokes, Kalamata Olives, Garlic, Asiago Cheese"/>
    <x v="9"/>
  </r>
  <r>
    <n v="1850"/>
    <n v="821"/>
    <n v="1"/>
    <s v="five_cheese_l"/>
    <n v="1"/>
    <x v="13"/>
    <x v="6"/>
    <x v="816"/>
    <n v="18.5"/>
    <n v="18.5"/>
    <x v="1"/>
    <x v="1"/>
    <s v="Mozzarella Cheese, Provolone Cheese, Smoked Gouda Cheese, Romano Cheese, Blue Cheese, Garlic"/>
    <x v="2"/>
  </r>
  <r>
    <n v="1851"/>
    <n v="822"/>
    <n v="1"/>
    <s v="the_greek_xl"/>
    <n v="1"/>
    <x v="13"/>
    <x v="6"/>
    <x v="817"/>
    <n v="25.5"/>
    <n v="25.5"/>
    <x v="3"/>
    <x v="0"/>
    <s v="Kalamata Olives, Feta Cheese, Tomatoes, Garlic, Beef Chuck Roast, Red Onions"/>
    <x v="8"/>
  </r>
  <r>
    <n v="1852"/>
    <n v="823"/>
    <n v="0.33333333333333331"/>
    <s v="bbq_ckn_m"/>
    <n v="1"/>
    <x v="13"/>
    <x v="6"/>
    <x v="818"/>
    <n v="16.75"/>
    <n v="16.75"/>
    <x v="0"/>
    <x v="3"/>
    <s v="Barbecued Chicken, Red Peppers, Green Peppers, Tomatoes, Red Onions, Barbecue Sauce"/>
    <x v="7"/>
  </r>
  <r>
    <n v="1853"/>
    <n v="823"/>
    <n v="0.33333333333333331"/>
    <s v="cali_ckn_m"/>
    <n v="1"/>
    <x v="13"/>
    <x v="6"/>
    <x v="818"/>
    <n v="16.75"/>
    <n v="16.75"/>
    <x v="0"/>
    <x v="3"/>
    <s v="Chicken, Artichoke, Spinach, Garlic, Jalapeno Peppers, Fontina Cheese, Gouda Cheese"/>
    <x v="16"/>
  </r>
  <r>
    <n v="1854"/>
    <n v="823"/>
    <n v="0.33333333333333331"/>
    <s v="the_greek_l"/>
    <n v="1"/>
    <x v="13"/>
    <x v="6"/>
    <x v="818"/>
    <n v="20.5"/>
    <n v="20.5"/>
    <x v="1"/>
    <x v="0"/>
    <s v="Kalamata Olives, Feta Cheese, Tomatoes, Garlic, Beef Chuck Roast, Red Onions"/>
    <x v="8"/>
  </r>
  <r>
    <n v="1855"/>
    <n v="824"/>
    <n v="0.25"/>
    <s v="cali_ckn_l"/>
    <n v="1"/>
    <x v="13"/>
    <x v="6"/>
    <x v="819"/>
    <n v="20.75"/>
    <n v="20.75"/>
    <x v="1"/>
    <x v="3"/>
    <s v="Chicken, Artichoke, Spinach, Garlic, Jalapeno Peppers, Fontina Cheese, Gouda Cheese"/>
    <x v="16"/>
  </r>
  <r>
    <n v="1856"/>
    <n v="824"/>
    <n v="0.25"/>
    <s v="classic_dlx_l"/>
    <n v="1"/>
    <x v="13"/>
    <x v="6"/>
    <x v="819"/>
    <n v="20.5"/>
    <n v="20.5"/>
    <x v="1"/>
    <x v="0"/>
    <s v="Pepperoni, Mushrooms, Red Onions, Red Peppers, Bacon"/>
    <x v="1"/>
  </r>
  <r>
    <n v="1857"/>
    <n v="824"/>
    <n v="0.25"/>
    <s v="ital_supr_s"/>
    <n v="1"/>
    <x v="13"/>
    <x v="6"/>
    <x v="819"/>
    <n v="12.5"/>
    <n v="12.5"/>
    <x v="2"/>
    <x v="2"/>
    <s v="Calabrese Salami, Capocollo, Tomatoes, Red Onions, Green Olives, Garlic"/>
    <x v="3"/>
  </r>
  <r>
    <n v="1858"/>
    <n v="824"/>
    <n v="0.25"/>
    <s v="sicilian_l"/>
    <n v="1"/>
    <x v="13"/>
    <x v="6"/>
    <x v="819"/>
    <n v="20.25"/>
    <n v="20.25"/>
    <x v="1"/>
    <x v="2"/>
    <s v="Coarse Sicilian Salami, Tomatoes, Green Olives, Luganega Sausage, Onions, Garlic"/>
    <x v="28"/>
  </r>
  <r>
    <n v="1859"/>
    <n v="825"/>
    <n v="0.5"/>
    <s v="five_cheese_l"/>
    <n v="1"/>
    <x v="13"/>
    <x v="6"/>
    <x v="820"/>
    <n v="18.5"/>
    <n v="18.5"/>
    <x v="1"/>
    <x v="1"/>
    <s v="Mozzarella Cheese, Provolone Cheese, Smoked Gouda Cheese, Romano Cheese, Blue Cheese, Garlic"/>
    <x v="2"/>
  </r>
  <r>
    <n v="1860"/>
    <n v="825"/>
    <n v="0.5"/>
    <s v="sicilian_s"/>
    <n v="1"/>
    <x v="13"/>
    <x v="6"/>
    <x v="820"/>
    <n v="12.25"/>
    <n v="12.25"/>
    <x v="2"/>
    <x v="2"/>
    <s v="Coarse Sicilian Salami, Tomatoes, Green Olives, Luganega Sausage, Onions, Garlic"/>
    <x v="28"/>
  </r>
  <r>
    <n v="1861"/>
    <n v="826"/>
    <n v="0.33333333333333331"/>
    <s v="ckn_pesto_l"/>
    <n v="1"/>
    <x v="13"/>
    <x v="6"/>
    <x v="821"/>
    <n v="20.75"/>
    <n v="20.75"/>
    <x v="1"/>
    <x v="3"/>
    <s v="Chicken, Tomatoes, Red Peppers, Spinach, Garlic, Pesto Sauce"/>
    <x v="18"/>
  </r>
  <r>
    <n v="1862"/>
    <n v="826"/>
    <n v="0.33333333333333331"/>
    <s v="ital_supr_l"/>
    <n v="1"/>
    <x v="13"/>
    <x v="6"/>
    <x v="821"/>
    <n v="20.75"/>
    <n v="20.75"/>
    <x v="1"/>
    <x v="2"/>
    <s v="Calabrese Salami, Capocollo, Tomatoes, Red Onions, Green Olives, Garlic"/>
    <x v="3"/>
  </r>
  <r>
    <n v="1863"/>
    <n v="826"/>
    <n v="0.33333333333333331"/>
    <s v="pepperoni_l"/>
    <n v="1"/>
    <x v="13"/>
    <x v="6"/>
    <x v="821"/>
    <n v="15.25"/>
    <n v="15.25"/>
    <x v="1"/>
    <x v="0"/>
    <s v="Mozzarella Cheese, Pepperoni"/>
    <x v="17"/>
  </r>
  <r>
    <n v="1864"/>
    <n v="827"/>
    <n v="0.5"/>
    <s v="ckn_alfredo_m"/>
    <n v="1"/>
    <x v="13"/>
    <x v="6"/>
    <x v="822"/>
    <n v="16.75"/>
    <n v="16.75"/>
    <x v="0"/>
    <x v="3"/>
    <s v="Chicken, Red Onions, Red Peppers, Mushrooms, Asiago Cheese, Alfredo Sauce"/>
    <x v="29"/>
  </r>
  <r>
    <n v="1865"/>
    <n v="827"/>
    <n v="0.5"/>
    <s v="napolitana_l"/>
    <n v="1"/>
    <x v="13"/>
    <x v="6"/>
    <x v="822"/>
    <n v="20.5"/>
    <n v="20.5"/>
    <x v="1"/>
    <x v="0"/>
    <s v="Tomatoes, Anchovies, Green Olives, Red Onions, Garlic"/>
    <x v="22"/>
  </r>
  <r>
    <n v="1866"/>
    <n v="828"/>
    <n v="0.5"/>
    <s v="ckn_pesto_l"/>
    <n v="1"/>
    <x v="13"/>
    <x v="6"/>
    <x v="823"/>
    <n v="20.75"/>
    <n v="20.75"/>
    <x v="1"/>
    <x v="3"/>
    <s v="Chicken, Tomatoes, Red Peppers, Spinach, Garlic, Pesto Sauce"/>
    <x v="18"/>
  </r>
  <r>
    <n v="1867"/>
    <n v="828"/>
    <n v="0.5"/>
    <s v="peppr_salami_l"/>
    <n v="1"/>
    <x v="13"/>
    <x v="6"/>
    <x v="823"/>
    <n v="20.75"/>
    <n v="20.75"/>
    <x v="1"/>
    <x v="2"/>
    <s v="Genoa Salami, Capocollo, Pepperoni, Tomatoes, Asiago Cheese, Garlic"/>
    <x v="26"/>
  </r>
  <r>
    <n v="1868"/>
    <n v="829"/>
    <n v="0.25"/>
    <s v="napolitana_m"/>
    <n v="1"/>
    <x v="13"/>
    <x v="6"/>
    <x v="824"/>
    <n v="16"/>
    <n v="16"/>
    <x v="0"/>
    <x v="0"/>
    <s v="Tomatoes, Anchovies, Green Olives, Red Onions, Garlic"/>
    <x v="22"/>
  </r>
  <r>
    <n v="1869"/>
    <n v="829"/>
    <n v="0.25"/>
    <s v="peppr_salami_m"/>
    <n v="1"/>
    <x v="13"/>
    <x v="6"/>
    <x v="824"/>
    <n v="16.5"/>
    <n v="16.5"/>
    <x v="0"/>
    <x v="2"/>
    <s v="Genoa Salami, Capocollo, Pepperoni, Tomatoes, Asiago Cheese, Garlic"/>
    <x v="26"/>
  </r>
  <r>
    <n v="1870"/>
    <n v="829"/>
    <n v="0.25"/>
    <s v="spicy_ital_s"/>
    <n v="1"/>
    <x v="13"/>
    <x v="6"/>
    <x v="824"/>
    <n v="12.5"/>
    <n v="12.5"/>
    <x v="2"/>
    <x v="2"/>
    <s v="Capocollo, Tomatoes, Goat Cheese, Artichokes, Peperoncini verdi, Garlic"/>
    <x v="12"/>
  </r>
  <r>
    <n v="1871"/>
    <n v="829"/>
    <n v="0.25"/>
    <s v="spinach_supr_s"/>
    <n v="1"/>
    <x v="13"/>
    <x v="6"/>
    <x v="824"/>
    <n v="12.5"/>
    <n v="12.5"/>
    <x v="2"/>
    <x v="2"/>
    <s v="Spinach, Red Onions, Pepperoni, Tomatoes, Artichokes, Kalamata Olives, Garlic, Asiago Cheese"/>
    <x v="9"/>
  </r>
  <r>
    <n v="1872"/>
    <n v="830"/>
    <n v="0.33333333333333331"/>
    <s v="hawaiian_m"/>
    <n v="1"/>
    <x v="13"/>
    <x v="6"/>
    <x v="825"/>
    <n v="13.25"/>
    <n v="13.25"/>
    <x v="0"/>
    <x v="0"/>
    <s v="Sliced Ham, Pineapple, Mozzarella Cheese"/>
    <x v="0"/>
  </r>
  <r>
    <n v="1873"/>
    <n v="830"/>
    <n v="0.33333333333333331"/>
    <s v="ital_supr_m"/>
    <n v="1"/>
    <x v="13"/>
    <x v="6"/>
    <x v="825"/>
    <n v="16.5"/>
    <n v="16.5"/>
    <x v="0"/>
    <x v="2"/>
    <s v="Calabrese Salami, Capocollo, Tomatoes, Red Onions, Green Olives, Garlic"/>
    <x v="3"/>
  </r>
  <r>
    <n v="1874"/>
    <n v="830"/>
    <n v="0.33333333333333331"/>
    <s v="pepperoni_m"/>
    <n v="1"/>
    <x v="13"/>
    <x v="6"/>
    <x v="825"/>
    <n v="12.5"/>
    <n v="12.5"/>
    <x v="0"/>
    <x v="0"/>
    <s v="Mozzarella Cheese, Pepperoni"/>
    <x v="17"/>
  </r>
  <r>
    <n v="1875"/>
    <n v="831"/>
    <n v="0.25"/>
    <s v="calabrese_l"/>
    <n v="1"/>
    <x v="13"/>
    <x v="6"/>
    <x v="826"/>
    <n v="20.25"/>
    <n v="20.25"/>
    <x v="1"/>
    <x v="2"/>
    <s v="?duja Salami, Pancetta, Tomatoes, Red Onions, Friggitello Peppers, Garlic"/>
    <x v="23"/>
  </r>
  <r>
    <n v="1876"/>
    <n v="831"/>
    <n v="0.25"/>
    <s v="ckn_pesto_l"/>
    <n v="1"/>
    <x v="13"/>
    <x v="6"/>
    <x v="826"/>
    <n v="20.75"/>
    <n v="20.75"/>
    <x v="1"/>
    <x v="3"/>
    <s v="Chicken, Tomatoes, Red Peppers, Spinach, Garlic, Pesto Sauce"/>
    <x v="18"/>
  </r>
  <r>
    <n v="1877"/>
    <n v="831"/>
    <n v="0.25"/>
    <s v="ckn_pesto_m"/>
    <n v="1"/>
    <x v="13"/>
    <x v="6"/>
    <x v="826"/>
    <n v="16.75"/>
    <n v="16.75"/>
    <x v="0"/>
    <x v="3"/>
    <s v="Chicken, Tomatoes, Red Peppers, Spinach, Garlic, Pesto Sauce"/>
    <x v="18"/>
  </r>
  <r>
    <n v="1878"/>
    <n v="831"/>
    <n v="0.25"/>
    <s v="classic_dlx_m"/>
    <n v="1"/>
    <x v="13"/>
    <x v="6"/>
    <x v="826"/>
    <n v="16"/>
    <n v="16"/>
    <x v="0"/>
    <x v="0"/>
    <s v="Pepperoni, Mushrooms, Red Onions, Red Peppers, Bacon"/>
    <x v="1"/>
  </r>
  <r>
    <n v="1879"/>
    <n v="832"/>
    <n v="1"/>
    <s v="hawaiian_l"/>
    <n v="1"/>
    <x v="13"/>
    <x v="6"/>
    <x v="827"/>
    <n v="16.5"/>
    <n v="16.5"/>
    <x v="1"/>
    <x v="0"/>
    <s v="Sliced Ham, Pineapple, Mozzarella Cheese"/>
    <x v="0"/>
  </r>
  <r>
    <n v="1880"/>
    <n v="833"/>
    <n v="0.5"/>
    <s v="big_meat_s"/>
    <n v="1"/>
    <x v="13"/>
    <x v="6"/>
    <x v="828"/>
    <n v="12"/>
    <n v="12"/>
    <x v="2"/>
    <x v="0"/>
    <s v="Bacon, Pepperoni, Italian Sausage, Chorizo Sausage"/>
    <x v="19"/>
  </r>
  <r>
    <n v="1881"/>
    <n v="833"/>
    <n v="0.5"/>
    <s v="napolitana_s"/>
    <n v="1"/>
    <x v="13"/>
    <x v="6"/>
    <x v="828"/>
    <n v="12"/>
    <n v="12"/>
    <x v="2"/>
    <x v="0"/>
    <s v="Tomatoes, Anchovies, Green Olives, Red Onions, Garlic"/>
    <x v="22"/>
  </r>
  <r>
    <n v="1882"/>
    <n v="834"/>
    <n v="0.25"/>
    <s v="ckn_pesto_l"/>
    <n v="1"/>
    <x v="13"/>
    <x v="6"/>
    <x v="829"/>
    <n v="20.75"/>
    <n v="20.75"/>
    <x v="1"/>
    <x v="3"/>
    <s v="Chicken, Tomatoes, Red Peppers, Spinach, Garlic, Pesto Sauce"/>
    <x v="18"/>
  </r>
  <r>
    <n v="1883"/>
    <n v="834"/>
    <n v="0.25"/>
    <s v="pepperoni_s"/>
    <n v="1"/>
    <x v="13"/>
    <x v="6"/>
    <x v="829"/>
    <n v="9.75"/>
    <n v="9.75"/>
    <x v="2"/>
    <x v="0"/>
    <s v="Mozzarella Cheese, Pepperoni"/>
    <x v="17"/>
  </r>
  <r>
    <n v="1884"/>
    <n v="834"/>
    <n v="0.25"/>
    <s v="prsc_argla_s"/>
    <n v="1"/>
    <x v="13"/>
    <x v="6"/>
    <x v="829"/>
    <n v="12.5"/>
    <n v="12.5"/>
    <x v="2"/>
    <x v="2"/>
    <s v="Prosciutto di San Daniele, Arugula, Mozzarella Cheese"/>
    <x v="6"/>
  </r>
  <r>
    <n v="1885"/>
    <n v="834"/>
    <n v="0.25"/>
    <s v="spinach_fet_l"/>
    <n v="1"/>
    <x v="13"/>
    <x v="6"/>
    <x v="829"/>
    <n v="20.25"/>
    <n v="20.25"/>
    <x v="1"/>
    <x v="1"/>
    <s v="Spinach, Mushrooms, Red Onions, Feta Cheese, Garlic"/>
    <x v="27"/>
  </r>
  <r>
    <n v="1886"/>
    <n v="835"/>
    <n v="0.25"/>
    <s v="bbq_ckn_l"/>
    <n v="1"/>
    <x v="13"/>
    <x v="6"/>
    <x v="830"/>
    <n v="20.75"/>
    <n v="20.75"/>
    <x v="1"/>
    <x v="3"/>
    <s v="Barbecued Chicken, Red Peppers, Green Peppers, Tomatoes, Red Onions, Barbecue Sauce"/>
    <x v="7"/>
  </r>
  <r>
    <n v="1887"/>
    <n v="835"/>
    <n v="0.25"/>
    <s v="bbq_ckn_s"/>
    <n v="1"/>
    <x v="13"/>
    <x v="6"/>
    <x v="830"/>
    <n v="12.75"/>
    <n v="12.75"/>
    <x v="2"/>
    <x v="3"/>
    <s v="Barbecued Chicken, Red Peppers, Green Peppers, Tomatoes, Red Onions, Barbecue Sauce"/>
    <x v="7"/>
  </r>
  <r>
    <n v="1888"/>
    <n v="835"/>
    <n v="0.25"/>
    <s v="pepperoni_m"/>
    <n v="1"/>
    <x v="13"/>
    <x v="6"/>
    <x v="830"/>
    <n v="12.5"/>
    <n v="12.5"/>
    <x v="0"/>
    <x v="0"/>
    <s v="Mozzarella Cheese, Pepperoni"/>
    <x v="17"/>
  </r>
  <r>
    <n v="1889"/>
    <n v="835"/>
    <n v="0.25"/>
    <s v="southw_ckn_l"/>
    <n v="1"/>
    <x v="13"/>
    <x v="6"/>
    <x v="830"/>
    <n v="20.75"/>
    <n v="20.75"/>
    <x v="1"/>
    <x v="3"/>
    <s v="Chicken, Tomatoes, Red Peppers, Red Onions, Jalapeno Peppers, Corn, Cilantro, Chipotle Sauce"/>
    <x v="15"/>
  </r>
  <r>
    <n v="1890"/>
    <n v="836"/>
    <n v="0.25"/>
    <s v="five_cheese_l"/>
    <n v="1"/>
    <x v="13"/>
    <x v="6"/>
    <x v="831"/>
    <n v="18.5"/>
    <n v="18.5"/>
    <x v="1"/>
    <x v="1"/>
    <s v="Mozzarella Cheese, Provolone Cheese, Smoked Gouda Cheese, Romano Cheese, Blue Cheese, Garlic"/>
    <x v="2"/>
  </r>
  <r>
    <n v="1891"/>
    <n v="836"/>
    <n v="0.25"/>
    <s v="four_cheese_l"/>
    <n v="1"/>
    <x v="13"/>
    <x v="6"/>
    <x v="831"/>
    <n v="17.95"/>
    <n v="17.95"/>
    <x v="1"/>
    <x v="1"/>
    <s v="Ricotta Cheese, Gorgonzola Piccante Cheese, Mozzarella Cheese, Parmigiano Reggiano Cheese, Garlic"/>
    <x v="21"/>
  </r>
  <r>
    <n v="1892"/>
    <n v="836"/>
    <n v="0.25"/>
    <s v="hawaiian_s"/>
    <n v="1"/>
    <x v="13"/>
    <x v="6"/>
    <x v="831"/>
    <n v="10.5"/>
    <n v="10.5"/>
    <x v="2"/>
    <x v="0"/>
    <s v="Sliced Ham, Pineapple, Mozzarella Cheese"/>
    <x v="0"/>
  </r>
  <r>
    <n v="1893"/>
    <n v="836"/>
    <n v="0.25"/>
    <s v="the_greek_xl"/>
    <n v="1"/>
    <x v="13"/>
    <x v="6"/>
    <x v="831"/>
    <n v="25.5"/>
    <n v="25.5"/>
    <x v="3"/>
    <x v="0"/>
    <s v="Kalamata Olives, Feta Cheese, Tomatoes, Garlic, Beef Chuck Roast, Red Onions"/>
    <x v="8"/>
  </r>
  <r>
    <n v="1894"/>
    <n v="837"/>
    <n v="1"/>
    <s v="ital_supr_m"/>
    <n v="1"/>
    <x v="13"/>
    <x v="6"/>
    <x v="832"/>
    <n v="16.5"/>
    <n v="16.5"/>
    <x v="0"/>
    <x v="2"/>
    <s v="Calabrese Salami, Capocollo, Tomatoes, Red Onions, Green Olives, Garlic"/>
    <x v="3"/>
  </r>
  <r>
    <n v="1895"/>
    <n v="838"/>
    <n v="0.33333333333333331"/>
    <s v="ckn_alfredo_m"/>
    <n v="1"/>
    <x v="13"/>
    <x v="6"/>
    <x v="833"/>
    <n v="16.75"/>
    <n v="16.75"/>
    <x v="0"/>
    <x v="3"/>
    <s v="Chicken, Red Onions, Red Peppers, Mushrooms, Asiago Cheese, Alfredo Sauce"/>
    <x v="29"/>
  </r>
  <r>
    <n v="1896"/>
    <n v="838"/>
    <n v="0.33333333333333331"/>
    <s v="ital_supr_m"/>
    <n v="1"/>
    <x v="13"/>
    <x v="6"/>
    <x v="833"/>
    <n v="16.5"/>
    <n v="16.5"/>
    <x v="0"/>
    <x v="2"/>
    <s v="Calabrese Salami, Capocollo, Tomatoes, Red Onions, Green Olives, Garlic"/>
    <x v="3"/>
  </r>
  <r>
    <n v="1897"/>
    <n v="838"/>
    <n v="0.33333333333333331"/>
    <s v="veggie_veg_m"/>
    <n v="1"/>
    <x v="13"/>
    <x v="6"/>
    <x v="833"/>
    <n v="16"/>
    <n v="16"/>
    <x v="0"/>
    <x v="1"/>
    <s v="Mushrooms, Tomatoes, Red Peppers, Green Peppers, Red Onions, Zucchini, Spinach, Garlic"/>
    <x v="14"/>
  </r>
  <r>
    <n v="1898"/>
    <n v="839"/>
    <n v="1"/>
    <s v="mexicana_l"/>
    <n v="2"/>
    <x v="13"/>
    <x v="6"/>
    <x v="834"/>
    <n v="20.25"/>
    <n v="40.5"/>
    <x v="1"/>
    <x v="1"/>
    <s v="Tomatoes, Red Peppers, Jalapeno Peppers, Red Onions, Cilantro, Corn, Chipotle Sauce, Garlic"/>
    <x v="4"/>
  </r>
  <r>
    <n v="1899"/>
    <n v="840"/>
    <n v="1"/>
    <s v="ital_supr_l"/>
    <n v="1"/>
    <x v="13"/>
    <x v="6"/>
    <x v="835"/>
    <n v="20.75"/>
    <n v="20.75"/>
    <x v="1"/>
    <x v="2"/>
    <s v="Calabrese Salami, Capocollo, Tomatoes, Red Onions, Green Olives, Garlic"/>
    <x v="3"/>
  </r>
  <r>
    <n v="1900"/>
    <n v="841"/>
    <n v="1"/>
    <s v="peppr_salami_l"/>
    <n v="1"/>
    <x v="13"/>
    <x v="6"/>
    <x v="836"/>
    <n v="20.75"/>
    <n v="20.75"/>
    <x v="1"/>
    <x v="2"/>
    <s v="Genoa Salami, Capocollo, Pepperoni, Tomatoes, Asiago Cheese, Garlic"/>
    <x v="26"/>
  </r>
  <r>
    <n v="1901"/>
    <n v="842"/>
    <n v="0.33333333333333331"/>
    <s v="spin_pesto_s"/>
    <n v="1"/>
    <x v="13"/>
    <x v="6"/>
    <x v="837"/>
    <n v="12.5"/>
    <n v="12.5"/>
    <x v="2"/>
    <x v="1"/>
    <s v="Spinach, Artichokes, Tomatoes, Sun-dried Tomatoes, Garlic, Pesto Sauce"/>
    <x v="13"/>
  </r>
  <r>
    <n v="1902"/>
    <n v="842"/>
    <n v="0.33333333333333331"/>
    <s v="spinach_fet_m"/>
    <n v="1"/>
    <x v="13"/>
    <x v="6"/>
    <x v="837"/>
    <n v="16"/>
    <n v="16"/>
    <x v="0"/>
    <x v="1"/>
    <s v="Spinach, Mushrooms, Red Onions, Feta Cheese, Garlic"/>
    <x v="27"/>
  </r>
  <r>
    <n v="1903"/>
    <n v="842"/>
    <n v="0.33333333333333331"/>
    <s v="spinach_supr_s"/>
    <n v="1"/>
    <x v="13"/>
    <x v="6"/>
    <x v="837"/>
    <n v="12.5"/>
    <n v="12.5"/>
    <x v="2"/>
    <x v="2"/>
    <s v="Spinach, Red Onions, Pepperoni, Tomatoes, Artichokes, Kalamata Olives, Garlic, Asiago Cheese"/>
    <x v="9"/>
  </r>
  <r>
    <n v="1904"/>
    <n v="843"/>
    <n v="1"/>
    <s v="spinach_supr_m"/>
    <n v="1"/>
    <x v="13"/>
    <x v="6"/>
    <x v="838"/>
    <n v="16.5"/>
    <n v="16.5"/>
    <x v="0"/>
    <x v="2"/>
    <s v="Spinach, Red Onions, Pepperoni, Tomatoes, Artichokes, Kalamata Olives, Garlic, Asiago Cheese"/>
    <x v="9"/>
  </r>
  <r>
    <n v="1905"/>
    <n v="844"/>
    <n v="1"/>
    <s v="veggie_veg_m"/>
    <n v="1"/>
    <x v="13"/>
    <x v="6"/>
    <x v="839"/>
    <n v="16"/>
    <n v="16"/>
    <x v="0"/>
    <x v="1"/>
    <s v="Mushrooms, Tomatoes, Red Peppers, Green Peppers, Red Onions, Zucchini, Spinach, Garlic"/>
    <x v="14"/>
  </r>
  <r>
    <n v="1906"/>
    <n v="845"/>
    <n v="0.25"/>
    <s v="classic_dlx_l"/>
    <n v="1"/>
    <x v="13"/>
    <x v="6"/>
    <x v="840"/>
    <n v="20.5"/>
    <n v="20.5"/>
    <x v="1"/>
    <x v="0"/>
    <s v="Pepperoni, Mushrooms, Red Onions, Red Peppers, Bacon"/>
    <x v="1"/>
  </r>
  <r>
    <n v="1907"/>
    <n v="845"/>
    <n v="0.25"/>
    <s v="five_cheese_l"/>
    <n v="1"/>
    <x v="13"/>
    <x v="6"/>
    <x v="840"/>
    <n v="18.5"/>
    <n v="18.5"/>
    <x v="1"/>
    <x v="1"/>
    <s v="Mozzarella Cheese, Provolone Cheese, Smoked Gouda Cheese, Romano Cheese, Blue Cheese, Garlic"/>
    <x v="2"/>
  </r>
  <r>
    <n v="1908"/>
    <n v="845"/>
    <n v="0.25"/>
    <s v="ital_supr_m"/>
    <n v="1"/>
    <x v="13"/>
    <x v="6"/>
    <x v="840"/>
    <n v="16.5"/>
    <n v="16.5"/>
    <x v="0"/>
    <x v="2"/>
    <s v="Calabrese Salami, Capocollo, Tomatoes, Red Onions, Green Olives, Garlic"/>
    <x v="3"/>
  </r>
  <r>
    <n v="1909"/>
    <n v="845"/>
    <n v="0.25"/>
    <s v="southw_ckn_l"/>
    <n v="1"/>
    <x v="13"/>
    <x v="6"/>
    <x v="840"/>
    <n v="20.75"/>
    <n v="20.75"/>
    <x v="1"/>
    <x v="3"/>
    <s v="Chicken, Tomatoes, Red Peppers, Red Onions, Jalapeno Peppers, Corn, Cilantro, Chipotle Sauce"/>
    <x v="15"/>
  </r>
  <r>
    <n v="1910"/>
    <n v="846"/>
    <n v="0.5"/>
    <s v="cali_ckn_l"/>
    <n v="1"/>
    <x v="13"/>
    <x v="6"/>
    <x v="841"/>
    <n v="20.75"/>
    <n v="20.75"/>
    <x v="1"/>
    <x v="3"/>
    <s v="Chicken, Artichoke, Spinach, Garlic, Jalapeno Peppers, Fontina Cheese, Gouda Cheese"/>
    <x v="16"/>
  </r>
  <r>
    <n v="1911"/>
    <n v="846"/>
    <n v="0.5"/>
    <s v="five_cheese_l"/>
    <n v="1"/>
    <x v="13"/>
    <x v="6"/>
    <x v="841"/>
    <n v="18.5"/>
    <n v="18.5"/>
    <x v="1"/>
    <x v="1"/>
    <s v="Mozzarella Cheese, Provolone Cheese, Smoked Gouda Cheese, Romano Cheese, Blue Cheese, Garlic"/>
    <x v="2"/>
  </r>
  <r>
    <n v="1912"/>
    <n v="847"/>
    <n v="1"/>
    <s v="pepperoni_m"/>
    <n v="1"/>
    <x v="14"/>
    <x v="0"/>
    <x v="842"/>
    <n v="12.5"/>
    <n v="12.5"/>
    <x v="0"/>
    <x v="0"/>
    <s v="Mozzarella Cheese, Pepperoni"/>
    <x v="17"/>
  </r>
  <r>
    <n v="1913"/>
    <n v="848"/>
    <n v="1"/>
    <s v="big_meat_s"/>
    <n v="1"/>
    <x v="14"/>
    <x v="0"/>
    <x v="843"/>
    <n v="12"/>
    <n v="12"/>
    <x v="2"/>
    <x v="0"/>
    <s v="Bacon, Pepperoni, Italian Sausage, Chorizo Sausage"/>
    <x v="19"/>
  </r>
  <r>
    <n v="1914"/>
    <n v="849"/>
    <n v="0.25"/>
    <s v="classic_dlx_m"/>
    <n v="1"/>
    <x v="14"/>
    <x v="0"/>
    <x v="844"/>
    <n v="16"/>
    <n v="16"/>
    <x v="0"/>
    <x v="0"/>
    <s v="Pepperoni, Mushrooms, Red Onions, Red Peppers, Bacon"/>
    <x v="1"/>
  </r>
  <r>
    <n v="1915"/>
    <n v="849"/>
    <n v="0.25"/>
    <s v="sicilian_s"/>
    <n v="1"/>
    <x v="14"/>
    <x v="0"/>
    <x v="844"/>
    <n v="12.25"/>
    <n v="12.25"/>
    <x v="2"/>
    <x v="2"/>
    <s v="Coarse Sicilian Salami, Tomatoes, Green Olives, Luganega Sausage, Onions, Garlic"/>
    <x v="28"/>
  </r>
  <r>
    <n v="1916"/>
    <n v="849"/>
    <n v="0.25"/>
    <s v="spicy_ital_l"/>
    <n v="1"/>
    <x v="14"/>
    <x v="0"/>
    <x v="844"/>
    <n v="20.75"/>
    <n v="20.75"/>
    <x v="1"/>
    <x v="2"/>
    <s v="Capocollo, Tomatoes, Goat Cheese, Artichokes, Peperoncini verdi, Garlic"/>
    <x v="12"/>
  </r>
  <r>
    <n v="1917"/>
    <n v="849"/>
    <n v="0.25"/>
    <s v="spicy_ital_s"/>
    <n v="1"/>
    <x v="14"/>
    <x v="0"/>
    <x v="844"/>
    <n v="12.5"/>
    <n v="12.5"/>
    <x v="2"/>
    <x v="2"/>
    <s v="Capocollo, Tomatoes, Goat Cheese, Artichokes, Peperoncini verdi, Garlic"/>
    <x v="12"/>
  </r>
  <r>
    <n v="1918"/>
    <n v="850"/>
    <n v="0.33333333333333331"/>
    <s v="four_cheese_l"/>
    <n v="1"/>
    <x v="14"/>
    <x v="0"/>
    <x v="845"/>
    <n v="17.95"/>
    <n v="17.95"/>
    <x v="1"/>
    <x v="1"/>
    <s v="Ricotta Cheese, Gorgonzola Piccante Cheese, Mozzarella Cheese, Parmigiano Reggiano Cheese, Garlic"/>
    <x v="21"/>
  </r>
  <r>
    <n v="1919"/>
    <n v="850"/>
    <n v="0.33333333333333331"/>
    <s v="southw_ckn_l"/>
    <n v="1"/>
    <x v="14"/>
    <x v="0"/>
    <x v="845"/>
    <n v="20.75"/>
    <n v="20.75"/>
    <x v="1"/>
    <x v="3"/>
    <s v="Chicken, Tomatoes, Red Peppers, Red Onions, Jalapeno Peppers, Corn, Cilantro, Chipotle Sauce"/>
    <x v="15"/>
  </r>
  <r>
    <n v="1920"/>
    <n v="850"/>
    <n v="0.33333333333333331"/>
    <s v="thai_ckn_m"/>
    <n v="1"/>
    <x v="14"/>
    <x v="0"/>
    <x v="845"/>
    <n v="16.75"/>
    <n v="16.75"/>
    <x v="0"/>
    <x v="3"/>
    <s v="Chicken, Pineapple, Tomatoes, Red Peppers, Thai Sweet Chilli Sauce"/>
    <x v="5"/>
  </r>
  <r>
    <n v="1921"/>
    <n v="851"/>
    <n v="1"/>
    <s v="bbq_ckn_l"/>
    <n v="1"/>
    <x v="14"/>
    <x v="0"/>
    <x v="846"/>
    <n v="20.75"/>
    <n v="20.75"/>
    <x v="1"/>
    <x v="3"/>
    <s v="Barbecued Chicken, Red Peppers, Green Peppers, Tomatoes, Red Onions, Barbecue Sauce"/>
    <x v="7"/>
  </r>
  <r>
    <n v="1922"/>
    <n v="852"/>
    <n v="1"/>
    <s v="thai_ckn_m"/>
    <n v="1"/>
    <x v="14"/>
    <x v="0"/>
    <x v="847"/>
    <n v="16.75"/>
    <n v="16.75"/>
    <x v="0"/>
    <x v="3"/>
    <s v="Chicken, Pineapple, Tomatoes, Red Peppers, Thai Sweet Chilli Sauce"/>
    <x v="5"/>
  </r>
  <r>
    <n v="1923"/>
    <n v="853"/>
    <n v="1"/>
    <s v="pepperoni_m"/>
    <n v="1"/>
    <x v="14"/>
    <x v="0"/>
    <x v="848"/>
    <n v="12.5"/>
    <n v="12.5"/>
    <x v="0"/>
    <x v="0"/>
    <s v="Mozzarella Cheese, Pepperoni"/>
    <x v="17"/>
  </r>
  <r>
    <n v="1924"/>
    <n v="854"/>
    <n v="0.5"/>
    <s v="pepperoni_s"/>
    <n v="1"/>
    <x v="14"/>
    <x v="0"/>
    <x v="849"/>
    <n v="9.75"/>
    <n v="9.75"/>
    <x v="2"/>
    <x v="0"/>
    <s v="Mozzarella Cheese, Pepperoni"/>
    <x v="17"/>
  </r>
  <r>
    <n v="1925"/>
    <n v="854"/>
    <n v="0.5"/>
    <s v="soppressata_l"/>
    <n v="1"/>
    <x v="14"/>
    <x v="0"/>
    <x v="849"/>
    <n v="20.75"/>
    <n v="20.75"/>
    <x v="1"/>
    <x v="2"/>
    <s v="Soppressata Salami, Fontina Cheese, Mozzarella Cheese, Mushrooms, Garlic"/>
    <x v="20"/>
  </r>
  <r>
    <n v="1926"/>
    <n v="855"/>
    <n v="0.2"/>
    <s v="five_cheese_l"/>
    <n v="1"/>
    <x v="14"/>
    <x v="0"/>
    <x v="850"/>
    <n v="18.5"/>
    <n v="18.5"/>
    <x v="1"/>
    <x v="1"/>
    <s v="Mozzarella Cheese, Provolone Cheese, Smoked Gouda Cheese, Romano Cheese, Blue Cheese, Garlic"/>
    <x v="2"/>
  </r>
  <r>
    <n v="1927"/>
    <n v="855"/>
    <n v="0.2"/>
    <s v="sicilian_m"/>
    <n v="1"/>
    <x v="14"/>
    <x v="0"/>
    <x v="850"/>
    <n v="16.25"/>
    <n v="16.25"/>
    <x v="0"/>
    <x v="2"/>
    <s v="Coarse Sicilian Salami, Tomatoes, Green Olives, Luganega Sausage, Onions, Garlic"/>
    <x v="28"/>
  </r>
  <r>
    <n v="1928"/>
    <n v="855"/>
    <n v="0.2"/>
    <s v="southw_ckn_s"/>
    <n v="1"/>
    <x v="14"/>
    <x v="0"/>
    <x v="850"/>
    <n v="12.75"/>
    <n v="12.75"/>
    <x v="2"/>
    <x v="3"/>
    <s v="Chicken, Tomatoes, Red Peppers, Red Onions, Jalapeno Peppers, Corn, Cilantro, Chipotle Sauce"/>
    <x v="15"/>
  </r>
  <r>
    <n v="1929"/>
    <n v="855"/>
    <n v="0.2"/>
    <s v="spin_pesto_m"/>
    <n v="1"/>
    <x v="14"/>
    <x v="0"/>
    <x v="850"/>
    <n v="16.5"/>
    <n v="16.5"/>
    <x v="0"/>
    <x v="1"/>
    <s v="Spinach, Artichokes, Tomatoes, Sun-dried Tomatoes, Garlic, Pesto Sauce"/>
    <x v="13"/>
  </r>
  <r>
    <n v="1930"/>
    <n v="855"/>
    <n v="0.2"/>
    <s v="veggie_veg_m"/>
    <n v="1"/>
    <x v="14"/>
    <x v="0"/>
    <x v="850"/>
    <n v="16"/>
    <n v="16"/>
    <x v="0"/>
    <x v="1"/>
    <s v="Mushrooms, Tomatoes, Red Peppers, Green Peppers, Red Onions, Zucchini, Spinach, Garlic"/>
    <x v="14"/>
  </r>
  <r>
    <n v="1931"/>
    <n v="856"/>
    <n v="1"/>
    <s v="spicy_ital_l"/>
    <n v="1"/>
    <x v="14"/>
    <x v="0"/>
    <x v="851"/>
    <n v="20.75"/>
    <n v="20.75"/>
    <x v="1"/>
    <x v="2"/>
    <s v="Capocollo, Tomatoes, Goat Cheese, Artichokes, Peperoncini verdi, Garlic"/>
    <x v="12"/>
  </r>
  <r>
    <n v="1932"/>
    <n v="857"/>
    <n v="1"/>
    <s v="napolitana_s"/>
    <n v="1"/>
    <x v="14"/>
    <x v="0"/>
    <x v="852"/>
    <n v="12"/>
    <n v="12"/>
    <x v="2"/>
    <x v="0"/>
    <s v="Tomatoes, Anchovies, Green Olives, Red Onions, Garlic"/>
    <x v="22"/>
  </r>
  <r>
    <n v="1933"/>
    <n v="858"/>
    <n v="0.33333333333333331"/>
    <s v="peppr_salami_s"/>
    <n v="1"/>
    <x v="14"/>
    <x v="0"/>
    <x v="853"/>
    <n v="12.5"/>
    <n v="12.5"/>
    <x v="2"/>
    <x v="2"/>
    <s v="Genoa Salami, Capocollo, Pepperoni, Tomatoes, Asiago Cheese, Garlic"/>
    <x v="26"/>
  </r>
  <r>
    <n v="1934"/>
    <n v="858"/>
    <n v="0.33333333333333331"/>
    <s v="thai_ckn_l"/>
    <n v="1"/>
    <x v="14"/>
    <x v="0"/>
    <x v="853"/>
    <n v="20.75"/>
    <n v="20.75"/>
    <x v="1"/>
    <x v="3"/>
    <s v="Chicken, Pineapple, Tomatoes, Red Peppers, Thai Sweet Chilli Sauce"/>
    <x v="5"/>
  </r>
  <r>
    <n v="1935"/>
    <n v="858"/>
    <n v="0.33333333333333331"/>
    <s v="veggie_veg_m"/>
    <n v="1"/>
    <x v="14"/>
    <x v="0"/>
    <x v="853"/>
    <n v="16"/>
    <n v="16"/>
    <x v="0"/>
    <x v="1"/>
    <s v="Mushrooms, Tomatoes, Red Peppers, Green Peppers, Red Onions, Zucchini, Spinach, Garlic"/>
    <x v="14"/>
  </r>
  <r>
    <n v="1936"/>
    <n v="859"/>
    <n v="0.25"/>
    <s v="big_meat_s"/>
    <n v="1"/>
    <x v="14"/>
    <x v="0"/>
    <x v="854"/>
    <n v="12"/>
    <n v="12"/>
    <x v="2"/>
    <x v="0"/>
    <s v="Bacon, Pepperoni, Italian Sausage, Chorizo Sausage"/>
    <x v="19"/>
  </r>
  <r>
    <n v="1937"/>
    <n v="859"/>
    <n v="0.25"/>
    <s v="calabrese_m"/>
    <n v="1"/>
    <x v="14"/>
    <x v="0"/>
    <x v="854"/>
    <n v="16.25"/>
    <n v="16.25"/>
    <x v="0"/>
    <x v="2"/>
    <s v="?duja Salami, Pancetta, Tomatoes, Red Onions, Friggitello Peppers, Garlic"/>
    <x v="23"/>
  </r>
  <r>
    <n v="1938"/>
    <n v="859"/>
    <n v="0.25"/>
    <s v="ckn_alfredo_m"/>
    <n v="1"/>
    <x v="14"/>
    <x v="0"/>
    <x v="854"/>
    <n v="16.75"/>
    <n v="16.75"/>
    <x v="0"/>
    <x v="3"/>
    <s v="Chicken, Red Onions, Red Peppers, Mushrooms, Asiago Cheese, Alfredo Sauce"/>
    <x v="29"/>
  </r>
  <r>
    <n v="1939"/>
    <n v="859"/>
    <n v="0.25"/>
    <s v="the_greek_l"/>
    <n v="1"/>
    <x v="14"/>
    <x v="0"/>
    <x v="854"/>
    <n v="20.5"/>
    <n v="20.5"/>
    <x v="1"/>
    <x v="0"/>
    <s v="Kalamata Olives, Feta Cheese, Tomatoes, Garlic, Beef Chuck Roast, Red Onions"/>
    <x v="8"/>
  </r>
  <r>
    <n v="1940"/>
    <n v="860"/>
    <n v="0.5"/>
    <s v="sicilian_s"/>
    <n v="1"/>
    <x v="14"/>
    <x v="0"/>
    <x v="448"/>
    <n v="12.25"/>
    <n v="12.25"/>
    <x v="2"/>
    <x v="2"/>
    <s v="Coarse Sicilian Salami, Tomatoes, Green Olives, Luganega Sausage, Onions, Garlic"/>
    <x v="28"/>
  </r>
  <r>
    <n v="1941"/>
    <n v="860"/>
    <n v="0.5"/>
    <s v="spicy_ital_m"/>
    <n v="1"/>
    <x v="14"/>
    <x v="0"/>
    <x v="448"/>
    <n v="16.5"/>
    <n v="16.5"/>
    <x v="0"/>
    <x v="2"/>
    <s v="Capocollo, Tomatoes, Goat Cheese, Artichokes, Peperoncini verdi, Garlic"/>
    <x v="12"/>
  </r>
  <r>
    <n v="1942"/>
    <n v="861"/>
    <n v="1"/>
    <s v="prsc_argla_l"/>
    <n v="1"/>
    <x v="14"/>
    <x v="0"/>
    <x v="855"/>
    <n v="20.75"/>
    <n v="20.75"/>
    <x v="1"/>
    <x v="2"/>
    <s v="Prosciutto di San Daniele, Arugula, Mozzarella Cheese"/>
    <x v="6"/>
  </r>
  <r>
    <n v="1943"/>
    <n v="862"/>
    <n v="1"/>
    <s v="southw_ckn_m"/>
    <n v="1"/>
    <x v="14"/>
    <x v="0"/>
    <x v="856"/>
    <n v="16.75"/>
    <n v="16.75"/>
    <x v="0"/>
    <x v="3"/>
    <s v="Chicken, Tomatoes, Red Peppers, Red Onions, Jalapeno Peppers, Corn, Cilantro, Chipotle Sauce"/>
    <x v="15"/>
  </r>
  <r>
    <n v="1944"/>
    <n v="863"/>
    <n v="1"/>
    <s v="thai_ckn_m"/>
    <n v="1"/>
    <x v="14"/>
    <x v="0"/>
    <x v="857"/>
    <n v="16.75"/>
    <n v="16.75"/>
    <x v="0"/>
    <x v="3"/>
    <s v="Chicken, Pineapple, Tomatoes, Red Peppers, Thai Sweet Chilli Sauce"/>
    <x v="5"/>
  </r>
  <r>
    <n v="1945"/>
    <n v="864"/>
    <n v="0.1111111111111111"/>
    <s v="big_meat_s"/>
    <n v="1"/>
    <x v="14"/>
    <x v="0"/>
    <x v="858"/>
    <n v="12"/>
    <n v="12"/>
    <x v="2"/>
    <x v="0"/>
    <s v="Bacon, Pepperoni, Italian Sausage, Chorizo Sausage"/>
    <x v="19"/>
  </r>
  <r>
    <n v="1946"/>
    <n v="864"/>
    <n v="0.1111111111111111"/>
    <s v="hawaiian_s"/>
    <n v="1"/>
    <x v="14"/>
    <x v="0"/>
    <x v="858"/>
    <n v="10.5"/>
    <n v="10.5"/>
    <x v="2"/>
    <x v="0"/>
    <s v="Sliced Ham, Pineapple, Mozzarella Cheese"/>
    <x v="0"/>
  </r>
  <r>
    <n v="1947"/>
    <n v="864"/>
    <n v="0.1111111111111111"/>
    <s v="ital_supr_l"/>
    <n v="1"/>
    <x v="14"/>
    <x v="0"/>
    <x v="858"/>
    <n v="20.75"/>
    <n v="20.75"/>
    <x v="1"/>
    <x v="2"/>
    <s v="Calabrese Salami, Capocollo, Tomatoes, Red Onions, Green Olives, Garlic"/>
    <x v="3"/>
  </r>
  <r>
    <n v="1948"/>
    <n v="864"/>
    <n v="0.1111111111111111"/>
    <s v="mediterraneo_m"/>
    <n v="1"/>
    <x v="14"/>
    <x v="0"/>
    <x v="858"/>
    <n v="16"/>
    <n v="16"/>
    <x v="0"/>
    <x v="1"/>
    <s v="Spinach, Artichokes, Kalamata Olives, Sun-dried Tomatoes, Feta Cheese, Plum Tomatoes, Red Onions"/>
    <x v="25"/>
  </r>
  <r>
    <n v="1949"/>
    <n v="864"/>
    <n v="0.1111111111111111"/>
    <s v="sicilian_l"/>
    <n v="1"/>
    <x v="14"/>
    <x v="0"/>
    <x v="858"/>
    <n v="20.25"/>
    <n v="20.25"/>
    <x v="1"/>
    <x v="2"/>
    <s v="Coarse Sicilian Salami, Tomatoes, Green Olives, Luganega Sausage, Onions, Garlic"/>
    <x v="28"/>
  </r>
  <r>
    <n v="1950"/>
    <n v="864"/>
    <n v="0.1111111111111111"/>
    <s v="spinach_fet_l"/>
    <n v="1"/>
    <x v="14"/>
    <x v="0"/>
    <x v="858"/>
    <n v="20.25"/>
    <n v="20.25"/>
    <x v="1"/>
    <x v="1"/>
    <s v="Spinach, Mushrooms, Red Onions, Feta Cheese, Garlic"/>
    <x v="27"/>
  </r>
  <r>
    <n v="1951"/>
    <n v="864"/>
    <n v="0.1111111111111111"/>
    <s v="spinach_supr_l"/>
    <n v="1"/>
    <x v="14"/>
    <x v="0"/>
    <x v="858"/>
    <n v="20.75"/>
    <n v="20.75"/>
    <x v="1"/>
    <x v="2"/>
    <s v="Spinach, Red Onions, Pepperoni, Tomatoes, Artichokes, Kalamata Olives, Garlic, Asiago Cheese"/>
    <x v="9"/>
  </r>
  <r>
    <n v="1952"/>
    <n v="864"/>
    <n v="0.1111111111111111"/>
    <s v="the_greek_m"/>
    <n v="1"/>
    <x v="14"/>
    <x v="0"/>
    <x v="858"/>
    <n v="16"/>
    <n v="16"/>
    <x v="0"/>
    <x v="0"/>
    <s v="Kalamata Olives, Feta Cheese, Tomatoes, Garlic, Beef Chuck Roast, Red Onions"/>
    <x v="8"/>
  </r>
  <r>
    <n v="1953"/>
    <n v="864"/>
    <n v="0.1111111111111111"/>
    <s v="veggie_veg_m"/>
    <n v="1"/>
    <x v="14"/>
    <x v="0"/>
    <x v="858"/>
    <n v="16"/>
    <n v="16"/>
    <x v="0"/>
    <x v="1"/>
    <s v="Mushrooms, Tomatoes, Red Peppers, Green Peppers, Red Onions, Zucchini, Spinach, Garlic"/>
    <x v="14"/>
  </r>
  <r>
    <n v="1954"/>
    <n v="865"/>
    <n v="1"/>
    <s v="classic_dlx_s"/>
    <n v="1"/>
    <x v="14"/>
    <x v="0"/>
    <x v="859"/>
    <n v="12"/>
    <n v="12"/>
    <x v="2"/>
    <x v="0"/>
    <s v="Pepperoni, Mushrooms, Red Onions, Red Peppers, Bacon"/>
    <x v="1"/>
  </r>
  <r>
    <n v="1955"/>
    <n v="866"/>
    <n v="1"/>
    <s v="peppr_salami_m"/>
    <n v="1"/>
    <x v="14"/>
    <x v="0"/>
    <x v="860"/>
    <n v="16.5"/>
    <n v="16.5"/>
    <x v="0"/>
    <x v="2"/>
    <s v="Genoa Salami, Capocollo, Pepperoni, Tomatoes, Asiago Cheese, Garlic"/>
    <x v="26"/>
  </r>
  <r>
    <n v="1956"/>
    <n v="867"/>
    <n v="0.5"/>
    <s v="hawaiian_l"/>
    <n v="1"/>
    <x v="14"/>
    <x v="0"/>
    <x v="861"/>
    <n v="16.5"/>
    <n v="16.5"/>
    <x v="1"/>
    <x v="0"/>
    <s v="Sliced Ham, Pineapple, Mozzarella Cheese"/>
    <x v="0"/>
  </r>
  <r>
    <n v="1957"/>
    <n v="867"/>
    <n v="0.5"/>
    <s v="hawaiian_s"/>
    <n v="1"/>
    <x v="14"/>
    <x v="0"/>
    <x v="861"/>
    <n v="10.5"/>
    <n v="10.5"/>
    <x v="2"/>
    <x v="0"/>
    <s v="Sliced Ham, Pineapple, Mozzarella Cheese"/>
    <x v="0"/>
  </r>
  <r>
    <n v="1958"/>
    <n v="868"/>
    <n v="1"/>
    <s v="soppressata_m"/>
    <n v="1"/>
    <x v="14"/>
    <x v="0"/>
    <x v="862"/>
    <n v="16.5"/>
    <n v="16.5"/>
    <x v="0"/>
    <x v="2"/>
    <s v="Soppressata Salami, Fontina Cheese, Mozzarella Cheese, Mushrooms, Garlic"/>
    <x v="20"/>
  </r>
  <r>
    <n v="1959"/>
    <n v="869"/>
    <n v="0.5"/>
    <s v="spinach_supr_m"/>
    <n v="1"/>
    <x v="14"/>
    <x v="0"/>
    <x v="863"/>
    <n v="16.5"/>
    <n v="16.5"/>
    <x v="0"/>
    <x v="2"/>
    <s v="Spinach, Red Onions, Pepperoni, Tomatoes, Artichokes, Kalamata Olives, Garlic, Asiago Cheese"/>
    <x v="9"/>
  </r>
  <r>
    <n v="1960"/>
    <n v="869"/>
    <n v="0.5"/>
    <s v="thai_ckn_l"/>
    <n v="1"/>
    <x v="14"/>
    <x v="0"/>
    <x v="863"/>
    <n v="20.75"/>
    <n v="20.75"/>
    <x v="1"/>
    <x v="3"/>
    <s v="Chicken, Pineapple, Tomatoes, Red Peppers, Thai Sweet Chilli Sauce"/>
    <x v="5"/>
  </r>
  <r>
    <n v="1961"/>
    <n v="870"/>
    <n v="0.5"/>
    <s v="five_cheese_l"/>
    <n v="1"/>
    <x v="14"/>
    <x v="0"/>
    <x v="864"/>
    <n v="18.5"/>
    <n v="18.5"/>
    <x v="1"/>
    <x v="1"/>
    <s v="Mozzarella Cheese, Provolone Cheese, Smoked Gouda Cheese, Romano Cheese, Blue Cheese, Garlic"/>
    <x v="2"/>
  </r>
  <r>
    <n v="1962"/>
    <n v="870"/>
    <n v="0.5"/>
    <s v="four_cheese_m"/>
    <n v="1"/>
    <x v="14"/>
    <x v="0"/>
    <x v="864"/>
    <n v="14.75"/>
    <n v="14.75"/>
    <x v="0"/>
    <x v="1"/>
    <s v="Ricotta Cheese, Gorgonzola Piccante Cheese, Mozzarella Cheese, Parmigiano Reggiano Cheese, Garlic"/>
    <x v="21"/>
  </r>
  <r>
    <n v="1963"/>
    <n v="871"/>
    <n v="1"/>
    <s v="ckn_alfredo_s"/>
    <n v="1"/>
    <x v="14"/>
    <x v="0"/>
    <x v="865"/>
    <n v="12.75"/>
    <n v="12.75"/>
    <x v="2"/>
    <x v="3"/>
    <s v="Chicken, Red Onions, Red Peppers, Mushrooms, Asiago Cheese, Alfredo Sauce"/>
    <x v="29"/>
  </r>
  <r>
    <n v="1964"/>
    <n v="872"/>
    <n v="1"/>
    <s v="prsc_argla_m"/>
    <n v="1"/>
    <x v="14"/>
    <x v="0"/>
    <x v="866"/>
    <n v="16.5"/>
    <n v="16.5"/>
    <x v="0"/>
    <x v="2"/>
    <s v="Prosciutto di San Daniele, Arugula, Mozzarella Cheese"/>
    <x v="6"/>
  </r>
  <r>
    <n v="1965"/>
    <n v="873"/>
    <n v="1"/>
    <s v="pepperoni_m"/>
    <n v="1"/>
    <x v="14"/>
    <x v="0"/>
    <x v="867"/>
    <n v="12.5"/>
    <n v="12.5"/>
    <x v="0"/>
    <x v="0"/>
    <s v="Mozzarella Cheese, Pepperoni"/>
    <x v="17"/>
  </r>
  <r>
    <n v="1966"/>
    <n v="874"/>
    <n v="0.5"/>
    <s v="pep_msh_pep_s"/>
    <n v="1"/>
    <x v="14"/>
    <x v="0"/>
    <x v="868"/>
    <n v="11"/>
    <n v="11"/>
    <x v="2"/>
    <x v="0"/>
    <s v="Pepperoni, Mushrooms, Green Peppers"/>
    <x v="30"/>
  </r>
  <r>
    <n v="1967"/>
    <n v="874"/>
    <n v="0.5"/>
    <s v="southw_ckn_l"/>
    <n v="1"/>
    <x v="14"/>
    <x v="0"/>
    <x v="868"/>
    <n v="20.75"/>
    <n v="20.75"/>
    <x v="1"/>
    <x v="3"/>
    <s v="Chicken, Tomatoes, Red Peppers, Red Onions, Jalapeno Peppers, Corn, Cilantro, Chipotle Sauce"/>
    <x v="15"/>
  </r>
  <r>
    <n v="1968"/>
    <n v="875"/>
    <n v="1"/>
    <s v="cali_ckn_m"/>
    <n v="1"/>
    <x v="14"/>
    <x v="0"/>
    <x v="869"/>
    <n v="16.75"/>
    <n v="16.75"/>
    <x v="0"/>
    <x v="3"/>
    <s v="Chicken, Artichoke, Spinach, Garlic, Jalapeno Peppers, Fontina Cheese, Gouda Cheese"/>
    <x v="16"/>
  </r>
  <r>
    <n v="1969"/>
    <n v="876"/>
    <n v="0.33333333333333331"/>
    <s v="hawaiian_s"/>
    <n v="1"/>
    <x v="14"/>
    <x v="0"/>
    <x v="870"/>
    <n v="10.5"/>
    <n v="10.5"/>
    <x v="2"/>
    <x v="0"/>
    <s v="Sliced Ham, Pineapple, Mozzarella Cheese"/>
    <x v="0"/>
  </r>
  <r>
    <n v="1970"/>
    <n v="876"/>
    <n v="0.33333333333333331"/>
    <s v="southw_ckn_s"/>
    <n v="1"/>
    <x v="14"/>
    <x v="0"/>
    <x v="870"/>
    <n v="12.75"/>
    <n v="12.75"/>
    <x v="2"/>
    <x v="3"/>
    <s v="Chicken, Tomatoes, Red Peppers, Red Onions, Jalapeno Peppers, Corn, Cilantro, Chipotle Sauce"/>
    <x v="15"/>
  </r>
  <r>
    <n v="1971"/>
    <n v="876"/>
    <n v="0.33333333333333331"/>
    <s v="spicy_ital_l"/>
    <n v="1"/>
    <x v="14"/>
    <x v="0"/>
    <x v="870"/>
    <n v="20.75"/>
    <n v="20.75"/>
    <x v="1"/>
    <x v="2"/>
    <s v="Capocollo, Tomatoes, Goat Cheese, Artichokes, Peperoncini verdi, Garlic"/>
    <x v="12"/>
  </r>
  <r>
    <n v="1972"/>
    <n v="877"/>
    <n v="1"/>
    <s v="four_cheese_l"/>
    <n v="1"/>
    <x v="14"/>
    <x v="0"/>
    <x v="871"/>
    <n v="17.95"/>
    <n v="17.95"/>
    <x v="1"/>
    <x v="1"/>
    <s v="Ricotta Cheese, Gorgonzola Piccante Cheese, Mozzarella Cheese, Parmigiano Reggiano Cheese, Garlic"/>
    <x v="21"/>
  </r>
  <r>
    <n v="1973"/>
    <n v="878"/>
    <n v="1"/>
    <s v="cali_ckn_m"/>
    <n v="1"/>
    <x v="14"/>
    <x v="0"/>
    <x v="872"/>
    <n v="16.75"/>
    <n v="16.75"/>
    <x v="0"/>
    <x v="3"/>
    <s v="Chicken, Artichoke, Spinach, Garlic, Jalapeno Peppers, Fontina Cheese, Gouda Cheese"/>
    <x v="16"/>
  </r>
  <r>
    <n v="1974"/>
    <n v="879"/>
    <n v="0.33333333333333331"/>
    <s v="southw_ckn_s"/>
    <n v="1"/>
    <x v="14"/>
    <x v="0"/>
    <x v="873"/>
    <n v="12.75"/>
    <n v="12.75"/>
    <x v="2"/>
    <x v="3"/>
    <s v="Chicken, Tomatoes, Red Peppers, Red Onions, Jalapeno Peppers, Corn, Cilantro, Chipotle Sauce"/>
    <x v="15"/>
  </r>
  <r>
    <n v="1975"/>
    <n v="879"/>
    <n v="0.33333333333333331"/>
    <s v="spinach_supr_s"/>
    <n v="1"/>
    <x v="14"/>
    <x v="0"/>
    <x v="873"/>
    <n v="12.5"/>
    <n v="12.5"/>
    <x v="2"/>
    <x v="2"/>
    <s v="Spinach, Red Onions, Pepperoni, Tomatoes, Artichokes, Kalamata Olives, Garlic, Asiago Cheese"/>
    <x v="9"/>
  </r>
  <r>
    <n v="1976"/>
    <n v="879"/>
    <n v="0.33333333333333331"/>
    <s v="veggie_veg_m"/>
    <n v="1"/>
    <x v="14"/>
    <x v="0"/>
    <x v="873"/>
    <n v="16"/>
    <n v="16"/>
    <x v="0"/>
    <x v="1"/>
    <s v="Mushrooms, Tomatoes, Red Peppers, Green Peppers, Red Onions, Zucchini, Spinach, Garlic"/>
    <x v="14"/>
  </r>
  <r>
    <n v="1977"/>
    <n v="880"/>
    <n v="0.5"/>
    <s v="pepperoni_l"/>
    <n v="1"/>
    <x v="14"/>
    <x v="0"/>
    <x v="874"/>
    <n v="15.25"/>
    <n v="15.25"/>
    <x v="1"/>
    <x v="0"/>
    <s v="Mozzarella Cheese, Pepperoni"/>
    <x v="17"/>
  </r>
  <r>
    <n v="1978"/>
    <n v="880"/>
    <n v="0.5"/>
    <s v="pepperoni_s"/>
    <n v="1"/>
    <x v="14"/>
    <x v="0"/>
    <x v="874"/>
    <n v="9.75"/>
    <n v="9.75"/>
    <x v="2"/>
    <x v="0"/>
    <s v="Mozzarella Cheese, Pepperoni"/>
    <x v="17"/>
  </r>
  <r>
    <n v="1979"/>
    <n v="881"/>
    <n v="0.5"/>
    <s v="cali_ckn_m"/>
    <n v="1"/>
    <x v="14"/>
    <x v="0"/>
    <x v="875"/>
    <n v="16.75"/>
    <n v="16.75"/>
    <x v="0"/>
    <x v="3"/>
    <s v="Chicken, Artichoke, Spinach, Garlic, Jalapeno Peppers, Fontina Cheese, Gouda Cheese"/>
    <x v="16"/>
  </r>
  <r>
    <n v="1980"/>
    <n v="881"/>
    <n v="0.5"/>
    <s v="ital_supr_s"/>
    <n v="1"/>
    <x v="14"/>
    <x v="0"/>
    <x v="875"/>
    <n v="12.5"/>
    <n v="12.5"/>
    <x v="2"/>
    <x v="2"/>
    <s v="Calabrese Salami, Capocollo, Tomatoes, Red Onions, Green Olives, Garlic"/>
    <x v="3"/>
  </r>
  <r>
    <n v="1981"/>
    <n v="882"/>
    <n v="0.33333333333333331"/>
    <s v="prsc_argla_m"/>
    <n v="1"/>
    <x v="14"/>
    <x v="0"/>
    <x v="876"/>
    <n v="16.5"/>
    <n v="16.5"/>
    <x v="0"/>
    <x v="2"/>
    <s v="Prosciutto di San Daniele, Arugula, Mozzarella Cheese"/>
    <x v="6"/>
  </r>
  <r>
    <n v="1982"/>
    <n v="882"/>
    <n v="0.33333333333333331"/>
    <s v="spinach_fet_s"/>
    <n v="1"/>
    <x v="14"/>
    <x v="0"/>
    <x v="876"/>
    <n v="12"/>
    <n v="12"/>
    <x v="2"/>
    <x v="1"/>
    <s v="Spinach, Mushrooms, Red Onions, Feta Cheese, Garlic"/>
    <x v="27"/>
  </r>
  <r>
    <n v="1983"/>
    <n v="882"/>
    <n v="0.33333333333333331"/>
    <s v="thai_ckn_l"/>
    <n v="1"/>
    <x v="14"/>
    <x v="0"/>
    <x v="876"/>
    <n v="20.75"/>
    <n v="20.75"/>
    <x v="1"/>
    <x v="3"/>
    <s v="Chicken, Pineapple, Tomatoes, Red Peppers, Thai Sweet Chilli Sauce"/>
    <x v="5"/>
  </r>
  <r>
    <n v="1984"/>
    <n v="883"/>
    <n v="0.25"/>
    <s v="cali_ckn_m"/>
    <n v="1"/>
    <x v="14"/>
    <x v="0"/>
    <x v="877"/>
    <n v="16.75"/>
    <n v="16.75"/>
    <x v="0"/>
    <x v="3"/>
    <s v="Chicken, Artichoke, Spinach, Garlic, Jalapeno Peppers, Fontina Cheese, Gouda Cheese"/>
    <x v="16"/>
  </r>
  <r>
    <n v="1985"/>
    <n v="883"/>
    <n v="0.25"/>
    <s v="classic_dlx_s"/>
    <n v="1"/>
    <x v="14"/>
    <x v="0"/>
    <x v="877"/>
    <n v="12"/>
    <n v="12"/>
    <x v="2"/>
    <x v="0"/>
    <s v="Pepperoni, Mushrooms, Red Onions, Red Peppers, Bacon"/>
    <x v="1"/>
  </r>
  <r>
    <n v="1986"/>
    <n v="883"/>
    <n v="0.25"/>
    <s v="hawaiian_s"/>
    <n v="1"/>
    <x v="14"/>
    <x v="0"/>
    <x v="877"/>
    <n v="10.5"/>
    <n v="10.5"/>
    <x v="2"/>
    <x v="0"/>
    <s v="Sliced Ham, Pineapple, Mozzarella Cheese"/>
    <x v="0"/>
  </r>
  <r>
    <n v="1987"/>
    <n v="883"/>
    <n v="0.25"/>
    <s v="prsc_argla_s"/>
    <n v="1"/>
    <x v="14"/>
    <x v="0"/>
    <x v="877"/>
    <n v="12.5"/>
    <n v="12.5"/>
    <x v="2"/>
    <x v="2"/>
    <s v="Prosciutto di San Daniele, Arugula, Mozzarella Cheese"/>
    <x v="6"/>
  </r>
  <r>
    <n v="1988"/>
    <n v="884"/>
    <n v="1"/>
    <s v="hawaiian_s"/>
    <n v="1"/>
    <x v="14"/>
    <x v="0"/>
    <x v="878"/>
    <n v="10.5"/>
    <n v="10.5"/>
    <x v="2"/>
    <x v="0"/>
    <s v="Sliced Ham, Pineapple, Mozzarella Cheese"/>
    <x v="0"/>
  </r>
  <r>
    <n v="1989"/>
    <n v="885"/>
    <n v="0.25"/>
    <s v="mexicana_m"/>
    <n v="1"/>
    <x v="14"/>
    <x v="0"/>
    <x v="879"/>
    <n v="16"/>
    <n v="16"/>
    <x v="0"/>
    <x v="1"/>
    <s v="Tomatoes, Red Peppers, Jalapeno Peppers, Red Onions, Cilantro, Corn, Chipotle Sauce, Garlic"/>
    <x v="4"/>
  </r>
  <r>
    <n v="1990"/>
    <n v="885"/>
    <n v="0.25"/>
    <s v="sicilian_s"/>
    <n v="1"/>
    <x v="14"/>
    <x v="0"/>
    <x v="879"/>
    <n v="12.25"/>
    <n v="12.25"/>
    <x v="2"/>
    <x v="2"/>
    <s v="Coarse Sicilian Salami, Tomatoes, Green Olives, Luganega Sausage, Onions, Garlic"/>
    <x v="28"/>
  </r>
  <r>
    <n v="1991"/>
    <n v="885"/>
    <n v="0.25"/>
    <s v="spicy_ital_m"/>
    <n v="1"/>
    <x v="14"/>
    <x v="0"/>
    <x v="879"/>
    <n v="16.5"/>
    <n v="16.5"/>
    <x v="0"/>
    <x v="2"/>
    <s v="Capocollo, Tomatoes, Goat Cheese, Artichokes, Peperoncini verdi, Garlic"/>
    <x v="12"/>
  </r>
  <r>
    <n v="1992"/>
    <n v="885"/>
    <n v="0.25"/>
    <s v="the_greek_xl"/>
    <n v="1"/>
    <x v="14"/>
    <x v="0"/>
    <x v="879"/>
    <n v="25.5"/>
    <n v="25.5"/>
    <x v="3"/>
    <x v="0"/>
    <s v="Kalamata Olives, Feta Cheese, Tomatoes, Garlic, Beef Chuck Roast, Red Onions"/>
    <x v="8"/>
  </r>
  <r>
    <n v="1993"/>
    <n v="886"/>
    <n v="0.33333333333333331"/>
    <s v="mediterraneo_l"/>
    <n v="1"/>
    <x v="14"/>
    <x v="0"/>
    <x v="880"/>
    <n v="20.25"/>
    <n v="20.25"/>
    <x v="1"/>
    <x v="1"/>
    <s v="Spinach, Artichokes, Kalamata Olives, Sun-dried Tomatoes, Feta Cheese, Plum Tomatoes, Red Onions"/>
    <x v="25"/>
  </r>
  <r>
    <n v="1994"/>
    <n v="886"/>
    <n v="0.33333333333333331"/>
    <s v="sicilian_s"/>
    <n v="1"/>
    <x v="14"/>
    <x v="0"/>
    <x v="880"/>
    <n v="12.25"/>
    <n v="12.25"/>
    <x v="2"/>
    <x v="2"/>
    <s v="Coarse Sicilian Salami, Tomatoes, Green Olives, Luganega Sausage, Onions, Garlic"/>
    <x v="28"/>
  </r>
  <r>
    <n v="1995"/>
    <n v="886"/>
    <n v="0.33333333333333331"/>
    <s v="spicy_ital_l"/>
    <n v="1"/>
    <x v="14"/>
    <x v="0"/>
    <x v="880"/>
    <n v="20.75"/>
    <n v="20.75"/>
    <x v="1"/>
    <x v="2"/>
    <s v="Capocollo, Tomatoes, Goat Cheese, Artichokes, Peperoncini verdi, Garlic"/>
    <x v="12"/>
  </r>
  <r>
    <n v="1996"/>
    <n v="887"/>
    <n v="0.5"/>
    <s v="pepperoni_l"/>
    <n v="1"/>
    <x v="14"/>
    <x v="0"/>
    <x v="881"/>
    <n v="15.25"/>
    <n v="15.25"/>
    <x v="1"/>
    <x v="0"/>
    <s v="Mozzarella Cheese, Pepperoni"/>
    <x v="17"/>
  </r>
  <r>
    <n v="1997"/>
    <n v="887"/>
    <n v="0.5"/>
    <s v="spicy_ital_m"/>
    <n v="1"/>
    <x v="14"/>
    <x v="0"/>
    <x v="881"/>
    <n v="16.5"/>
    <n v="16.5"/>
    <x v="0"/>
    <x v="2"/>
    <s v="Capocollo, Tomatoes, Goat Cheese, Artichokes, Peperoncini verdi, Garlic"/>
    <x v="12"/>
  </r>
  <r>
    <n v="1998"/>
    <n v="888"/>
    <n v="0.5"/>
    <s v="sicilian_m"/>
    <n v="1"/>
    <x v="14"/>
    <x v="0"/>
    <x v="882"/>
    <n v="16.25"/>
    <n v="16.25"/>
    <x v="0"/>
    <x v="2"/>
    <s v="Coarse Sicilian Salami, Tomatoes, Green Olives, Luganega Sausage, Onions, Garlic"/>
    <x v="28"/>
  </r>
  <r>
    <n v="1999"/>
    <n v="888"/>
    <n v="0.5"/>
    <s v="soppressata_s"/>
    <n v="1"/>
    <x v="14"/>
    <x v="0"/>
    <x v="882"/>
    <n v="12.5"/>
    <n v="12.5"/>
    <x v="2"/>
    <x v="2"/>
    <s v="Soppressata Salami, Fontina Cheese, Mozzarella Cheese, Mushrooms, Garlic"/>
    <x v="20"/>
  </r>
  <r>
    <n v="2000"/>
    <n v="889"/>
    <n v="1"/>
    <s v="bbq_ckn_l"/>
    <n v="1"/>
    <x v="14"/>
    <x v="0"/>
    <x v="883"/>
    <n v="20.75"/>
    <n v="20.75"/>
    <x v="1"/>
    <x v="3"/>
    <s v="Barbecued Chicken, Red Peppers, Green Peppers, Tomatoes, Red Onions, Barbecue Sauce"/>
    <x v="7"/>
  </r>
  <r>
    <n v="2001"/>
    <n v="890"/>
    <n v="1"/>
    <s v="four_cheese_m"/>
    <n v="1"/>
    <x v="14"/>
    <x v="0"/>
    <x v="884"/>
    <n v="14.75"/>
    <n v="14.75"/>
    <x v="0"/>
    <x v="1"/>
    <s v="Ricotta Cheese, Gorgonzola Piccante Cheese, Mozzarella Cheese, Parmigiano Reggiano Cheese, Garlic"/>
    <x v="21"/>
  </r>
  <r>
    <n v="2002"/>
    <n v="891"/>
    <n v="1"/>
    <s v="spin_pesto_l"/>
    <n v="1"/>
    <x v="14"/>
    <x v="0"/>
    <x v="885"/>
    <n v="20.75"/>
    <n v="20.75"/>
    <x v="1"/>
    <x v="1"/>
    <s v="Spinach, Artichokes, Tomatoes, Sun-dried Tomatoes, Garlic, Pesto Sauce"/>
    <x v="13"/>
  </r>
  <r>
    <n v="2003"/>
    <n v="892"/>
    <n v="0.5"/>
    <s v="four_cheese_l"/>
    <n v="1"/>
    <x v="14"/>
    <x v="0"/>
    <x v="886"/>
    <n v="17.95"/>
    <n v="17.95"/>
    <x v="1"/>
    <x v="1"/>
    <s v="Ricotta Cheese, Gorgonzola Piccante Cheese, Mozzarella Cheese, Parmigiano Reggiano Cheese, Garlic"/>
    <x v="21"/>
  </r>
  <r>
    <n v="2004"/>
    <n v="892"/>
    <n v="0.5"/>
    <s v="mediterraneo_l"/>
    <n v="1"/>
    <x v="14"/>
    <x v="0"/>
    <x v="886"/>
    <n v="20.25"/>
    <n v="20.25"/>
    <x v="1"/>
    <x v="1"/>
    <s v="Spinach, Artichokes, Kalamata Olives, Sun-dried Tomatoes, Feta Cheese, Plum Tomatoes, Red Onions"/>
    <x v="25"/>
  </r>
  <r>
    <n v="2005"/>
    <n v="893"/>
    <n v="1"/>
    <s v="four_cheese_l"/>
    <n v="1"/>
    <x v="14"/>
    <x v="0"/>
    <x v="887"/>
    <n v="17.95"/>
    <n v="17.95"/>
    <x v="1"/>
    <x v="1"/>
    <s v="Ricotta Cheese, Gorgonzola Piccante Cheese, Mozzarella Cheese, Parmigiano Reggiano Cheese, Garlic"/>
    <x v="21"/>
  </r>
  <r>
    <n v="2006"/>
    <n v="894"/>
    <n v="1"/>
    <s v="napolitana_s"/>
    <n v="1"/>
    <x v="14"/>
    <x v="0"/>
    <x v="888"/>
    <n v="12"/>
    <n v="12"/>
    <x v="2"/>
    <x v="0"/>
    <s v="Tomatoes, Anchovies, Green Olives, Red Onions, Garlic"/>
    <x v="22"/>
  </r>
  <r>
    <n v="2007"/>
    <n v="895"/>
    <n v="0.33333333333333331"/>
    <s v="bbq_ckn_l"/>
    <n v="1"/>
    <x v="14"/>
    <x v="0"/>
    <x v="889"/>
    <n v="20.75"/>
    <n v="20.75"/>
    <x v="1"/>
    <x v="3"/>
    <s v="Barbecued Chicken, Red Peppers, Green Peppers, Tomatoes, Red Onions, Barbecue Sauce"/>
    <x v="7"/>
  </r>
  <r>
    <n v="2008"/>
    <n v="895"/>
    <n v="0.33333333333333331"/>
    <s v="hawaiian_l"/>
    <n v="1"/>
    <x v="14"/>
    <x v="0"/>
    <x v="889"/>
    <n v="16.5"/>
    <n v="16.5"/>
    <x v="1"/>
    <x v="0"/>
    <s v="Sliced Ham, Pineapple, Mozzarella Cheese"/>
    <x v="0"/>
  </r>
  <r>
    <n v="2009"/>
    <n v="895"/>
    <n v="0.33333333333333331"/>
    <s v="pepperoni_s"/>
    <n v="1"/>
    <x v="14"/>
    <x v="0"/>
    <x v="889"/>
    <n v="9.75"/>
    <n v="9.75"/>
    <x v="2"/>
    <x v="0"/>
    <s v="Mozzarella Cheese, Pepperoni"/>
    <x v="17"/>
  </r>
  <r>
    <n v="2010"/>
    <n v="896"/>
    <n v="0.5"/>
    <s v="cali_ckn_l"/>
    <n v="1"/>
    <x v="14"/>
    <x v="0"/>
    <x v="890"/>
    <n v="20.75"/>
    <n v="20.75"/>
    <x v="1"/>
    <x v="3"/>
    <s v="Chicken, Artichoke, Spinach, Garlic, Jalapeno Peppers, Fontina Cheese, Gouda Cheese"/>
    <x v="16"/>
  </r>
  <r>
    <n v="2011"/>
    <n v="896"/>
    <n v="0.5"/>
    <s v="five_cheese_l"/>
    <n v="1"/>
    <x v="14"/>
    <x v="0"/>
    <x v="890"/>
    <n v="18.5"/>
    <n v="18.5"/>
    <x v="1"/>
    <x v="1"/>
    <s v="Mozzarella Cheese, Provolone Cheese, Smoked Gouda Cheese, Romano Cheese, Blue Cheese, Garlic"/>
    <x v="2"/>
  </r>
  <r>
    <n v="2012"/>
    <n v="897"/>
    <n v="0.33333333333333331"/>
    <s v="ital_cpcllo_l"/>
    <n v="1"/>
    <x v="14"/>
    <x v="0"/>
    <x v="891"/>
    <n v="20.5"/>
    <n v="20.5"/>
    <x v="1"/>
    <x v="0"/>
    <s v="Capocollo, Red Peppers, Tomatoes, Goat Cheese, Garlic, Oregano"/>
    <x v="11"/>
  </r>
  <r>
    <n v="2013"/>
    <n v="897"/>
    <n v="0.33333333333333331"/>
    <s v="mexicana_s"/>
    <n v="1"/>
    <x v="14"/>
    <x v="0"/>
    <x v="891"/>
    <n v="12"/>
    <n v="12"/>
    <x v="2"/>
    <x v="1"/>
    <s v="Tomatoes, Red Peppers, Jalapeno Peppers, Red Onions, Cilantro, Corn, Chipotle Sauce, Garlic"/>
    <x v="4"/>
  </r>
  <r>
    <n v="2014"/>
    <n v="897"/>
    <n v="0.33333333333333331"/>
    <s v="spinach_fet_l"/>
    <n v="1"/>
    <x v="14"/>
    <x v="0"/>
    <x v="891"/>
    <n v="20.25"/>
    <n v="20.25"/>
    <x v="1"/>
    <x v="1"/>
    <s v="Spinach, Mushrooms, Red Onions, Feta Cheese, Garlic"/>
    <x v="27"/>
  </r>
  <r>
    <n v="2015"/>
    <n v="898"/>
    <n v="1"/>
    <s v="classic_dlx_s"/>
    <n v="1"/>
    <x v="14"/>
    <x v="0"/>
    <x v="892"/>
    <n v="12"/>
    <n v="12"/>
    <x v="2"/>
    <x v="0"/>
    <s v="Pepperoni, Mushrooms, Red Onions, Red Peppers, Bacon"/>
    <x v="1"/>
  </r>
  <r>
    <n v="2016"/>
    <n v="899"/>
    <n v="0.5"/>
    <s v="spicy_ital_l"/>
    <n v="1"/>
    <x v="14"/>
    <x v="0"/>
    <x v="893"/>
    <n v="20.75"/>
    <n v="20.75"/>
    <x v="1"/>
    <x v="2"/>
    <s v="Capocollo, Tomatoes, Goat Cheese, Artichokes, Peperoncini verdi, Garlic"/>
    <x v="12"/>
  </r>
  <r>
    <n v="2017"/>
    <n v="899"/>
    <n v="0.5"/>
    <s v="the_greek_xl"/>
    <n v="1"/>
    <x v="14"/>
    <x v="0"/>
    <x v="893"/>
    <n v="25.5"/>
    <n v="25.5"/>
    <x v="3"/>
    <x v="0"/>
    <s v="Kalamata Olives, Feta Cheese, Tomatoes, Garlic, Beef Chuck Roast, Red Onions"/>
    <x v="8"/>
  </r>
  <r>
    <n v="2018"/>
    <n v="900"/>
    <n v="0.5"/>
    <s v="pepperoni_l"/>
    <n v="1"/>
    <x v="14"/>
    <x v="0"/>
    <x v="894"/>
    <n v="15.25"/>
    <n v="15.25"/>
    <x v="1"/>
    <x v="0"/>
    <s v="Mozzarella Cheese, Pepperoni"/>
    <x v="17"/>
  </r>
  <r>
    <n v="2019"/>
    <n v="900"/>
    <n v="0.5"/>
    <s v="pepperoni_s"/>
    <n v="1"/>
    <x v="14"/>
    <x v="0"/>
    <x v="894"/>
    <n v="9.75"/>
    <n v="9.75"/>
    <x v="2"/>
    <x v="0"/>
    <s v="Mozzarella Cheese, Pepperoni"/>
    <x v="17"/>
  </r>
  <r>
    <n v="2020"/>
    <n v="901"/>
    <n v="1"/>
    <s v="big_meat_s"/>
    <n v="1"/>
    <x v="14"/>
    <x v="0"/>
    <x v="895"/>
    <n v="12"/>
    <n v="12"/>
    <x v="2"/>
    <x v="0"/>
    <s v="Bacon, Pepperoni, Italian Sausage, Chorizo Sausage"/>
    <x v="19"/>
  </r>
  <r>
    <n v="2021"/>
    <n v="902"/>
    <n v="1"/>
    <s v="peppr_salami_l"/>
    <n v="1"/>
    <x v="14"/>
    <x v="0"/>
    <x v="896"/>
    <n v="20.75"/>
    <n v="20.75"/>
    <x v="1"/>
    <x v="2"/>
    <s v="Genoa Salami, Capocollo, Pepperoni, Tomatoes, Asiago Cheese, Garlic"/>
    <x v="26"/>
  </r>
  <r>
    <n v="2022"/>
    <n v="903"/>
    <n v="0.33333333333333331"/>
    <s v="classic_dlx_l"/>
    <n v="1"/>
    <x v="14"/>
    <x v="0"/>
    <x v="897"/>
    <n v="20.5"/>
    <n v="20.5"/>
    <x v="1"/>
    <x v="0"/>
    <s v="Pepperoni, Mushrooms, Red Onions, Red Peppers, Bacon"/>
    <x v="1"/>
  </r>
  <r>
    <n v="2023"/>
    <n v="903"/>
    <n v="0.33333333333333331"/>
    <s v="peppr_salami_l"/>
    <n v="1"/>
    <x v="14"/>
    <x v="0"/>
    <x v="897"/>
    <n v="20.75"/>
    <n v="20.75"/>
    <x v="1"/>
    <x v="2"/>
    <s v="Genoa Salami, Capocollo, Pepperoni, Tomatoes, Asiago Cheese, Garlic"/>
    <x v="26"/>
  </r>
  <r>
    <n v="2024"/>
    <n v="903"/>
    <n v="0.33333333333333331"/>
    <s v="soppressata_l"/>
    <n v="1"/>
    <x v="14"/>
    <x v="0"/>
    <x v="897"/>
    <n v="20.75"/>
    <n v="20.75"/>
    <x v="1"/>
    <x v="2"/>
    <s v="Soppressata Salami, Fontina Cheese, Mozzarella Cheese, Mushrooms, Garlic"/>
    <x v="20"/>
  </r>
  <r>
    <n v="2025"/>
    <n v="904"/>
    <n v="0.5"/>
    <s v="bbq_ckn_m"/>
    <n v="1"/>
    <x v="14"/>
    <x v="0"/>
    <x v="898"/>
    <n v="16.75"/>
    <n v="16.75"/>
    <x v="0"/>
    <x v="3"/>
    <s v="Barbecued Chicken, Red Peppers, Green Peppers, Tomatoes, Red Onions, Barbecue Sauce"/>
    <x v="7"/>
  </r>
  <r>
    <n v="2026"/>
    <n v="904"/>
    <n v="0.5"/>
    <s v="pep_msh_pep_s"/>
    <n v="1"/>
    <x v="14"/>
    <x v="0"/>
    <x v="898"/>
    <n v="11"/>
    <n v="11"/>
    <x v="2"/>
    <x v="0"/>
    <s v="Pepperoni, Mushrooms, Green Peppers"/>
    <x v="30"/>
  </r>
  <r>
    <n v="2027"/>
    <n v="905"/>
    <n v="0.33333333333333331"/>
    <s v="bbq_ckn_m"/>
    <n v="1"/>
    <x v="14"/>
    <x v="0"/>
    <x v="899"/>
    <n v="16.75"/>
    <n v="16.75"/>
    <x v="0"/>
    <x v="3"/>
    <s v="Barbecued Chicken, Red Peppers, Green Peppers, Tomatoes, Red Onions, Barbecue Sauce"/>
    <x v="7"/>
  </r>
  <r>
    <n v="2028"/>
    <n v="905"/>
    <n v="0.33333333333333331"/>
    <s v="ital_veggie_m"/>
    <n v="1"/>
    <x v="14"/>
    <x v="0"/>
    <x v="899"/>
    <n v="16.75"/>
    <n v="16.75"/>
    <x v="0"/>
    <x v="1"/>
    <s v="Eggplant, Artichokes, Tomatoes, Zucchini, Red Peppers, Garlic, Pesto Sauce"/>
    <x v="24"/>
  </r>
  <r>
    <n v="2029"/>
    <n v="905"/>
    <n v="0.33333333333333331"/>
    <s v="veggie_veg_m"/>
    <n v="1"/>
    <x v="14"/>
    <x v="0"/>
    <x v="899"/>
    <n v="16"/>
    <n v="16"/>
    <x v="0"/>
    <x v="1"/>
    <s v="Mushrooms, Tomatoes, Red Peppers, Green Peppers, Red Onions, Zucchini, Spinach, Garlic"/>
    <x v="14"/>
  </r>
  <r>
    <n v="2030"/>
    <n v="906"/>
    <n v="0.5"/>
    <s v="soppressata_s"/>
    <n v="1"/>
    <x v="14"/>
    <x v="0"/>
    <x v="900"/>
    <n v="12.5"/>
    <n v="12.5"/>
    <x v="2"/>
    <x v="2"/>
    <s v="Soppressata Salami, Fontina Cheese, Mozzarella Cheese, Mushrooms, Garlic"/>
    <x v="20"/>
  </r>
  <r>
    <n v="2031"/>
    <n v="906"/>
    <n v="0.5"/>
    <s v="southw_ckn_l"/>
    <n v="1"/>
    <x v="14"/>
    <x v="0"/>
    <x v="900"/>
    <n v="20.75"/>
    <n v="20.75"/>
    <x v="1"/>
    <x v="3"/>
    <s v="Chicken, Tomatoes, Red Peppers, Red Onions, Jalapeno Peppers, Corn, Cilantro, Chipotle Sauce"/>
    <x v="15"/>
  </r>
  <r>
    <n v="2032"/>
    <n v="907"/>
    <n v="1"/>
    <s v="sicilian_s"/>
    <n v="1"/>
    <x v="14"/>
    <x v="0"/>
    <x v="901"/>
    <n v="12.25"/>
    <n v="12.25"/>
    <x v="2"/>
    <x v="2"/>
    <s v="Coarse Sicilian Salami, Tomatoes, Green Olives, Luganega Sausage, Onions, Garlic"/>
    <x v="28"/>
  </r>
  <r>
    <n v="2033"/>
    <n v="908"/>
    <n v="0.5"/>
    <s v="pepperoni_m"/>
    <n v="1"/>
    <x v="14"/>
    <x v="0"/>
    <x v="902"/>
    <n v="12.5"/>
    <n v="12.5"/>
    <x v="0"/>
    <x v="0"/>
    <s v="Mozzarella Cheese, Pepperoni"/>
    <x v="17"/>
  </r>
  <r>
    <n v="2034"/>
    <n v="908"/>
    <n v="0.5"/>
    <s v="thai_ckn_l"/>
    <n v="1"/>
    <x v="14"/>
    <x v="0"/>
    <x v="902"/>
    <n v="20.75"/>
    <n v="20.75"/>
    <x v="1"/>
    <x v="3"/>
    <s v="Chicken, Pineapple, Tomatoes, Red Peppers, Thai Sweet Chilli Sauce"/>
    <x v="5"/>
  </r>
  <r>
    <n v="2035"/>
    <n v="909"/>
    <n v="0.33333333333333331"/>
    <s v="bbq_ckn_l"/>
    <n v="1"/>
    <x v="15"/>
    <x v="1"/>
    <x v="903"/>
    <n v="20.75"/>
    <n v="20.75"/>
    <x v="1"/>
    <x v="3"/>
    <s v="Barbecued Chicken, Red Peppers, Green Peppers, Tomatoes, Red Onions, Barbecue Sauce"/>
    <x v="7"/>
  </r>
  <r>
    <n v="2036"/>
    <n v="909"/>
    <n v="0.33333333333333331"/>
    <s v="ital_veggie_m"/>
    <n v="1"/>
    <x v="15"/>
    <x v="1"/>
    <x v="903"/>
    <n v="16.75"/>
    <n v="16.75"/>
    <x v="0"/>
    <x v="1"/>
    <s v="Eggplant, Artichokes, Tomatoes, Zucchini, Red Peppers, Garlic, Pesto Sauce"/>
    <x v="24"/>
  </r>
  <r>
    <n v="2037"/>
    <n v="909"/>
    <n v="0.33333333333333331"/>
    <s v="spicy_ital_s"/>
    <n v="1"/>
    <x v="15"/>
    <x v="1"/>
    <x v="903"/>
    <n v="12.5"/>
    <n v="12.5"/>
    <x v="2"/>
    <x v="2"/>
    <s v="Capocollo, Tomatoes, Goat Cheese, Artichokes, Peperoncini verdi, Garlic"/>
    <x v="12"/>
  </r>
  <r>
    <n v="2038"/>
    <n v="910"/>
    <n v="0.33333333333333331"/>
    <s v="ital_cpcllo_s"/>
    <n v="1"/>
    <x v="15"/>
    <x v="1"/>
    <x v="904"/>
    <n v="12"/>
    <n v="12"/>
    <x v="2"/>
    <x v="0"/>
    <s v="Capocollo, Red Peppers, Tomatoes, Goat Cheese, Garlic, Oregano"/>
    <x v="11"/>
  </r>
  <r>
    <n v="2039"/>
    <n v="910"/>
    <n v="0.33333333333333331"/>
    <s v="prsc_argla_s"/>
    <n v="1"/>
    <x v="15"/>
    <x v="1"/>
    <x v="904"/>
    <n v="12.5"/>
    <n v="12.5"/>
    <x v="2"/>
    <x v="2"/>
    <s v="Prosciutto di San Daniele, Arugula, Mozzarella Cheese"/>
    <x v="6"/>
  </r>
  <r>
    <n v="2040"/>
    <n v="910"/>
    <n v="0.33333333333333331"/>
    <s v="veggie_veg_l"/>
    <n v="1"/>
    <x v="15"/>
    <x v="1"/>
    <x v="904"/>
    <n v="20.25"/>
    <n v="20.25"/>
    <x v="1"/>
    <x v="1"/>
    <s v="Mushrooms, Tomatoes, Red Peppers, Green Peppers, Red Onions, Zucchini, Spinach, Garlic"/>
    <x v="14"/>
  </r>
  <r>
    <n v="2041"/>
    <n v="911"/>
    <n v="0.5"/>
    <s v="bbq_ckn_s"/>
    <n v="1"/>
    <x v="15"/>
    <x v="1"/>
    <x v="905"/>
    <n v="12.75"/>
    <n v="12.75"/>
    <x v="2"/>
    <x v="3"/>
    <s v="Barbecued Chicken, Red Peppers, Green Peppers, Tomatoes, Red Onions, Barbecue Sauce"/>
    <x v="7"/>
  </r>
  <r>
    <n v="2042"/>
    <n v="911"/>
    <n v="0.5"/>
    <s v="spinach_fet_s"/>
    <n v="1"/>
    <x v="15"/>
    <x v="1"/>
    <x v="905"/>
    <n v="12"/>
    <n v="12"/>
    <x v="2"/>
    <x v="1"/>
    <s v="Spinach, Mushrooms, Red Onions, Feta Cheese, Garlic"/>
    <x v="27"/>
  </r>
  <r>
    <n v="2043"/>
    <n v="912"/>
    <n v="1"/>
    <s v="pep_msh_pep_m"/>
    <n v="1"/>
    <x v="15"/>
    <x v="1"/>
    <x v="906"/>
    <n v="14.5"/>
    <n v="14.5"/>
    <x v="0"/>
    <x v="0"/>
    <s v="Pepperoni, Mushrooms, Green Peppers"/>
    <x v="30"/>
  </r>
  <r>
    <n v="2044"/>
    <n v="913"/>
    <n v="1"/>
    <s v="spinach_supr_s"/>
    <n v="1"/>
    <x v="15"/>
    <x v="1"/>
    <x v="907"/>
    <n v="12.5"/>
    <n v="12.5"/>
    <x v="2"/>
    <x v="2"/>
    <s v="Spinach, Red Onions, Pepperoni, Tomatoes, Artichokes, Kalamata Olives, Garlic, Asiago Cheese"/>
    <x v="9"/>
  </r>
  <r>
    <n v="2045"/>
    <n v="914"/>
    <n v="1"/>
    <s v="veggie_veg_m"/>
    <n v="1"/>
    <x v="15"/>
    <x v="1"/>
    <x v="908"/>
    <n v="16"/>
    <n v="16"/>
    <x v="0"/>
    <x v="1"/>
    <s v="Mushrooms, Tomatoes, Red Peppers, Green Peppers, Red Onions, Zucchini, Spinach, Garlic"/>
    <x v="14"/>
  </r>
  <r>
    <n v="2046"/>
    <n v="915"/>
    <n v="0.125"/>
    <s v="bbq_ckn_m"/>
    <n v="1"/>
    <x v="15"/>
    <x v="1"/>
    <x v="846"/>
    <n v="16.75"/>
    <n v="16.75"/>
    <x v="0"/>
    <x v="3"/>
    <s v="Barbecued Chicken, Red Peppers, Green Peppers, Tomatoes, Red Onions, Barbecue Sauce"/>
    <x v="7"/>
  </r>
  <r>
    <n v="2047"/>
    <n v="915"/>
    <n v="0.125"/>
    <s v="five_cheese_l"/>
    <n v="1"/>
    <x v="15"/>
    <x v="1"/>
    <x v="846"/>
    <n v="18.5"/>
    <n v="18.5"/>
    <x v="1"/>
    <x v="1"/>
    <s v="Mozzarella Cheese, Provolone Cheese, Smoked Gouda Cheese, Romano Cheese, Blue Cheese, Garlic"/>
    <x v="2"/>
  </r>
  <r>
    <n v="2048"/>
    <n v="915"/>
    <n v="0.125"/>
    <s v="green_garden_s"/>
    <n v="1"/>
    <x v="15"/>
    <x v="1"/>
    <x v="846"/>
    <n v="12"/>
    <n v="12"/>
    <x v="2"/>
    <x v="1"/>
    <s v="Spinach, Mushrooms, Tomatoes, Green Olives, Feta Cheese"/>
    <x v="10"/>
  </r>
  <r>
    <n v="2049"/>
    <n v="915"/>
    <n v="0.125"/>
    <s v="napolitana_m"/>
    <n v="1"/>
    <x v="15"/>
    <x v="1"/>
    <x v="846"/>
    <n v="16"/>
    <n v="16"/>
    <x v="0"/>
    <x v="0"/>
    <s v="Tomatoes, Anchovies, Green Olives, Red Onions, Garlic"/>
    <x v="22"/>
  </r>
  <r>
    <n v="2050"/>
    <n v="915"/>
    <n v="0.125"/>
    <s v="pepperoni_l"/>
    <n v="1"/>
    <x v="15"/>
    <x v="1"/>
    <x v="846"/>
    <n v="15.25"/>
    <n v="15.25"/>
    <x v="1"/>
    <x v="0"/>
    <s v="Mozzarella Cheese, Pepperoni"/>
    <x v="17"/>
  </r>
  <r>
    <n v="2051"/>
    <n v="915"/>
    <n v="0.125"/>
    <s v="pepperoni_m"/>
    <n v="1"/>
    <x v="15"/>
    <x v="1"/>
    <x v="846"/>
    <n v="12.5"/>
    <n v="12.5"/>
    <x v="0"/>
    <x v="0"/>
    <s v="Mozzarella Cheese, Pepperoni"/>
    <x v="17"/>
  </r>
  <r>
    <n v="2052"/>
    <n v="915"/>
    <n v="0.125"/>
    <s v="prsc_argla_s"/>
    <n v="1"/>
    <x v="15"/>
    <x v="1"/>
    <x v="846"/>
    <n v="12.5"/>
    <n v="12.5"/>
    <x v="2"/>
    <x v="2"/>
    <s v="Prosciutto di San Daniele, Arugula, Mozzarella Cheese"/>
    <x v="6"/>
  </r>
  <r>
    <n v="2053"/>
    <n v="915"/>
    <n v="0.125"/>
    <s v="spicy_ital_l"/>
    <n v="1"/>
    <x v="15"/>
    <x v="1"/>
    <x v="846"/>
    <n v="20.75"/>
    <n v="20.75"/>
    <x v="1"/>
    <x v="2"/>
    <s v="Capocollo, Tomatoes, Goat Cheese, Artichokes, Peperoncini verdi, Garlic"/>
    <x v="12"/>
  </r>
  <r>
    <n v="2054"/>
    <n v="916"/>
    <n v="0.25"/>
    <s v="ital_supr_m"/>
    <n v="1"/>
    <x v="15"/>
    <x v="1"/>
    <x v="909"/>
    <n v="16.5"/>
    <n v="16.5"/>
    <x v="0"/>
    <x v="2"/>
    <s v="Calabrese Salami, Capocollo, Tomatoes, Red Onions, Green Olives, Garlic"/>
    <x v="3"/>
  </r>
  <r>
    <n v="2055"/>
    <n v="916"/>
    <n v="0.25"/>
    <s v="mexicana_l"/>
    <n v="1"/>
    <x v="15"/>
    <x v="1"/>
    <x v="909"/>
    <n v="20.25"/>
    <n v="20.25"/>
    <x v="1"/>
    <x v="1"/>
    <s v="Tomatoes, Red Peppers, Jalapeno Peppers, Red Onions, Cilantro, Corn, Chipotle Sauce, Garlic"/>
    <x v="4"/>
  </r>
  <r>
    <n v="2056"/>
    <n v="916"/>
    <n v="0.25"/>
    <s v="pepperoni_l"/>
    <n v="1"/>
    <x v="15"/>
    <x v="1"/>
    <x v="909"/>
    <n v="15.25"/>
    <n v="15.25"/>
    <x v="1"/>
    <x v="0"/>
    <s v="Mozzarella Cheese, Pepperoni"/>
    <x v="17"/>
  </r>
  <r>
    <n v="2057"/>
    <n v="916"/>
    <n v="0.25"/>
    <s v="the_greek_xl"/>
    <n v="1"/>
    <x v="15"/>
    <x v="1"/>
    <x v="909"/>
    <n v="25.5"/>
    <n v="25.5"/>
    <x v="3"/>
    <x v="0"/>
    <s v="Kalamata Olives, Feta Cheese, Tomatoes, Garlic, Beef Chuck Roast, Red Onions"/>
    <x v="8"/>
  </r>
  <r>
    <n v="2058"/>
    <n v="917"/>
    <n v="1"/>
    <s v="southw_ckn_l"/>
    <n v="1"/>
    <x v="15"/>
    <x v="1"/>
    <x v="910"/>
    <n v="20.75"/>
    <n v="20.75"/>
    <x v="1"/>
    <x v="3"/>
    <s v="Chicken, Tomatoes, Red Peppers, Red Onions, Jalapeno Peppers, Corn, Cilantro, Chipotle Sauce"/>
    <x v="15"/>
  </r>
  <r>
    <n v="2059"/>
    <n v="918"/>
    <n v="1"/>
    <s v="spinach_fet_s"/>
    <n v="1"/>
    <x v="15"/>
    <x v="1"/>
    <x v="911"/>
    <n v="12"/>
    <n v="12"/>
    <x v="2"/>
    <x v="1"/>
    <s v="Spinach, Mushrooms, Red Onions, Feta Cheese, Garlic"/>
    <x v="27"/>
  </r>
  <r>
    <n v="2060"/>
    <n v="919"/>
    <n v="1"/>
    <s v="napolitana_l"/>
    <n v="1"/>
    <x v="15"/>
    <x v="1"/>
    <x v="912"/>
    <n v="20.5"/>
    <n v="20.5"/>
    <x v="1"/>
    <x v="0"/>
    <s v="Tomatoes, Anchovies, Green Olives, Red Onions, Garlic"/>
    <x v="22"/>
  </r>
  <r>
    <n v="2061"/>
    <n v="920"/>
    <n v="0.5"/>
    <s v="bbq_ckn_m"/>
    <n v="1"/>
    <x v="15"/>
    <x v="1"/>
    <x v="913"/>
    <n v="16.75"/>
    <n v="16.75"/>
    <x v="0"/>
    <x v="3"/>
    <s v="Barbecued Chicken, Red Peppers, Green Peppers, Tomatoes, Red Onions, Barbecue Sauce"/>
    <x v="7"/>
  </r>
  <r>
    <n v="2062"/>
    <n v="920"/>
    <n v="0.5"/>
    <s v="classic_dlx_m"/>
    <n v="1"/>
    <x v="15"/>
    <x v="1"/>
    <x v="913"/>
    <n v="16"/>
    <n v="16"/>
    <x v="0"/>
    <x v="0"/>
    <s v="Pepperoni, Mushrooms, Red Onions, Red Peppers, Bacon"/>
    <x v="1"/>
  </r>
  <r>
    <n v="2063"/>
    <n v="921"/>
    <n v="0.5"/>
    <s v="southw_ckn_l"/>
    <n v="1"/>
    <x v="15"/>
    <x v="1"/>
    <x v="914"/>
    <n v="20.75"/>
    <n v="20.75"/>
    <x v="1"/>
    <x v="3"/>
    <s v="Chicken, Tomatoes, Red Peppers, Red Onions, Jalapeno Peppers, Corn, Cilantro, Chipotle Sauce"/>
    <x v="15"/>
  </r>
  <r>
    <n v="2064"/>
    <n v="921"/>
    <n v="0.5"/>
    <s v="spin_pesto_l"/>
    <n v="1"/>
    <x v="15"/>
    <x v="1"/>
    <x v="914"/>
    <n v="20.75"/>
    <n v="20.75"/>
    <x v="1"/>
    <x v="1"/>
    <s v="Spinach, Artichokes, Tomatoes, Sun-dried Tomatoes, Garlic, Pesto Sauce"/>
    <x v="13"/>
  </r>
  <r>
    <n v="2065"/>
    <n v="922"/>
    <n v="0.33333333333333331"/>
    <s v="calabrese_m"/>
    <n v="1"/>
    <x v="15"/>
    <x v="1"/>
    <x v="915"/>
    <n v="16.25"/>
    <n v="16.25"/>
    <x v="0"/>
    <x v="2"/>
    <s v="?duja Salami, Pancetta, Tomatoes, Red Onions, Friggitello Peppers, Garlic"/>
    <x v="23"/>
  </r>
  <r>
    <n v="2066"/>
    <n v="922"/>
    <n v="0.33333333333333331"/>
    <s v="pepperoni_m"/>
    <n v="1"/>
    <x v="15"/>
    <x v="1"/>
    <x v="915"/>
    <n v="12.5"/>
    <n v="12.5"/>
    <x v="0"/>
    <x v="0"/>
    <s v="Mozzarella Cheese, Pepperoni"/>
    <x v="17"/>
  </r>
  <r>
    <n v="2067"/>
    <n v="922"/>
    <n v="0.33333333333333331"/>
    <s v="southw_ckn_l"/>
    <n v="1"/>
    <x v="15"/>
    <x v="1"/>
    <x v="915"/>
    <n v="20.75"/>
    <n v="20.75"/>
    <x v="1"/>
    <x v="3"/>
    <s v="Chicken, Tomatoes, Red Peppers, Red Onions, Jalapeno Peppers, Corn, Cilantro, Chipotle Sauce"/>
    <x v="15"/>
  </r>
  <r>
    <n v="2068"/>
    <n v="923"/>
    <n v="0.5"/>
    <s v="mexicana_m"/>
    <n v="1"/>
    <x v="15"/>
    <x v="1"/>
    <x v="916"/>
    <n v="16"/>
    <n v="16"/>
    <x v="0"/>
    <x v="1"/>
    <s v="Tomatoes, Red Peppers, Jalapeno Peppers, Red Onions, Cilantro, Corn, Chipotle Sauce, Garlic"/>
    <x v="4"/>
  </r>
  <r>
    <n v="2069"/>
    <n v="923"/>
    <n v="0.5"/>
    <s v="spinach_fet_s"/>
    <n v="1"/>
    <x v="15"/>
    <x v="1"/>
    <x v="916"/>
    <n v="12"/>
    <n v="12"/>
    <x v="2"/>
    <x v="1"/>
    <s v="Spinach, Mushrooms, Red Onions, Feta Cheese, Garlic"/>
    <x v="27"/>
  </r>
  <r>
    <n v="2070"/>
    <n v="924"/>
    <n v="0.5"/>
    <s v="pepperoni_l"/>
    <n v="1"/>
    <x v="15"/>
    <x v="1"/>
    <x v="917"/>
    <n v="15.25"/>
    <n v="15.25"/>
    <x v="1"/>
    <x v="0"/>
    <s v="Mozzarella Cheese, Pepperoni"/>
    <x v="17"/>
  </r>
  <r>
    <n v="2071"/>
    <n v="924"/>
    <n v="0.5"/>
    <s v="southw_ckn_l"/>
    <n v="1"/>
    <x v="15"/>
    <x v="1"/>
    <x v="917"/>
    <n v="20.75"/>
    <n v="20.75"/>
    <x v="1"/>
    <x v="3"/>
    <s v="Chicken, Tomatoes, Red Peppers, Red Onions, Jalapeno Peppers, Corn, Cilantro, Chipotle Sauce"/>
    <x v="15"/>
  </r>
  <r>
    <n v="2072"/>
    <n v="925"/>
    <n v="1"/>
    <s v="veggie_veg_l"/>
    <n v="1"/>
    <x v="15"/>
    <x v="1"/>
    <x v="918"/>
    <n v="20.25"/>
    <n v="20.25"/>
    <x v="1"/>
    <x v="1"/>
    <s v="Mushrooms, Tomatoes, Red Peppers, Green Peppers, Red Onions, Zucchini, Spinach, Garlic"/>
    <x v="14"/>
  </r>
  <r>
    <n v="2073"/>
    <n v="926"/>
    <n v="0.25"/>
    <s v="classic_dlx_m"/>
    <n v="1"/>
    <x v="15"/>
    <x v="1"/>
    <x v="919"/>
    <n v="16"/>
    <n v="16"/>
    <x v="0"/>
    <x v="0"/>
    <s v="Pepperoni, Mushrooms, Red Onions, Red Peppers, Bacon"/>
    <x v="1"/>
  </r>
  <r>
    <n v="2074"/>
    <n v="926"/>
    <n v="0.25"/>
    <s v="pepperoni_l"/>
    <n v="1"/>
    <x v="15"/>
    <x v="1"/>
    <x v="919"/>
    <n v="15.25"/>
    <n v="15.25"/>
    <x v="1"/>
    <x v="0"/>
    <s v="Mozzarella Cheese, Pepperoni"/>
    <x v="17"/>
  </r>
  <r>
    <n v="2075"/>
    <n v="926"/>
    <n v="0.25"/>
    <s v="sicilian_s"/>
    <n v="1"/>
    <x v="15"/>
    <x v="1"/>
    <x v="919"/>
    <n v="12.25"/>
    <n v="12.25"/>
    <x v="2"/>
    <x v="2"/>
    <s v="Coarse Sicilian Salami, Tomatoes, Green Olives, Luganega Sausage, Onions, Garlic"/>
    <x v="28"/>
  </r>
  <r>
    <n v="2076"/>
    <n v="926"/>
    <n v="0.25"/>
    <s v="veggie_veg_l"/>
    <n v="1"/>
    <x v="15"/>
    <x v="1"/>
    <x v="919"/>
    <n v="20.25"/>
    <n v="20.25"/>
    <x v="1"/>
    <x v="1"/>
    <s v="Mushrooms, Tomatoes, Red Peppers, Green Peppers, Red Onions, Zucchini, Spinach, Garlic"/>
    <x v="14"/>
  </r>
  <r>
    <n v="2077"/>
    <n v="927"/>
    <n v="0.1111111111111111"/>
    <s v="cali_ckn_m"/>
    <n v="1"/>
    <x v="15"/>
    <x v="1"/>
    <x v="920"/>
    <n v="16.75"/>
    <n v="16.75"/>
    <x v="0"/>
    <x v="3"/>
    <s v="Chicken, Artichoke, Spinach, Garlic, Jalapeno Peppers, Fontina Cheese, Gouda Cheese"/>
    <x v="16"/>
  </r>
  <r>
    <n v="2078"/>
    <n v="927"/>
    <n v="0.1111111111111111"/>
    <s v="ckn_alfredo_m"/>
    <n v="1"/>
    <x v="15"/>
    <x v="1"/>
    <x v="920"/>
    <n v="16.75"/>
    <n v="16.75"/>
    <x v="0"/>
    <x v="3"/>
    <s v="Chicken, Red Onions, Red Peppers, Mushrooms, Asiago Cheese, Alfredo Sauce"/>
    <x v="29"/>
  </r>
  <r>
    <n v="2079"/>
    <n v="927"/>
    <n v="0.1111111111111111"/>
    <s v="classic_dlx_m"/>
    <n v="1"/>
    <x v="15"/>
    <x v="1"/>
    <x v="920"/>
    <n v="16"/>
    <n v="16"/>
    <x v="0"/>
    <x v="0"/>
    <s v="Pepperoni, Mushrooms, Red Onions, Red Peppers, Bacon"/>
    <x v="1"/>
  </r>
  <r>
    <n v="2080"/>
    <n v="927"/>
    <n v="0.1111111111111111"/>
    <s v="four_cheese_m"/>
    <n v="1"/>
    <x v="15"/>
    <x v="1"/>
    <x v="920"/>
    <n v="14.75"/>
    <n v="14.75"/>
    <x v="0"/>
    <x v="1"/>
    <s v="Ricotta Cheese, Gorgonzola Piccante Cheese, Mozzarella Cheese, Parmigiano Reggiano Cheese, Garlic"/>
    <x v="21"/>
  </r>
  <r>
    <n v="2081"/>
    <n v="927"/>
    <n v="0.1111111111111111"/>
    <s v="hawaiian_s"/>
    <n v="1"/>
    <x v="15"/>
    <x v="1"/>
    <x v="920"/>
    <n v="10.5"/>
    <n v="10.5"/>
    <x v="2"/>
    <x v="0"/>
    <s v="Sliced Ham, Pineapple, Mozzarella Cheese"/>
    <x v="0"/>
  </r>
  <r>
    <n v="2082"/>
    <n v="927"/>
    <n v="0.1111111111111111"/>
    <s v="ital_cpcllo_s"/>
    <n v="1"/>
    <x v="15"/>
    <x v="1"/>
    <x v="920"/>
    <n v="12"/>
    <n v="12"/>
    <x v="2"/>
    <x v="0"/>
    <s v="Capocollo, Red Peppers, Tomatoes, Goat Cheese, Garlic, Oregano"/>
    <x v="11"/>
  </r>
  <r>
    <n v="2083"/>
    <n v="927"/>
    <n v="0.1111111111111111"/>
    <s v="mexicana_m"/>
    <n v="1"/>
    <x v="15"/>
    <x v="1"/>
    <x v="920"/>
    <n v="16"/>
    <n v="16"/>
    <x v="0"/>
    <x v="1"/>
    <s v="Tomatoes, Red Peppers, Jalapeno Peppers, Red Onions, Cilantro, Corn, Chipotle Sauce, Garlic"/>
    <x v="4"/>
  </r>
  <r>
    <n v="2084"/>
    <n v="927"/>
    <n v="0.1111111111111111"/>
    <s v="napolitana_m"/>
    <n v="1"/>
    <x v="15"/>
    <x v="1"/>
    <x v="920"/>
    <n v="16"/>
    <n v="16"/>
    <x v="0"/>
    <x v="0"/>
    <s v="Tomatoes, Anchovies, Green Olives, Red Onions, Garlic"/>
    <x v="22"/>
  </r>
  <r>
    <n v="2085"/>
    <n v="927"/>
    <n v="0.1111111111111111"/>
    <s v="spinach_fet_m"/>
    <n v="1"/>
    <x v="15"/>
    <x v="1"/>
    <x v="920"/>
    <n v="16"/>
    <n v="16"/>
    <x v="0"/>
    <x v="1"/>
    <s v="Spinach, Mushrooms, Red Onions, Feta Cheese, Garlic"/>
    <x v="27"/>
  </r>
  <r>
    <n v="2086"/>
    <n v="928"/>
    <n v="0.5"/>
    <s v="cali_ckn_l"/>
    <n v="1"/>
    <x v="15"/>
    <x v="1"/>
    <x v="921"/>
    <n v="20.75"/>
    <n v="20.75"/>
    <x v="1"/>
    <x v="3"/>
    <s v="Chicken, Artichoke, Spinach, Garlic, Jalapeno Peppers, Fontina Cheese, Gouda Cheese"/>
    <x v="16"/>
  </r>
  <r>
    <n v="2087"/>
    <n v="928"/>
    <n v="0.5"/>
    <s v="thai_ckn_l"/>
    <n v="1"/>
    <x v="15"/>
    <x v="1"/>
    <x v="921"/>
    <n v="20.75"/>
    <n v="20.75"/>
    <x v="1"/>
    <x v="3"/>
    <s v="Chicken, Pineapple, Tomatoes, Red Peppers, Thai Sweet Chilli Sauce"/>
    <x v="5"/>
  </r>
  <r>
    <n v="2088"/>
    <n v="929"/>
    <n v="1"/>
    <s v="five_cheese_l"/>
    <n v="1"/>
    <x v="15"/>
    <x v="1"/>
    <x v="922"/>
    <n v="18.5"/>
    <n v="18.5"/>
    <x v="1"/>
    <x v="1"/>
    <s v="Mozzarella Cheese, Provolone Cheese, Smoked Gouda Cheese, Romano Cheese, Blue Cheese, Garlic"/>
    <x v="2"/>
  </r>
  <r>
    <n v="2089"/>
    <n v="930"/>
    <n v="0.33333333333333331"/>
    <s v="ital_cpcllo_s"/>
    <n v="1"/>
    <x v="15"/>
    <x v="1"/>
    <x v="923"/>
    <n v="12"/>
    <n v="12"/>
    <x v="2"/>
    <x v="0"/>
    <s v="Capocollo, Red Peppers, Tomatoes, Goat Cheese, Garlic, Oregano"/>
    <x v="11"/>
  </r>
  <r>
    <n v="2090"/>
    <n v="930"/>
    <n v="0.33333333333333331"/>
    <s v="napolitana_l"/>
    <n v="1"/>
    <x v="15"/>
    <x v="1"/>
    <x v="923"/>
    <n v="20.5"/>
    <n v="20.5"/>
    <x v="1"/>
    <x v="0"/>
    <s v="Tomatoes, Anchovies, Green Olives, Red Onions, Garlic"/>
    <x v="22"/>
  </r>
  <r>
    <n v="2091"/>
    <n v="930"/>
    <n v="0.33333333333333331"/>
    <s v="pep_msh_pep_s"/>
    <n v="1"/>
    <x v="15"/>
    <x v="1"/>
    <x v="923"/>
    <n v="11"/>
    <n v="11"/>
    <x v="2"/>
    <x v="0"/>
    <s v="Pepperoni, Mushrooms, Green Peppers"/>
    <x v="30"/>
  </r>
  <r>
    <n v="2092"/>
    <n v="931"/>
    <n v="0.33333333333333331"/>
    <s v="bbq_ckn_l"/>
    <n v="1"/>
    <x v="15"/>
    <x v="1"/>
    <x v="924"/>
    <n v="20.75"/>
    <n v="20.75"/>
    <x v="1"/>
    <x v="3"/>
    <s v="Barbecued Chicken, Red Peppers, Green Peppers, Tomatoes, Red Onions, Barbecue Sauce"/>
    <x v="7"/>
  </r>
  <r>
    <n v="2093"/>
    <n v="931"/>
    <n v="0.33333333333333331"/>
    <s v="five_cheese_l"/>
    <n v="1"/>
    <x v="15"/>
    <x v="1"/>
    <x v="924"/>
    <n v="18.5"/>
    <n v="18.5"/>
    <x v="1"/>
    <x v="1"/>
    <s v="Mozzarella Cheese, Provolone Cheese, Smoked Gouda Cheese, Romano Cheese, Blue Cheese, Garlic"/>
    <x v="2"/>
  </r>
  <r>
    <n v="2094"/>
    <n v="931"/>
    <n v="0.33333333333333331"/>
    <s v="peppr_salami_s"/>
    <n v="1"/>
    <x v="15"/>
    <x v="1"/>
    <x v="924"/>
    <n v="12.5"/>
    <n v="12.5"/>
    <x v="2"/>
    <x v="2"/>
    <s v="Genoa Salami, Capocollo, Pepperoni, Tomatoes, Asiago Cheese, Garlic"/>
    <x v="26"/>
  </r>
  <r>
    <n v="2095"/>
    <n v="932"/>
    <n v="0.5"/>
    <s v="calabrese_m"/>
    <n v="1"/>
    <x v="15"/>
    <x v="1"/>
    <x v="925"/>
    <n v="16.25"/>
    <n v="16.25"/>
    <x v="0"/>
    <x v="2"/>
    <s v="?duja Salami, Pancetta, Tomatoes, Red Onions, Friggitello Peppers, Garlic"/>
    <x v="23"/>
  </r>
  <r>
    <n v="2096"/>
    <n v="932"/>
    <n v="0.5"/>
    <s v="thai_ckn_s"/>
    <n v="1"/>
    <x v="15"/>
    <x v="1"/>
    <x v="925"/>
    <n v="12.75"/>
    <n v="12.75"/>
    <x v="2"/>
    <x v="3"/>
    <s v="Chicken, Pineapple, Tomatoes, Red Peppers, Thai Sweet Chilli Sauce"/>
    <x v="5"/>
  </r>
  <r>
    <n v="2097"/>
    <n v="933"/>
    <n v="1"/>
    <s v="five_cheese_l"/>
    <n v="1"/>
    <x v="15"/>
    <x v="1"/>
    <x v="926"/>
    <n v="18.5"/>
    <n v="18.5"/>
    <x v="1"/>
    <x v="1"/>
    <s v="Mozzarella Cheese, Provolone Cheese, Smoked Gouda Cheese, Romano Cheese, Blue Cheese, Garlic"/>
    <x v="2"/>
  </r>
  <r>
    <n v="2098"/>
    <n v="934"/>
    <n v="1"/>
    <s v="thai_ckn_l"/>
    <n v="1"/>
    <x v="15"/>
    <x v="1"/>
    <x v="927"/>
    <n v="20.75"/>
    <n v="20.75"/>
    <x v="1"/>
    <x v="3"/>
    <s v="Chicken, Pineapple, Tomatoes, Red Peppers, Thai Sweet Chilli Sauce"/>
    <x v="5"/>
  </r>
  <r>
    <n v="2099"/>
    <n v="935"/>
    <n v="0.25"/>
    <s v="big_meat_s"/>
    <n v="1"/>
    <x v="15"/>
    <x v="1"/>
    <x v="928"/>
    <n v="12"/>
    <n v="12"/>
    <x v="2"/>
    <x v="0"/>
    <s v="Bacon, Pepperoni, Italian Sausage, Chorizo Sausage"/>
    <x v="19"/>
  </r>
  <r>
    <n v="2100"/>
    <n v="935"/>
    <n v="0.25"/>
    <s v="spicy_ital_l"/>
    <n v="1"/>
    <x v="15"/>
    <x v="1"/>
    <x v="928"/>
    <n v="20.75"/>
    <n v="20.75"/>
    <x v="1"/>
    <x v="2"/>
    <s v="Capocollo, Tomatoes, Goat Cheese, Artichokes, Peperoncini verdi, Garlic"/>
    <x v="12"/>
  </r>
  <r>
    <n v="2101"/>
    <n v="935"/>
    <n v="0.25"/>
    <s v="spinach_fet_m"/>
    <n v="1"/>
    <x v="15"/>
    <x v="1"/>
    <x v="928"/>
    <n v="16"/>
    <n v="16"/>
    <x v="0"/>
    <x v="1"/>
    <s v="Spinach, Mushrooms, Red Onions, Feta Cheese, Garlic"/>
    <x v="27"/>
  </r>
  <r>
    <n v="2102"/>
    <n v="935"/>
    <n v="0.25"/>
    <s v="the_greek_m"/>
    <n v="1"/>
    <x v="15"/>
    <x v="1"/>
    <x v="928"/>
    <n v="16"/>
    <n v="16"/>
    <x v="0"/>
    <x v="0"/>
    <s v="Kalamata Olives, Feta Cheese, Tomatoes, Garlic, Beef Chuck Roast, Red Onions"/>
    <x v="8"/>
  </r>
  <r>
    <n v="2103"/>
    <n v="936"/>
    <n v="1"/>
    <s v="sicilian_s"/>
    <n v="1"/>
    <x v="15"/>
    <x v="1"/>
    <x v="929"/>
    <n v="12.25"/>
    <n v="12.25"/>
    <x v="2"/>
    <x v="2"/>
    <s v="Coarse Sicilian Salami, Tomatoes, Green Olives, Luganega Sausage, Onions, Garlic"/>
    <x v="28"/>
  </r>
  <r>
    <n v="2104"/>
    <n v="937"/>
    <n v="1"/>
    <s v="spicy_ital_s"/>
    <n v="1"/>
    <x v="15"/>
    <x v="1"/>
    <x v="930"/>
    <n v="12.5"/>
    <n v="12.5"/>
    <x v="2"/>
    <x v="2"/>
    <s v="Capocollo, Tomatoes, Goat Cheese, Artichokes, Peperoncini verdi, Garlic"/>
    <x v="12"/>
  </r>
  <r>
    <n v="2105"/>
    <n v="938"/>
    <n v="0.33333333333333331"/>
    <s v="ital_supr_m"/>
    <n v="1"/>
    <x v="15"/>
    <x v="1"/>
    <x v="931"/>
    <n v="16.5"/>
    <n v="16.5"/>
    <x v="0"/>
    <x v="2"/>
    <s v="Calabrese Salami, Capocollo, Tomatoes, Red Onions, Green Olives, Garlic"/>
    <x v="3"/>
  </r>
  <r>
    <n v="2106"/>
    <n v="938"/>
    <n v="0.33333333333333331"/>
    <s v="peppr_salami_l"/>
    <n v="1"/>
    <x v="15"/>
    <x v="1"/>
    <x v="931"/>
    <n v="20.75"/>
    <n v="20.75"/>
    <x v="1"/>
    <x v="2"/>
    <s v="Genoa Salami, Capocollo, Pepperoni, Tomatoes, Asiago Cheese, Garlic"/>
    <x v="26"/>
  </r>
  <r>
    <n v="2107"/>
    <n v="938"/>
    <n v="0.33333333333333331"/>
    <s v="spinach_fet_l"/>
    <n v="1"/>
    <x v="15"/>
    <x v="1"/>
    <x v="931"/>
    <n v="20.25"/>
    <n v="20.25"/>
    <x v="1"/>
    <x v="1"/>
    <s v="Spinach, Mushrooms, Red Onions, Feta Cheese, Garlic"/>
    <x v="27"/>
  </r>
  <r>
    <n v="2108"/>
    <n v="939"/>
    <n v="0.5"/>
    <s v="peppr_salami_l"/>
    <n v="1"/>
    <x v="15"/>
    <x v="1"/>
    <x v="932"/>
    <n v="20.75"/>
    <n v="20.75"/>
    <x v="1"/>
    <x v="2"/>
    <s v="Genoa Salami, Capocollo, Pepperoni, Tomatoes, Asiago Cheese, Garlic"/>
    <x v="26"/>
  </r>
  <r>
    <n v="2109"/>
    <n v="939"/>
    <n v="0.5"/>
    <s v="spin_pesto_s"/>
    <n v="1"/>
    <x v="15"/>
    <x v="1"/>
    <x v="932"/>
    <n v="12.5"/>
    <n v="12.5"/>
    <x v="2"/>
    <x v="1"/>
    <s v="Spinach, Artichokes, Tomatoes, Sun-dried Tomatoes, Garlic, Pesto Sauce"/>
    <x v="13"/>
  </r>
  <r>
    <n v="2110"/>
    <n v="940"/>
    <n v="0.33333333333333331"/>
    <s v="napolitana_l"/>
    <n v="1"/>
    <x v="15"/>
    <x v="1"/>
    <x v="933"/>
    <n v="20.5"/>
    <n v="20.5"/>
    <x v="1"/>
    <x v="0"/>
    <s v="Tomatoes, Anchovies, Green Olives, Red Onions, Garlic"/>
    <x v="22"/>
  </r>
  <r>
    <n v="2111"/>
    <n v="940"/>
    <n v="0.33333333333333331"/>
    <s v="pep_msh_pep_m"/>
    <n v="1"/>
    <x v="15"/>
    <x v="1"/>
    <x v="933"/>
    <n v="14.5"/>
    <n v="14.5"/>
    <x v="0"/>
    <x v="0"/>
    <s v="Pepperoni, Mushrooms, Green Peppers"/>
    <x v="30"/>
  </r>
  <r>
    <n v="2112"/>
    <n v="940"/>
    <n v="0.33333333333333331"/>
    <s v="peppr_salami_m"/>
    <n v="1"/>
    <x v="15"/>
    <x v="1"/>
    <x v="933"/>
    <n v="16.5"/>
    <n v="16.5"/>
    <x v="0"/>
    <x v="2"/>
    <s v="Genoa Salami, Capocollo, Pepperoni, Tomatoes, Asiago Cheese, Garlic"/>
    <x v="26"/>
  </r>
  <r>
    <n v="2113"/>
    <n v="941"/>
    <n v="0.5"/>
    <s v="green_garden_m"/>
    <n v="1"/>
    <x v="15"/>
    <x v="1"/>
    <x v="934"/>
    <n v="16"/>
    <n v="16"/>
    <x v="0"/>
    <x v="1"/>
    <s v="Spinach, Mushrooms, Tomatoes, Green Olives, Feta Cheese"/>
    <x v="10"/>
  </r>
  <r>
    <n v="2114"/>
    <n v="941"/>
    <n v="0.5"/>
    <s v="ital_cpcllo_l"/>
    <n v="1"/>
    <x v="15"/>
    <x v="1"/>
    <x v="934"/>
    <n v="20.5"/>
    <n v="20.5"/>
    <x v="1"/>
    <x v="0"/>
    <s v="Capocollo, Red Peppers, Tomatoes, Goat Cheese, Garlic, Oregano"/>
    <x v="11"/>
  </r>
  <r>
    <n v="2115"/>
    <n v="942"/>
    <n v="0.5"/>
    <s v="bbq_ckn_m"/>
    <n v="1"/>
    <x v="15"/>
    <x v="1"/>
    <x v="935"/>
    <n v="16.75"/>
    <n v="16.75"/>
    <x v="0"/>
    <x v="3"/>
    <s v="Barbecued Chicken, Red Peppers, Green Peppers, Tomatoes, Red Onions, Barbecue Sauce"/>
    <x v="7"/>
  </r>
  <r>
    <n v="2116"/>
    <n v="942"/>
    <n v="0.5"/>
    <s v="southw_ckn_l"/>
    <n v="1"/>
    <x v="15"/>
    <x v="1"/>
    <x v="935"/>
    <n v="20.75"/>
    <n v="20.75"/>
    <x v="1"/>
    <x v="3"/>
    <s v="Chicken, Tomatoes, Red Peppers, Red Onions, Jalapeno Peppers, Corn, Cilantro, Chipotle Sauce"/>
    <x v="15"/>
  </r>
  <r>
    <n v="2117"/>
    <n v="943"/>
    <n v="1"/>
    <s v="sicilian_s"/>
    <n v="1"/>
    <x v="15"/>
    <x v="1"/>
    <x v="936"/>
    <n v="12.25"/>
    <n v="12.25"/>
    <x v="2"/>
    <x v="2"/>
    <s v="Coarse Sicilian Salami, Tomatoes, Green Olives, Luganega Sausage, Onions, Garlic"/>
    <x v="28"/>
  </r>
  <r>
    <n v="2118"/>
    <n v="944"/>
    <n v="1"/>
    <s v="classic_dlx_m"/>
    <n v="1"/>
    <x v="15"/>
    <x v="1"/>
    <x v="937"/>
    <n v="16"/>
    <n v="16"/>
    <x v="0"/>
    <x v="0"/>
    <s v="Pepperoni, Mushrooms, Red Onions, Red Peppers, Bacon"/>
    <x v="1"/>
  </r>
  <r>
    <n v="2119"/>
    <n v="945"/>
    <n v="0.25"/>
    <s v="bbq_ckn_l"/>
    <n v="1"/>
    <x v="15"/>
    <x v="1"/>
    <x v="229"/>
    <n v="20.75"/>
    <n v="20.75"/>
    <x v="1"/>
    <x v="3"/>
    <s v="Barbecued Chicken, Red Peppers, Green Peppers, Tomatoes, Red Onions, Barbecue Sauce"/>
    <x v="7"/>
  </r>
  <r>
    <n v="2120"/>
    <n v="945"/>
    <n v="0.25"/>
    <s v="five_cheese_l"/>
    <n v="1"/>
    <x v="15"/>
    <x v="1"/>
    <x v="229"/>
    <n v="18.5"/>
    <n v="18.5"/>
    <x v="1"/>
    <x v="1"/>
    <s v="Mozzarella Cheese, Provolone Cheese, Smoked Gouda Cheese, Romano Cheese, Blue Cheese, Garlic"/>
    <x v="2"/>
  </r>
  <r>
    <n v="2121"/>
    <n v="945"/>
    <n v="0.25"/>
    <s v="four_cheese_l"/>
    <n v="1"/>
    <x v="15"/>
    <x v="1"/>
    <x v="229"/>
    <n v="17.95"/>
    <n v="17.95"/>
    <x v="1"/>
    <x v="1"/>
    <s v="Ricotta Cheese, Gorgonzola Piccante Cheese, Mozzarella Cheese, Parmigiano Reggiano Cheese, Garlic"/>
    <x v="21"/>
  </r>
  <r>
    <n v="2122"/>
    <n v="945"/>
    <n v="0.25"/>
    <s v="hawaiian_s"/>
    <n v="1"/>
    <x v="15"/>
    <x v="1"/>
    <x v="229"/>
    <n v="10.5"/>
    <n v="10.5"/>
    <x v="2"/>
    <x v="0"/>
    <s v="Sliced Ham, Pineapple, Mozzarella Cheese"/>
    <x v="0"/>
  </r>
  <r>
    <n v="2123"/>
    <n v="946"/>
    <n v="0.25"/>
    <s v="cali_ckn_s"/>
    <n v="1"/>
    <x v="15"/>
    <x v="1"/>
    <x v="938"/>
    <n v="12.75"/>
    <n v="12.75"/>
    <x v="2"/>
    <x v="3"/>
    <s v="Chicken, Artichoke, Spinach, Garlic, Jalapeno Peppers, Fontina Cheese, Gouda Cheese"/>
    <x v="16"/>
  </r>
  <r>
    <n v="2124"/>
    <n v="946"/>
    <n v="0.25"/>
    <s v="pepperoni_s"/>
    <n v="1"/>
    <x v="15"/>
    <x v="1"/>
    <x v="938"/>
    <n v="9.75"/>
    <n v="9.75"/>
    <x v="2"/>
    <x v="0"/>
    <s v="Mozzarella Cheese, Pepperoni"/>
    <x v="17"/>
  </r>
  <r>
    <n v="2125"/>
    <n v="946"/>
    <n v="0.25"/>
    <s v="spin_pesto_l"/>
    <n v="1"/>
    <x v="15"/>
    <x v="1"/>
    <x v="938"/>
    <n v="20.75"/>
    <n v="20.75"/>
    <x v="1"/>
    <x v="1"/>
    <s v="Spinach, Artichokes, Tomatoes, Sun-dried Tomatoes, Garlic, Pesto Sauce"/>
    <x v="13"/>
  </r>
  <r>
    <n v="2126"/>
    <n v="946"/>
    <n v="0.25"/>
    <s v="spinach_supr_s"/>
    <n v="1"/>
    <x v="15"/>
    <x v="1"/>
    <x v="938"/>
    <n v="12.5"/>
    <n v="12.5"/>
    <x v="2"/>
    <x v="2"/>
    <s v="Spinach, Red Onions, Pepperoni, Tomatoes, Artichokes, Kalamata Olives, Garlic, Asiago Cheese"/>
    <x v="9"/>
  </r>
  <r>
    <n v="2127"/>
    <n v="947"/>
    <n v="0.33333333333333331"/>
    <s v="cali_ckn_m"/>
    <n v="1"/>
    <x v="15"/>
    <x v="1"/>
    <x v="939"/>
    <n v="16.75"/>
    <n v="16.75"/>
    <x v="0"/>
    <x v="3"/>
    <s v="Chicken, Artichoke, Spinach, Garlic, Jalapeno Peppers, Fontina Cheese, Gouda Cheese"/>
    <x v="16"/>
  </r>
  <r>
    <n v="2128"/>
    <n v="947"/>
    <n v="0.33333333333333331"/>
    <s v="pepperoni_l"/>
    <n v="1"/>
    <x v="15"/>
    <x v="1"/>
    <x v="939"/>
    <n v="15.25"/>
    <n v="15.25"/>
    <x v="1"/>
    <x v="0"/>
    <s v="Mozzarella Cheese, Pepperoni"/>
    <x v="17"/>
  </r>
  <r>
    <n v="2129"/>
    <n v="947"/>
    <n v="0.33333333333333331"/>
    <s v="the_greek_xl"/>
    <n v="1"/>
    <x v="15"/>
    <x v="1"/>
    <x v="939"/>
    <n v="25.5"/>
    <n v="25.5"/>
    <x v="3"/>
    <x v="0"/>
    <s v="Kalamata Olives, Feta Cheese, Tomatoes, Garlic, Beef Chuck Roast, Red Onions"/>
    <x v="8"/>
  </r>
  <r>
    <n v="2130"/>
    <n v="948"/>
    <n v="0.25"/>
    <s v="pep_msh_pep_s"/>
    <n v="1"/>
    <x v="15"/>
    <x v="1"/>
    <x v="940"/>
    <n v="11"/>
    <n v="11"/>
    <x v="2"/>
    <x v="0"/>
    <s v="Pepperoni, Mushrooms, Green Peppers"/>
    <x v="30"/>
  </r>
  <r>
    <n v="2131"/>
    <n v="948"/>
    <n v="0.25"/>
    <s v="pepperoni_l"/>
    <n v="1"/>
    <x v="15"/>
    <x v="1"/>
    <x v="940"/>
    <n v="15.25"/>
    <n v="15.25"/>
    <x v="1"/>
    <x v="0"/>
    <s v="Mozzarella Cheese, Pepperoni"/>
    <x v="17"/>
  </r>
  <r>
    <n v="2132"/>
    <n v="948"/>
    <n v="0.25"/>
    <s v="spicy_ital_l"/>
    <n v="1"/>
    <x v="15"/>
    <x v="1"/>
    <x v="940"/>
    <n v="20.75"/>
    <n v="20.75"/>
    <x v="1"/>
    <x v="2"/>
    <s v="Capocollo, Tomatoes, Goat Cheese, Artichokes, Peperoncini verdi, Garlic"/>
    <x v="12"/>
  </r>
  <r>
    <n v="2133"/>
    <n v="948"/>
    <n v="0.25"/>
    <s v="veggie_veg_s"/>
    <n v="1"/>
    <x v="15"/>
    <x v="1"/>
    <x v="940"/>
    <n v="12"/>
    <n v="12"/>
    <x v="2"/>
    <x v="1"/>
    <s v="Mushrooms, Tomatoes, Red Peppers, Green Peppers, Red Onions, Zucchini, Spinach, Garlic"/>
    <x v="14"/>
  </r>
  <r>
    <n v="2134"/>
    <n v="949"/>
    <n v="0.5"/>
    <s v="mexicana_l"/>
    <n v="1"/>
    <x v="15"/>
    <x v="1"/>
    <x v="941"/>
    <n v="20.25"/>
    <n v="20.25"/>
    <x v="1"/>
    <x v="1"/>
    <s v="Tomatoes, Red Peppers, Jalapeno Peppers, Red Onions, Cilantro, Corn, Chipotle Sauce, Garlic"/>
    <x v="4"/>
  </r>
  <r>
    <n v="2135"/>
    <n v="949"/>
    <n v="0.5"/>
    <s v="veggie_veg_m"/>
    <n v="1"/>
    <x v="15"/>
    <x v="1"/>
    <x v="941"/>
    <n v="16"/>
    <n v="16"/>
    <x v="0"/>
    <x v="1"/>
    <s v="Mushrooms, Tomatoes, Red Peppers, Green Peppers, Red Onions, Zucchini, Spinach, Garlic"/>
    <x v="14"/>
  </r>
  <r>
    <n v="2136"/>
    <n v="950"/>
    <n v="1"/>
    <s v="cali_ckn_m"/>
    <n v="1"/>
    <x v="15"/>
    <x v="1"/>
    <x v="942"/>
    <n v="16.75"/>
    <n v="16.75"/>
    <x v="0"/>
    <x v="3"/>
    <s v="Chicken, Artichoke, Spinach, Garlic, Jalapeno Peppers, Fontina Cheese, Gouda Cheese"/>
    <x v="16"/>
  </r>
  <r>
    <n v="2137"/>
    <n v="951"/>
    <n v="1"/>
    <s v="ital_veggie_m"/>
    <n v="1"/>
    <x v="15"/>
    <x v="1"/>
    <x v="943"/>
    <n v="16.75"/>
    <n v="16.75"/>
    <x v="0"/>
    <x v="1"/>
    <s v="Eggplant, Artichokes, Tomatoes, Zucchini, Red Peppers, Garlic, Pesto Sauce"/>
    <x v="24"/>
  </r>
  <r>
    <n v="2138"/>
    <n v="952"/>
    <n v="0.25"/>
    <s v="big_meat_s"/>
    <n v="1"/>
    <x v="15"/>
    <x v="1"/>
    <x v="944"/>
    <n v="12"/>
    <n v="12"/>
    <x v="2"/>
    <x v="0"/>
    <s v="Bacon, Pepperoni, Italian Sausage, Chorizo Sausage"/>
    <x v="19"/>
  </r>
  <r>
    <n v="2139"/>
    <n v="952"/>
    <n v="0.25"/>
    <s v="calabrese_l"/>
    <n v="1"/>
    <x v="15"/>
    <x v="1"/>
    <x v="944"/>
    <n v="20.25"/>
    <n v="20.25"/>
    <x v="1"/>
    <x v="2"/>
    <s v="?duja Salami, Pancetta, Tomatoes, Red Onions, Friggitello Peppers, Garlic"/>
    <x v="23"/>
  </r>
  <r>
    <n v="2140"/>
    <n v="952"/>
    <n v="0.25"/>
    <s v="peppr_salami_m"/>
    <n v="1"/>
    <x v="15"/>
    <x v="1"/>
    <x v="944"/>
    <n v="16.5"/>
    <n v="16.5"/>
    <x v="0"/>
    <x v="2"/>
    <s v="Genoa Salami, Capocollo, Pepperoni, Tomatoes, Asiago Cheese, Garlic"/>
    <x v="26"/>
  </r>
  <r>
    <n v="2141"/>
    <n v="952"/>
    <n v="0.25"/>
    <s v="spinach_fet_s"/>
    <n v="1"/>
    <x v="15"/>
    <x v="1"/>
    <x v="944"/>
    <n v="12"/>
    <n v="12"/>
    <x v="2"/>
    <x v="1"/>
    <s v="Spinach, Mushrooms, Red Onions, Feta Cheese, Garlic"/>
    <x v="27"/>
  </r>
  <r>
    <n v="2142"/>
    <n v="953"/>
    <n v="0.33333333333333331"/>
    <s v="bbq_ckn_s"/>
    <n v="1"/>
    <x v="15"/>
    <x v="1"/>
    <x v="945"/>
    <n v="12.75"/>
    <n v="12.75"/>
    <x v="2"/>
    <x v="3"/>
    <s v="Barbecued Chicken, Red Peppers, Green Peppers, Tomatoes, Red Onions, Barbecue Sauce"/>
    <x v="7"/>
  </r>
  <r>
    <n v="2143"/>
    <n v="953"/>
    <n v="0.33333333333333331"/>
    <s v="ckn_alfredo_m"/>
    <n v="1"/>
    <x v="15"/>
    <x v="1"/>
    <x v="945"/>
    <n v="16.75"/>
    <n v="16.75"/>
    <x v="0"/>
    <x v="3"/>
    <s v="Chicken, Red Onions, Red Peppers, Mushrooms, Asiago Cheese, Alfredo Sauce"/>
    <x v="29"/>
  </r>
  <r>
    <n v="2144"/>
    <n v="953"/>
    <n v="0.33333333333333331"/>
    <s v="spinach_fet_s"/>
    <n v="1"/>
    <x v="15"/>
    <x v="1"/>
    <x v="945"/>
    <n v="12"/>
    <n v="12"/>
    <x v="2"/>
    <x v="1"/>
    <s v="Spinach, Mushrooms, Red Onions, Feta Cheese, Garlic"/>
    <x v="27"/>
  </r>
  <r>
    <n v="2145"/>
    <n v="954"/>
    <n v="1"/>
    <s v="thai_ckn_l"/>
    <n v="2"/>
    <x v="15"/>
    <x v="1"/>
    <x v="946"/>
    <n v="20.75"/>
    <n v="41.5"/>
    <x v="1"/>
    <x v="3"/>
    <s v="Chicken, Pineapple, Tomatoes, Red Peppers, Thai Sweet Chilli Sauce"/>
    <x v="5"/>
  </r>
  <r>
    <n v="2146"/>
    <n v="955"/>
    <n v="0.33333333333333331"/>
    <s v="cali_ckn_m"/>
    <n v="1"/>
    <x v="15"/>
    <x v="1"/>
    <x v="947"/>
    <n v="16.75"/>
    <n v="16.75"/>
    <x v="0"/>
    <x v="3"/>
    <s v="Chicken, Artichoke, Spinach, Garlic, Jalapeno Peppers, Fontina Cheese, Gouda Cheese"/>
    <x v="16"/>
  </r>
  <r>
    <n v="2147"/>
    <n v="955"/>
    <n v="0.33333333333333331"/>
    <s v="five_cheese_l"/>
    <n v="1"/>
    <x v="15"/>
    <x v="1"/>
    <x v="947"/>
    <n v="18.5"/>
    <n v="18.5"/>
    <x v="1"/>
    <x v="1"/>
    <s v="Mozzarella Cheese, Provolone Cheese, Smoked Gouda Cheese, Romano Cheese, Blue Cheese, Garlic"/>
    <x v="2"/>
  </r>
  <r>
    <n v="2148"/>
    <n v="955"/>
    <n v="0.33333333333333331"/>
    <s v="napolitana_l"/>
    <n v="1"/>
    <x v="15"/>
    <x v="1"/>
    <x v="947"/>
    <n v="20.5"/>
    <n v="20.5"/>
    <x v="1"/>
    <x v="0"/>
    <s v="Tomatoes, Anchovies, Green Olives, Red Onions, Garlic"/>
    <x v="22"/>
  </r>
  <r>
    <n v="2149"/>
    <n v="956"/>
    <n v="0.5"/>
    <s v="prsc_argla_m"/>
    <n v="1"/>
    <x v="15"/>
    <x v="1"/>
    <x v="948"/>
    <n v="16.5"/>
    <n v="16.5"/>
    <x v="0"/>
    <x v="2"/>
    <s v="Prosciutto di San Daniele, Arugula, Mozzarella Cheese"/>
    <x v="6"/>
  </r>
  <r>
    <n v="2150"/>
    <n v="956"/>
    <n v="0.5"/>
    <s v="thai_ckn_s"/>
    <n v="1"/>
    <x v="15"/>
    <x v="1"/>
    <x v="948"/>
    <n v="12.75"/>
    <n v="12.75"/>
    <x v="2"/>
    <x v="3"/>
    <s v="Chicken, Pineapple, Tomatoes, Red Peppers, Thai Sweet Chilli Sauce"/>
    <x v="5"/>
  </r>
  <r>
    <n v="2151"/>
    <n v="957"/>
    <n v="0.25"/>
    <s v="four_cheese_l"/>
    <n v="1"/>
    <x v="15"/>
    <x v="1"/>
    <x v="949"/>
    <n v="17.95"/>
    <n v="17.95"/>
    <x v="1"/>
    <x v="1"/>
    <s v="Ricotta Cheese, Gorgonzola Piccante Cheese, Mozzarella Cheese, Parmigiano Reggiano Cheese, Garlic"/>
    <x v="21"/>
  </r>
  <r>
    <n v="2152"/>
    <n v="957"/>
    <n v="0.25"/>
    <s v="green_garden_l"/>
    <n v="1"/>
    <x v="15"/>
    <x v="1"/>
    <x v="949"/>
    <n v="20.25"/>
    <n v="20.25"/>
    <x v="1"/>
    <x v="1"/>
    <s v="Spinach, Mushrooms, Tomatoes, Green Olives, Feta Cheese"/>
    <x v="10"/>
  </r>
  <r>
    <n v="2153"/>
    <n v="957"/>
    <n v="0.25"/>
    <s v="ital_veggie_s"/>
    <n v="1"/>
    <x v="15"/>
    <x v="1"/>
    <x v="949"/>
    <n v="12.75"/>
    <n v="12.75"/>
    <x v="2"/>
    <x v="1"/>
    <s v="Eggplant, Artichokes, Tomatoes, Zucchini, Red Peppers, Garlic, Pesto Sauce"/>
    <x v="24"/>
  </r>
  <r>
    <n v="2154"/>
    <n v="957"/>
    <n v="0.25"/>
    <s v="spin_pesto_l"/>
    <n v="1"/>
    <x v="15"/>
    <x v="1"/>
    <x v="949"/>
    <n v="20.75"/>
    <n v="20.75"/>
    <x v="1"/>
    <x v="1"/>
    <s v="Spinach, Artichokes, Tomatoes, Sun-dried Tomatoes, Garlic, Pesto Sauce"/>
    <x v="13"/>
  </r>
  <r>
    <n v="2155"/>
    <n v="958"/>
    <n v="1"/>
    <s v="pepperoni_l"/>
    <n v="1"/>
    <x v="15"/>
    <x v="1"/>
    <x v="950"/>
    <n v="15.25"/>
    <n v="15.25"/>
    <x v="1"/>
    <x v="0"/>
    <s v="Mozzarella Cheese, Pepperoni"/>
    <x v="17"/>
  </r>
  <r>
    <n v="2156"/>
    <n v="959"/>
    <n v="0.5"/>
    <s v="cali_ckn_s"/>
    <n v="1"/>
    <x v="15"/>
    <x v="1"/>
    <x v="951"/>
    <n v="12.75"/>
    <n v="12.75"/>
    <x v="2"/>
    <x v="3"/>
    <s v="Chicken, Artichoke, Spinach, Garlic, Jalapeno Peppers, Fontina Cheese, Gouda Cheese"/>
    <x v="16"/>
  </r>
  <r>
    <n v="2157"/>
    <n v="959"/>
    <n v="0.5"/>
    <s v="spin_pesto_m"/>
    <n v="1"/>
    <x v="15"/>
    <x v="1"/>
    <x v="951"/>
    <n v="16.5"/>
    <n v="16.5"/>
    <x v="0"/>
    <x v="1"/>
    <s v="Spinach, Artichokes, Tomatoes, Sun-dried Tomatoes, Garlic, Pesto Sauce"/>
    <x v="13"/>
  </r>
  <r>
    <n v="2158"/>
    <n v="960"/>
    <n v="1"/>
    <s v="spicy_ital_l"/>
    <n v="2"/>
    <x v="15"/>
    <x v="1"/>
    <x v="952"/>
    <n v="20.75"/>
    <n v="41.5"/>
    <x v="1"/>
    <x v="2"/>
    <s v="Capocollo, Tomatoes, Goat Cheese, Artichokes, Peperoncini verdi, Garlic"/>
    <x v="12"/>
  </r>
  <r>
    <n v="2159"/>
    <n v="961"/>
    <n v="0.5"/>
    <s v="bbq_ckn_s"/>
    <n v="1"/>
    <x v="15"/>
    <x v="1"/>
    <x v="953"/>
    <n v="12.75"/>
    <n v="12.75"/>
    <x v="2"/>
    <x v="3"/>
    <s v="Barbecued Chicken, Red Peppers, Green Peppers, Tomatoes, Red Onions, Barbecue Sauce"/>
    <x v="7"/>
  </r>
  <r>
    <n v="2160"/>
    <n v="961"/>
    <n v="0.5"/>
    <s v="ital_cpcllo_l"/>
    <n v="1"/>
    <x v="15"/>
    <x v="1"/>
    <x v="953"/>
    <n v="20.5"/>
    <n v="20.5"/>
    <x v="1"/>
    <x v="0"/>
    <s v="Capocollo, Red Peppers, Tomatoes, Goat Cheese, Garlic, Oregano"/>
    <x v="11"/>
  </r>
  <r>
    <n v="2161"/>
    <n v="962"/>
    <n v="0.5"/>
    <s v="big_meat_s"/>
    <n v="1"/>
    <x v="15"/>
    <x v="1"/>
    <x v="954"/>
    <n v="12"/>
    <n v="12"/>
    <x v="2"/>
    <x v="0"/>
    <s v="Bacon, Pepperoni, Italian Sausage, Chorizo Sausage"/>
    <x v="19"/>
  </r>
  <r>
    <n v="2162"/>
    <n v="962"/>
    <n v="0.5"/>
    <s v="pep_msh_pep_l"/>
    <n v="1"/>
    <x v="15"/>
    <x v="1"/>
    <x v="954"/>
    <n v="17.5"/>
    <n v="17.5"/>
    <x v="1"/>
    <x v="0"/>
    <s v="Pepperoni, Mushrooms, Green Peppers"/>
    <x v="30"/>
  </r>
  <r>
    <n v="2163"/>
    <n v="963"/>
    <n v="0.33333333333333331"/>
    <s v="cali_ckn_m"/>
    <n v="2"/>
    <x v="15"/>
    <x v="1"/>
    <x v="955"/>
    <n v="16.75"/>
    <n v="33.5"/>
    <x v="0"/>
    <x v="3"/>
    <s v="Chicken, Artichoke, Spinach, Garlic, Jalapeno Peppers, Fontina Cheese, Gouda Cheese"/>
    <x v="16"/>
  </r>
  <r>
    <n v="2164"/>
    <n v="963"/>
    <n v="0.33333333333333331"/>
    <s v="ckn_pesto_l"/>
    <n v="1"/>
    <x v="15"/>
    <x v="1"/>
    <x v="955"/>
    <n v="20.75"/>
    <n v="20.75"/>
    <x v="1"/>
    <x v="3"/>
    <s v="Chicken, Tomatoes, Red Peppers, Spinach, Garlic, Pesto Sauce"/>
    <x v="18"/>
  </r>
  <r>
    <n v="2165"/>
    <n v="963"/>
    <n v="0.33333333333333331"/>
    <s v="sicilian_m"/>
    <n v="1"/>
    <x v="15"/>
    <x v="1"/>
    <x v="955"/>
    <n v="16.25"/>
    <n v="16.25"/>
    <x v="0"/>
    <x v="2"/>
    <s v="Coarse Sicilian Salami, Tomatoes, Green Olives, Luganega Sausage, Onions, Garlic"/>
    <x v="28"/>
  </r>
  <r>
    <n v="2166"/>
    <n v="964"/>
    <n v="0.5"/>
    <s v="big_meat_s"/>
    <n v="1"/>
    <x v="15"/>
    <x v="1"/>
    <x v="956"/>
    <n v="12"/>
    <n v="12"/>
    <x v="2"/>
    <x v="0"/>
    <s v="Bacon, Pepperoni, Italian Sausage, Chorizo Sausage"/>
    <x v="19"/>
  </r>
  <r>
    <n v="2167"/>
    <n v="964"/>
    <n v="0.5"/>
    <s v="four_cheese_m"/>
    <n v="1"/>
    <x v="15"/>
    <x v="1"/>
    <x v="956"/>
    <n v="14.75"/>
    <n v="14.75"/>
    <x v="0"/>
    <x v="1"/>
    <s v="Ricotta Cheese, Gorgonzola Piccante Cheese, Mozzarella Cheese, Parmigiano Reggiano Cheese, Garlic"/>
    <x v="21"/>
  </r>
  <r>
    <n v="2168"/>
    <n v="965"/>
    <n v="0.25"/>
    <s v="green_garden_s"/>
    <n v="1"/>
    <x v="15"/>
    <x v="1"/>
    <x v="957"/>
    <n v="12"/>
    <n v="12"/>
    <x v="2"/>
    <x v="1"/>
    <s v="Spinach, Mushrooms, Tomatoes, Green Olives, Feta Cheese"/>
    <x v="10"/>
  </r>
  <r>
    <n v="2169"/>
    <n v="965"/>
    <n v="0.25"/>
    <s v="spicy_ital_l"/>
    <n v="1"/>
    <x v="15"/>
    <x v="1"/>
    <x v="957"/>
    <n v="20.75"/>
    <n v="20.75"/>
    <x v="1"/>
    <x v="2"/>
    <s v="Capocollo, Tomatoes, Goat Cheese, Artichokes, Peperoncini verdi, Garlic"/>
    <x v="12"/>
  </r>
  <r>
    <n v="2170"/>
    <n v="965"/>
    <n v="0.25"/>
    <s v="spinach_fet_m"/>
    <n v="1"/>
    <x v="15"/>
    <x v="1"/>
    <x v="957"/>
    <n v="16"/>
    <n v="16"/>
    <x v="0"/>
    <x v="1"/>
    <s v="Spinach, Mushrooms, Red Onions, Feta Cheese, Garlic"/>
    <x v="27"/>
  </r>
  <r>
    <n v="2171"/>
    <n v="965"/>
    <n v="0.25"/>
    <s v="thai_ckn_m"/>
    <n v="1"/>
    <x v="15"/>
    <x v="1"/>
    <x v="957"/>
    <n v="16.75"/>
    <n v="16.75"/>
    <x v="0"/>
    <x v="3"/>
    <s v="Chicken, Pineapple, Tomatoes, Red Peppers, Thai Sweet Chilli Sauce"/>
    <x v="5"/>
  </r>
  <r>
    <n v="2172"/>
    <n v="966"/>
    <n v="0.5"/>
    <s v="sicilian_s"/>
    <n v="1"/>
    <x v="15"/>
    <x v="1"/>
    <x v="958"/>
    <n v="12.25"/>
    <n v="12.25"/>
    <x v="2"/>
    <x v="2"/>
    <s v="Coarse Sicilian Salami, Tomatoes, Green Olives, Luganega Sausage, Onions, Garlic"/>
    <x v="28"/>
  </r>
  <r>
    <n v="2173"/>
    <n v="966"/>
    <n v="0.5"/>
    <s v="spinach_fet_l"/>
    <n v="1"/>
    <x v="15"/>
    <x v="1"/>
    <x v="958"/>
    <n v="20.25"/>
    <n v="20.25"/>
    <x v="1"/>
    <x v="1"/>
    <s v="Spinach, Mushrooms, Red Onions, Feta Cheese, Garlic"/>
    <x v="27"/>
  </r>
  <r>
    <n v="2174"/>
    <n v="967"/>
    <n v="1"/>
    <s v="mediterraneo_m"/>
    <n v="1"/>
    <x v="15"/>
    <x v="1"/>
    <x v="959"/>
    <n v="16"/>
    <n v="16"/>
    <x v="0"/>
    <x v="1"/>
    <s v="Spinach, Artichokes, Kalamata Olives, Sun-dried Tomatoes, Feta Cheese, Plum Tomatoes, Red Onions"/>
    <x v="25"/>
  </r>
  <r>
    <n v="2175"/>
    <n v="968"/>
    <n v="0.5"/>
    <s v="hawaiian_s"/>
    <n v="1"/>
    <x v="15"/>
    <x v="1"/>
    <x v="960"/>
    <n v="10.5"/>
    <n v="10.5"/>
    <x v="2"/>
    <x v="0"/>
    <s v="Sliced Ham, Pineapple, Mozzarella Cheese"/>
    <x v="0"/>
  </r>
  <r>
    <n v="2176"/>
    <n v="968"/>
    <n v="0.5"/>
    <s v="ital_cpcllo_s"/>
    <n v="1"/>
    <x v="15"/>
    <x v="1"/>
    <x v="960"/>
    <n v="12"/>
    <n v="12"/>
    <x v="2"/>
    <x v="0"/>
    <s v="Capocollo, Red Peppers, Tomatoes, Goat Cheese, Garlic, Oregano"/>
    <x v="11"/>
  </r>
  <r>
    <n v="2177"/>
    <n v="969"/>
    <n v="1"/>
    <s v="mexicana_m"/>
    <n v="1"/>
    <x v="15"/>
    <x v="1"/>
    <x v="961"/>
    <n v="16"/>
    <n v="16"/>
    <x v="0"/>
    <x v="1"/>
    <s v="Tomatoes, Red Peppers, Jalapeno Peppers, Red Onions, Cilantro, Corn, Chipotle Sauce, Garlic"/>
    <x v="4"/>
  </r>
  <r>
    <n v="2178"/>
    <n v="970"/>
    <n v="0.5"/>
    <s v="classic_dlx_m"/>
    <n v="1"/>
    <x v="15"/>
    <x v="1"/>
    <x v="962"/>
    <n v="16"/>
    <n v="16"/>
    <x v="0"/>
    <x v="0"/>
    <s v="Pepperoni, Mushrooms, Red Onions, Red Peppers, Bacon"/>
    <x v="1"/>
  </r>
  <r>
    <n v="2179"/>
    <n v="970"/>
    <n v="0.5"/>
    <s v="spicy_ital_l"/>
    <n v="1"/>
    <x v="15"/>
    <x v="1"/>
    <x v="962"/>
    <n v="20.75"/>
    <n v="20.75"/>
    <x v="1"/>
    <x v="2"/>
    <s v="Capocollo, Tomatoes, Goat Cheese, Artichokes, Peperoncini verdi, Garlic"/>
    <x v="12"/>
  </r>
  <r>
    <n v="2180"/>
    <n v="971"/>
    <n v="0.25"/>
    <s v="ckn_alfredo_m"/>
    <n v="1"/>
    <x v="15"/>
    <x v="1"/>
    <x v="963"/>
    <n v="16.75"/>
    <n v="16.75"/>
    <x v="0"/>
    <x v="3"/>
    <s v="Chicken, Red Onions, Red Peppers, Mushrooms, Asiago Cheese, Alfredo Sauce"/>
    <x v="29"/>
  </r>
  <r>
    <n v="2181"/>
    <n v="971"/>
    <n v="0.25"/>
    <s v="classic_dlx_m"/>
    <n v="1"/>
    <x v="15"/>
    <x v="1"/>
    <x v="963"/>
    <n v="16"/>
    <n v="16"/>
    <x v="0"/>
    <x v="0"/>
    <s v="Pepperoni, Mushrooms, Red Onions, Red Peppers, Bacon"/>
    <x v="1"/>
  </r>
  <r>
    <n v="2182"/>
    <n v="971"/>
    <n v="0.25"/>
    <s v="ital_supr_l"/>
    <n v="1"/>
    <x v="15"/>
    <x v="1"/>
    <x v="963"/>
    <n v="20.75"/>
    <n v="20.75"/>
    <x v="1"/>
    <x v="2"/>
    <s v="Calabrese Salami, Capocollo, Tomatoes, Red Onions, Green Olives, Garlic"/>
    <x v="3"/>
  </r>
  <r>
    <n v="2183"/>
    <n v="971"/>
    <n v="0.25"/>
    <s v="sicilian_l"/>
    <n v="1"/>
    <x v="15"/>
    <x v="1"/>
    <x v="963"/>
    <n v="20.25"/>
    <n v="20.25"/>
    <x v="1"/>
    <x v="2"/>
    <s v="Coarse Sicilian Salami, Tomatoes, Green Olives, Luganega Sausage, Onions, Garlic"/>
    <x v="28"/>
  </r>
  <r>
    <n v="2184"/>
    <n v="972"/>
    <n v="0.5"/>
    <s v="pepperoni_l"/>
    <n v="1"/>
    <x v="15"/>
    <x v="1"/>
    <x v="964"/>
    <n v="15.25"/>
    <n v="15.25"/>
    <x v="1"/>
    <x v="0"/>
    <s v="Mozzarella Cheese, Pepperoni"/>
    <x v="17"/>
  </r>
  <r>
    <n v="2185"/>
    <n v="972"/>
    <n v="0.5"/>
    <s v="pepperoni_s"/>
    <n v="1"/>
    <x v="15"/>
    <x v="1"/>
    <x v="964"/>
    <n v="9.75"/>
    <n v="9.75"/>
    <x v="2"/>
    <x v="0"/>
    <s v="Mozzarella Cheese, Pepperoni"/>
    <x v="17"/>
  </r>
  <r>
    <n v="2186"/>
    <n v="973"/>
    <n v="1"/>
    <s v="mexicana_l"/>
    <n v="1"/>
    <x v="15"/>
    <x v="1"/>
    <x v="965"/>
    <n v="20.25"/>
    <n v="20.25"/>
    <x v="1"/>
    <x v="1"/>
    <s v="Tomatoes, Red Peppers, Jalapeno Peppers, Red Onions, Cilantro, Corn, Chipotle Sauce, Garlic"/>
    <x v="4"/>
  </r>
  <r>
    <n v="2187"/>
    <n v="974"/>
    <n v="1"/>
    <s v="classic_dlx_s"/>
    <n v="1"/>
    <x v="15"/>
    <x v="1"/>
    <x v="966"/>
    <n v="12"/>
    <n v="12"/>
    <x v="2"/>
    <x v="0"/>
    <s v="Pepperoni, Mushrooms, Red Onions, Red Peppers, Bacon"/>
    <x v="1"/>
  </r>
  <r>
    <n v="2188"/>
    <n v="975"/>
    <n v="0.5"/>
    <s v="green_garden_m"/>
    <n v="1"/>
    <x v="15"/>
    <x v="1"/>
    <x v="967"/>
    <n v="16"/>
    <n v="16"/>
    <x v="0"/>
    <x v="1"/>
    <s v="Spinach, Mushrooms, Tomatoes, Green Olives, Feta Cheese"/>
    <x v="10"/>
  </r>
  <r>
    <n v="2189"/>
    <n v="975"/>
    <n v="0.5"/>
    <s v="mediterraneo_l"/>
    <n v="1"/>
    <x v="15"/>
    <x v="1"/>
    <x v="967"/>
    <n v="20.25"/>
    <n v="20.25"/>
    <x v="1"/>
    <x v="1"/>
    <s v="Spinach, Artichokes, Kalamata Olives, Sun-dried Tomatoes, Feta Cheese, Plum Tomatoes, Red Onions"/>
    <x v="25"/>
  </r>
  <r>
    <n v="2190"/>
    <n v="976"/>
    <n v="1"/>
    <s v="pepperoni_l"/>
    <n v="1"/>
    <x v="16"/>
    <x v="2"/>
    <x v="968"/>
    <n v="15.25"/>
    <n v="15.25"/>
    <x v="1"/>
    <x v="0"/>
    <s v="Mozzarella Cheese, Pepperoni"/>
    <x v="17"/>
  </r>
  <r>
    <n v="2191"/>
    <n v="977"/>
    <n v="0.5"/>
    <s v="pep_msh_pep_m"/>
    <n v="1"/>
    <x v="16"/>
    <x v="2"/>
    <x v="969"/>
    <n v="14.5"/>
    <n v="14.5"/>
    <x v="0"/>
    <x v="0"/>
    <s v="Pepperoni, Mushrooms, Green Peppers"/>
    <x v="30"/>
  </r>
  <r>
    <n v="2192"/>
    <n v="977"/>
    <n v="0.5"/>
    <s v="thai_ckn_l"/>
    <n v="1"/>
    <x v="16"/>
    <x v="2"/>
    <x v="969"/>
    <n v="20.75"/>
    <n v="20.75"/>
    <x v="1"/>
    <x v="3"/>
    <s v="Chicken, Pineapple, Tomatoes, Red Peppers, Thai Sweet Chilli Sauce"/>
    <x v="5"/>
  </r>
  <r>
    <n v="2193"/>
    <n v="978"/>
    <n v="9.0909090909090912E-2"/>
    <s v="bbq_ckn_s"/>
    <n v="1"/>
    <x v="16"/>
    <x v="2"/>
    <x v="970"/>
    <n v="12.75"/>
    <n v="12.75"/>
    <x v="2"/>
    <x v="3"/>
    <s v="Barbecued Chicken, Red Peppers, Green Peppers, Tomatoes, Red Onions, Barbecue Sauce"/>
    <x v="7"/>
  </r>
  <r>
    <n v="2194"/>
    <n v="978"/>
    <n v="9.0909090909090912E-2"/>
    <s v="big_meat_s"/>
    <n v="1"/>
    <x v="16"/>
    <x v="2"/>
    <x v="970"/>
    <n v="12"/>
    <n v="12"/>
    <x v="2"/>
    <x v="0"/>
    <s v="Bacon, Pepperoni, Italian Sausage, Chorizo Sausage"/>
    <x v="19"/>
  </r>
  <r>
    <n v="2195"/>
    <n v="978"/>
    <n v="9.0909090909090912E-2"/>
    <s v="brie_carre_s"/>
    <n v="2"/>
    <x v="16"/>
    <x v="2"/>
    <x v="970"/>
    <n v="23.65"/>
    <n v="47.3"/>
    <x v="2"/>
    <x v="2"/>
    <s v="Brie Carre Cheese, Prosciutto, Caramelized Onions, Pears, Thyme, Garlic"/>
    <x v="31"/>
  </r>
  <r>
    <n v="2196"/>
    <n v="978"/>
    <n v="9.0909090909090912E-2"/>
    <s v="hawaiian_l"/>
    <n v="1"/>
    <x v="16"/>
    <x v="2"/>
    <x v="970"/>
    <n v="16.5"/>
    <n v="16.5"/>
    <x v="1"/>
    <x v="0"/>
    <s v="Sliced Ham, Pineapple, Mozzarella Cheese"/>
    <x v="0"/>
  </r>
  <r>
    <n v="2197"/>
    <n v="978"/>
    <n v="9.0909090909090912E-2"/>
    <s v="hawaiian_s"/>
    <n v="1"/>
    <x v="16"/>
    <x v="2"/>
    <x v="970"/>
    <n v="10.5"/>
    <n v="10.5"/>
    <x v="2"/>
    <x v="0"/>
    <s v="Sliced Ham, Pineapple, Mozzarella Cheese"/>
    <x v="0"/>
  </r>
  <r>
    <n v="2198"/>
    <n v="978"/>
    <n v="9.0909090909090912E-2"/>
    <s v="ital_supr_l"/>
    <n v="1"/>
    <x v="16"/>
    <x v="2"/>
    <x v="970"/>
    <n v="20.75"/>
    <n v="20.75"/>
    <x v="1"/>
    <x v="2"/>
    <s v="Calabrese Salami, Capocollo, Tomatoes, Red Onions, Green Olives, Garlic"/>
    <x v="3"/>
  </r>
  <r>
    <n v="2199"/>
    <n v="978"/>
    <n v="9.0909090909090912E-2"/>
    <s v="ital_supr_m"/>
    <n v="1"/>
    <x v="16"/>
    <x v="2"/>
    <x v="970"/>
    <n v="16.5"/>
    <n v="16.5"/>
    <x v="0"/>
    <x v="2"/>
    <s v="Calabrese Salami, Capocollo, Tomatoes, Red Onions, Green Olives, Garlic"/>
    <x v="3"/>
  </r>
  <r>
    <n v="2200"/>
    <n v="978"/>
    <n v="9.0909090909090912E-2"/>
    <s v="mediterraneo_l"/>
    <n v="1"/>
    <x v="16"/>
    <x v="2"/>
    <x v="970"/>
    <n v="20.25"/>
    <n v="20.25"/>
    <x v="1"/>
    <x v="1"/>
    <s v="Spinach, Artichokes, Kalamata Olives, Sun-dried Tomatoes, Feta Cheese, Plum Tomatoes, Red Onions"/>
    <x v="25"/>
  </r>
  <r>
    <n v="2201"/>
    <n v="978"/>
    <n v="9.0909090909090912E-2"/>
    <s v="peppr_salami_l"/>
    <n v="1"/>
    <x v="16"/>
    <x v="2"/>
    <x v="970"/>
    <n v="20.75"/>
    <n v="20.75"/>
    <x v="1"/>
    <x v="2"/>
    <s v="Genoa Salami, Capocollo, Pepperoni, Tomatoes, Asiago Cheese, Garlic"/>
    <x v="26"/>
  </r>
  <r>
    <n v="2202"/>
    <n v="978"/>
    <n v="9.0909090909090912E-2"/>
    <s v="spicy_ital_s"/>
    <n v="1"/>
    <x v="16"/>
    <x v="2"/>
    <x v="970"/>
    <n v="12.5"/>
    <n v="12.5"/>
    <x v="2"/>
    <x v="2"/>
    <s v="Capocollo, Tomatoes, Goat Cheese, Artichokes, Peperoncini verdi, Garlic"/>
    <x v="12"/>
  </r>
  <r>
    <n v="2203"/>
    <n v="978"/>
    <n v="9.0909090909090912E-2"/>
    <s v="thai_ckn_m"/>
    <n v="1"/>
    <x v="16"/>
    <x v="2"/>
    <x v="970"/>
    <n v="16.75"/>
    <n v="16.75"/>
    <x v="0"/>
    <x v="3"/>
    <s v="Chicken, Pineapple, Tomatoes, Red Peppers, Thai Sweet Chilli Sauce"/>
    <x v="5"/>
  </r>
  <r>
    <n v="2204"/>
    <n v="979"/>
    <n v="1"/>
    <s v="spin_pesto_m"/>
    <n v="1"/>
    <x v="16"/>
    <x v="2"/>
    <x v="971"/>
    <n v="16.5"/>
    <n v="16.5"/>
    <x v="0"/>
    <x v="1"/>
    <s v="Spinach, Artichokes, Tomatoes, Sun-dried Tomatoes, Garlic, Pesto Sauce"/>
    <x v="13"/>
  </r>
  <r>
    <n v="2205"/>
    <n v="980"/>
    <n v="0.16666666666666666"/>
    <s v="cali_ckn_l"/>
    <n v="1"/>
    <x v="16"/>
    <x v="2"/>
    <x v="972"/>
    <n v="20.75"/>
    <n v="20.75"/>
    <x v="1"/>
    <x v="3"/>
    <s v="Chicken, Artichoke, Spinach, Garlic, Jalapeno Peppers, Fontina Cheese, Gouda Cheese"/>
    <x v="16"/>
  </r>
  <r>
    <n v="2206"/>
    <n v="980"/>
    <n v="0.16666666666666666"/>
    <s v="napolitana_s"/>
    <n v="1"/>
    <x v="16"/>
    <x v="2"/>
    <x v="972"/>
    <n v="12"/>
    <n v="12"/>
    <x v="2"/>
    <x v="0"/>
    <s v="Tomatoes, Anchovies, Green Olives, Red Onions, Garlic"/>
    <x v="22"/>
  </r>
  <r>
    <n v="2207"/>
    <n v="980"/>
    <n v="0.16666666666666666"/>
    <s v="sicilian_l"/>
    <n v="1"/>
    <x v="16"/>
    <x v="2"/>
    <x v="972"/>
    <n v="20.25"/>
    <n v="20.25"/>
    <x v="1"/>
    <x v="2"/>
    <s v="Coarse Sicilian Salami, Tomatoes, Green Olives, Luganega Sausage, Onions, Garlic"/>
    <x v="28"/>
  </r>
  <r>
    <n v="2208"/>
    <n v="980"/>
    <n v="0.16666666666666666"/>
    <s v="spinach_supr_s"/>
    <n v="1"/>
    <x v="16"/>
    <x v="2"/>
    <x v="972"/>
    <n v="12.5"/>
    <n v="12.5"/>
    <x v="2"/>
    <x v="2"/>
    <s v="Spinach, Red Onions, Pepperoni, Tomatoes, Artichokes, Kalamata Olives, Garlic, Asiago Cheese"/>
    <x v="9"/>
  </r>
  <r>
    <n v="2209"/>
    <n v="980"/>
    <n v="0.16666666666666666"/>
    <s v="thai_ckn_l"/>
    <n v="1"/>
    <x v="16"/>
    <x v="2"/>
    <x v="972"/>
    <n v="20.75"/>
    <n v="20.75"/>
    <x v="1"/>
    <x v="3"/>
    <s v="Chicken, Pineapple, Tomatoes, Red Peppers, Thai Sweet Chilli Sauce"/>
    <x v="5"/>
  </r>
  <r>
    <n v="2210"/>
    <n v="980"/>
    <n v="0.16666666666666666"/>
    <s v="thai_ckn_m"/>
    <n v="1"/>
    <x v="16"/>
    <x v="2"/>
    <x v="972"/>
    <n v="16.75"/>
    <n v="16.75"/>
    <x v="0"/>
    <x v="3"/>
    <s v="Chicken, Pineapple, Tomatoes, Red Peppers, Thai Sweet Chilli Sauce"/>
    <x v="5"/>
  </r>
  <r>
    <n v="2211"/>
    <n v="981"/>
    <n v="1"/>
    <s v="bbq_ckn_l"/>
    <n v="1"/>
    <x v="16"/>
    <x v="2"/>
    <x v="973"/>
    <n v="20.75"/>
    <n v="20.75"/>
    <x v="1"/>
    <x v="3"/>
    <s v="Barbecued Chicken, Red Peppers, Green Peppers, Tomatoes, Red Onions, Barbecue Sauce"/>
    <x v="7"/>
  </r>
  <r>
    <n v="2212"/>
    <n v="982"/>
    <n v="0.25"/>
    <s v="four_cheese_l"/>
    <n v="1"/>
    <x v="16"/>
    <x v="2"/>
    <x v="974"/>
    <n v="17.95"/>
    <n v="17.95"/>
    <x v="1"/>
    <x v="1"/>
    <s v="Ricotta Cheese, Gorgonzola Piccante Cheese, Mozzarella Cheese, Parmigiano Reggiano Cheese, Garlic"/>
    <x v="21"/>
  </r>
  <r>
    <n v="2213"/>
    <n v="982"/>
    <n v="0.25"/>
    <s v="hawaiian_l"/>
    <n v="1"/>
    <x v="16"/>
    <x v="2"/>
    <x v="974"/>
    <n v="16.5"/>
    <n v="16.5"/>
    <x v="1"/>
    <x v="0"/>
    <s v="Sliced Ham, Pineapple, Mozzarella Cheese"/>
    <x v="0"/>
  </r>
  <r>
    <n v="2214"/>
    <n v="982"/>
    <n v="0.25"/>
    <s v="pepperoni_l"/>
    <n v="1"/>
    <x v="16"/>
    <x v="2"/>
    <x v="974"/>
    <n v="15.25"/>
    <n v="15.25"/>
    <x v="1"/>
    <x v="0"/>
    <s v="Mozzarella Cheese, Pepperoni"/>
    <x v="17"/>
  </r>
  <r>
    <n v="2215"/>
    <n v="982"/>
    <n v="0.25"/>
    <s v="southw_ckn_l"/>
    <n v="1"/>
    <x v="16"/>
    <x v="2"/>
    <x v="974"/>
    <n v="20.75"/>
    <n v="20.75"/>
    <x v="1"/>
    <x v="3"/>
    <s v="Chicken, Tomatoes, Red Peppers, Red Onions, Jalapeno Peppers, Corn, Cilantro, Chipotle Sauce"/>
    <x v="15"/>
  </r>
  <r>
    <n v="2216"/>
    <n v="983"/>
    <n v="1"/>
    <s v="big_meat_s"/>
    <n v="1"/>
    <x v="16"/>
    <x v="2"/>
    <x v="975"/>
    <n v="12"/>
    <n v="12"/>
    <x v="2"/>
    <x v="0"/>
    <s v="Bacon, Pepperoni, Italian Sausage, Chorizo Sausage"/>
    <x v="19"/>
  </r>
  <r>
    <n v="2217"/>
    <n v="984"/>
    <n v="1"/>
    <s v="ital_cpcllo_s"/>
    <n v="1"/>
    <x v="16"/>
    <x v="2"/>
    <x v="976"/>
    <n v="12"/>
    <n v="12"/>
    <x v="2"/>
    <x v="0"/>
    <s v="Capocollo, Red Peppers, Tomatoes, Goat Cheese, Garlic, Oregano"/>
    <x v="11"/>
  </r>
  <r>
    <n v="2218"/>
    <n v="985"/>
    <n v="0.33333333333333331"/>
    <s v="hawaiian_m"/>
    <n v="1"/>
    <x v="16"/>
    <x v="2"/>
    <x v="977"/>
    <n v="13.25"/>
    <n v="13.25"/>
    <x v="0"/>
    <x v="0"/>
    <s v="Sliced Ham, Pineapple, Mozzarella Cheese"/>
    <x v="0"/>
  </r>
  <r>
    <n v="2219"/>
    <n v="985"/>
    <n v="0.33333333333333331"/>
    <s v="ital_veggie_m"/>
    <n v="1"/>
    <x v="16"/>
    <x v="2"/>
    <x v="977"/>
    <n v="16.75"/>
    <n v="16.75"/>
    <x v="0"/>
    <x v="1"/>
    <s v="Eggplant, Artichokes, Tomatoes, Zucchini, Red Peppers, Garlic, Pesto Sauce"/>
    <x v="24"/>
  </r>
  <r>
    <n v="2220"/>
    <n v="985"/>
    <n v="0.33333333333333331"/>
    <s v="soppressata_s"/>
    <n v="1"/>
    <x v="16"/>
    <x v="2"/>
    <x v="977"/>
    <n v="12.5"/>
    <n v="12.5"/>
    <x v="2"/>
    <x v="2"/>
    <s v="Soppressata Salami, Fontina Cheese, Mozzarella Cheese, Mushrooms, Garlic"/>
    <x v="20"/>
  </r>
  <r>
    <n v="2221"/>
    <n v="986"/>
    <n v="1"/>
    <s v="veggie_veg_m"/>
    <n v="1"/>
    <x v="16"/>
    <x v="2"/>
    <x v="978"/>
    <n v="16"/>
    <n v="16"/>
    <x v="0"/>
    <x v="1"/>
    <s v="Mushrooms, Tomatoes, Red Peppers, Green Peppers, Red Onions, Zucchini, Spinach, Garlic"/>
    <x v="14"/>
  </r>
  <r>
    <n v="2222"/>
    <n v="987"/>
    <n v="0.33333333333333331"/>
    <s v="bbq_ckn_l"/>
    <n v="1"/>
    <x v="16"/>
    <x v="2"/>
    <x v="979"/>
    <n v="20.75"/>
    <n v="20.75"/>
    <x v="1"/>
    <x v="3"/>
    <s v="Barbecued Chicken, Red Peppers, Green Peppers, Tomatoes, Red Onions, Barbecue Sauce"/>
    <x v="7"/>
  </r>
  <r>
    <n v="2223"/>
    <n v="987"/>
    <n v="0.33333333333333331"/>
    <s v="calabrese_l"/>
    <n v="1"/>
    <x v="16"/>
    <x v="2"/>
    <x v="979"/>
    <n v="20.25"/>
    <n v="20.25"/>
    <x v="1"/>
    <x v="2"/>
    <s v="?duja Salami, Pancetta, Tomatoes, Red Onions, Friggitello Peppers, Garlic"/>
    <x v="23"/>
  </r>
  <r>
    <n v="2224"/>
    <n v="987"/>
    <n v="0.33333333333333331"/>
    <s v="prsc_argla_s"/>
    <n v="1"/>
    <x v="16"/>
    <x v="2"/>
    <x v="979"/>
    <n v="12.5"/>
    <n v="12.5"/>
    <x v="2"/>
    <x v="2"/>
    <s v="Prosciutto di San Daniele, Arugula, Mozzarella Cheese"/>
    <x v="6"/>
  </r>
  <r>
    <n v="2225"/>
    <n v="988"/>
    <n v="1"/>
    <s v="ital_veggie_l"/>
    <n v="1"/>
    <x v="16"/>
    <x v="2"/>
    <x v="980"/>
    <n v="21"/>
    <n v="21"/>
    <x v="1"/>
    <x v="1"/>
    <s v="Eggplant, Artichokes, Tomatoes, Zucchini, Red Peppers, Garlic, Pesto Sauce"/>
    <x v="24"/>
  </r>
  <r>
    <n v="2226"/>
    <n v="989"/>
    <n v="1"/>
    <s v="hawaiian_s"/>
    <n v="1"/>
    <x v="16"/>
    <x v="2"/>
    <x v="981"/>
    <n v="10.5"/>
    <n v="10.5"/>
    <x v="2"/>
    <x v="0"/>
    <s v="Sliced Ham, Pineapple, Mozzarella Cheese"/>
    <x v="0"/>
  </r>
  <r>
    <n v="2227"/>
    <n v="990"/>
    <n v="1"/>
    <s v="pepperoni_s"/>
    <n v="1"/>
    <x v="16"/>
    <x v="2"/>
    <x v="464"/>
    <n v="9.75"/>
    <n v="9.75"/>
    <x v="2"/>
    <x v="0"/>
    <s v="Mozzarella Cheese, Pepperoni"/>
    <x v="17"/>
  </r>
  <r>
    <n v="2228"/>
    <n v="991"/>
    <n v="0.5"/>
    <s v="big_meat_s"/>
    <n v="1"/>
    <x v="16"/>
    <x v="2"/>
    <x v="982"/>
    <n v="12"/>
    <n v="12"/>
    <x v="2"/>
    <x v="0"/>
    <s v="Bacon, Pepperoni, Italian Sausage, Chorizo Sausage"/>
    <x v="19"/>
  </r>
  <r>
    <n v="2229"/>
    <n v="991"/>
    <n v="0.5"/>
    <s v="soppressata_s"/>
    <n v="1"/>
    <x v="16"/>
    <x v="2"/>
    <x v="982"/>
    <n v="12.5"/>
    <n v="12.5"/>
    <x v="2"/>
    <x v="2"/>
    <s v="Soppressata Salami, Fontina Cheese, Mozzarella Cheese, Mushrooms, Garlic"/>
    <x v="20"/>
  </r>
  <r>
    <n v="2230"/>
    <n v="992"/>
    <n v="1"/>
    <s v="ital_supr_m"/>
    <n v="1"/>
    <x v="16"/>
    <x v="2"/>
    <x v="983"/>
    <n v="16.5"/>
    <n v="16.5"/>
    <x v="0"/>
    <x v="2"/>
    <s v="Calabrese Salami, Capocollo, Tomatoes, Red Onions, Green Olives, Garlic"/>
    <x v="3"/>
  </r>
  <r>
    <n v="2231"/>
    <n v="993"/>
    <n v="1"/>
    <s v="bbq_ckn_m"/>
    <n v="1"/>
    <x v="16"/>
    <x v="2"/>
    <x v="984"/>
    <n v="16.75"/>
    <n v="16.75"/>
    <x v="0"/>
    <x v="3"/>
    <s v="Barbecued Chicken, Red Peppers, Green Peppers, Tomatoes, Red Onions, Barbecue Sauce"/>
    <x v="7"/>
  </r>
  <r>
    <n v="2232"/>
    <n v="994"/>
    <n v="0.25"/>
    <s v="cali_ckn_m"/>
    <n v="1"/>
    <x v="16"/>
    <x v="2"/>
    <x v="985"/>
    <n v="16.75"/>
    <n v="16.75"/>
    <x v="0"/>
    <x v="3"/>
    <s v="Chicken, Artichoke, Spinach, Garlic, Jalapeno Peppers, Fontina Cheese, Gouda Cheese"/>
    <x v="16"/>
  </r>
  <r>
    <n v="2233"/>
    <n v="994"/>
    <n v="0.25"/>
    <s v="hawaiian_s"/>
    <n v="1"/>
    <x v="16"/>
    <x v="2"/>
    <x v="985"/>
    <n v="10.5"/>
    <n v="10.5"/>
    <x v="2"/>
    <x v="0"/>
    <s v="Sliced Ham, Pineapple, Mozzarella Cheese"/>
    <x v="0"/>
  </r>
  <r>
    <n v="2234"/>
    <n v="994"/>
    <n v="0.25"/>
    <s v="thai_ckn_l"/>
    <n v="1"/>
    <x v="16"/>
    <x v="2"/>
    <x v="985"/>
    <n v="20.75"/>
    <n v="20.75"/>
    <x v="1"/>
    <x v="3"/>
    <s v="Chicken, Pineapple, Tomatoes, Red Peppers, Thai Sweet Chilli Sauce"/>
    <x v="5"/>
  </r>
  <r>
    <n v="2235"/>
    <n v="994"/>
    <n v="0.25"/>
    <s v="thai_ckn_s"/>
    <n v="1"/>
    <x v="16"/>
    <x v="2"/>
    <x v="985"/>
    <n v="12.75"/>
    <n v="12.75"/>
    <x v="2"/>
    <x v="3"/>
    <s v="Chicken, Pineapple, Tomatoes, Red Peppers, Thai Sweet Chilli Sauce"/>
    <x v="5"/>
  </r>
  <r>
    <n v="2236"/>
    <n v="995"/>
    <n v="1"/>
    <s v="cali_ckn_l"/>
    <n v="1"/>
    <x v="16"/>
    <x v="2"/>
    <x v="986"/>
    <n v="20.75"/>
    <n v="20.75"/>
    <x v="1"/>
    <x v="3"/>
    <s v="Chicken, Artichoke, Spinach, Garlic, Jalapeno Peppers, Fontina Cheese, Gouda Cheese"/>
    <x v="16"/>
  </r>
  <r>
    <n v="2237"/>
    <n v="996"/>
    <n v="0.25"/>
    <s v="ital_cpcllo_m"/>
    <n v="1"/>
    <x v="16"/>
    <x v="2"/>
    <x v="987"/>
    <n v="16"/>
    <n v="16"/>
    <x v="0"/>
    <x v="0"/>
    <s v="Capocollo, Red Peppers, Tomatoes, Goat Cheese, Garlic, Oregano"/>
    <x v="11"/>
  </r>
  <r>
    <n v="2238"/>
    <n v="996"/>
    <n v="0.25"/>
    <s v="ital_cpcllo_s"/>
    <n v="1"/>
    <x v="16"/>
    <x v="2"/>
    <x v="987"/>
    <n v="12"/>
    <n v="12"/>
    <x v="2"/>
    <x v="0"/>
    <s v="Capocollo, Red Peppers, Tomatoes, Goat Cheese, Garlic, Oregano"/>
    <x v="11"/>
  </r>
  <r>
    <n v="2239"/>
    <n v="996"/>
    <n v="0.25"/>
    <s v="napolitana_l"/>
    <n v="1"/>
    <x v="16"/>
    <x v="2"/>
    <x v="987"/>
    <n v="20.5"/>
    <n v="20.5"/>
    <x v="1"/>
    <x v="0"/>
    <s v="Tomatoes, Anchovies, Green Olives, Red Onions, Garlic"/>
    <x v="22"/>
  </r>
  <r>
    <n v="2240"/>
    <n v="996"/>
    <n v="0.25"/>
    <s v="spin_pesto_s"/>
    <n v="1"/>
    <x v="16"/>
    <x v="2"/>
    <x v="987"/>
    <n v="12.5"/>
    <n v="12.5"/>
    <x v="2"/>
    <x v="1"/>
    <s v="Spinach, Artichokes, Tomatoes, Sun-dried Tomatoes, Garlic, Pesto Sauce"/>
    <x v="13"/>
  </r>
  <r>
    <n v="2241"/>
    <n v="997"/>
    <n v="1"/>
    <s v="mexicana_m"/>
    <n v="1"/>
    <x v="16"/>
    <x v="2"/>
    <x v="988"/>
    <n v="16"/>
    <n v="16"/>
    <x v="0"/>
    <x v="1"/>
    <s v="Tomatoes, Red Peppers, Jalapeno Peppers, Red Onions, Cilantro, Corn, Chipotle Sauce, Garlic"/>
    <x v="4"/>
  </r>
  <r>
    <n v="2242"/>
    <n v="998"/>
    <n v="1"/>
    <s v="ital_cpcllo_l"/>
    <n v="1"/>
    <x v="16"/>
    <x v="2"/>
    <x v="989"/>
    <n v="20.5"/>
    <n v="20.5"/>
    <x v="1"/>
    <x v="0"/>
    <s v="Capocollo, Red Peppers, Tomatoes, Goat Cheese, Garlic, Oregano"/>
    <x v="11"/>
  </r>
  <r>
    <n v="2243"/>
    <n v="999"/>
    <n v="1"/>
    <s v="southw_ckn_m"/>
    <n v="1"/>
    <x v="16"/>
    <x v="2"/>
    <x v="990"/>
    <n v="16.75"/>
    <n v="16.75"/>
    <x v="0"/>
    <x v="3"/>
    <s v="Chicken, Tomatoes, Red Peppers, Red Onions, Jalapeno Peppers, Corn, Cilantro, Chipotle Sauce"/>
    <x v="15"/>
  </r>
  <r>
    <n v="2244"/>
    <n v="1000"/>
    <n v="0.5"/>
    <s v="brie_carre_s"/>
    <n v="1"/>
    <x v="16"/>
    <x v="2"/>
    <x v="991"/>
    <n v="23.65"/>
    <n v="23.65"/>
    <x v="2"/>
    <x v="2"/>
    <s v="Brie Carre Cheese, Prosciutto, Caramelized Onions, Pears, Thyme, Garlic"/>
    <x v="31"/>
  </r>
  <r>
    <n v="2245"/>
    <n v="1000"/>
    <n v="0.5"/>
    <s v="mediterraneo_l"/>
    <n v="1"/>
    <x v="16"/>
    <x v="2"/>
    <x v="991"/>
    <n v="20.25"/>
    <n v="20.25"/>
    <x v="1"/>
    <x v="1"/>
    <s v="Spinach, Artichokes, Kalamata Olives, Sun-dried Tomatoes, Feta Cheese, Plum Tomatoes, Red Onions"/>
    <x v="25"/>
  </r>
  <r>
    <n v="2246"/>
    <n v="1001"/>
    <n v="0.33333333333333331"/>
    <s v="big_meat_s"/>
    <n v="2"/>
    <x v="16"/>
    <x v="2"/>
    <x v="992"/>
    <n v="12"/>
    <n v="24"/>
    <x v="2"/>
    <x v="0"/>
    <s v="Bacon, Pepperoni, Italian Sausage, Chorizo Sausage"/>
    <x v="19"/>
  </r>
  <r>
    <n v="2247"/>
    <n v="1001"/>
    <n v="0.33333333333333331"/>
    <s v="pepperoni_l"/>
    <n v="1"/>
    <x v="16"/>
    <x v="2"/>
    <x v="992"/>
    <n v="15.25"/>
    <n v="15.25"/>
    <x v="1"/>
    <x v="0"/>
    <s v="Mozzarella Cheese, Pepperoni"/>
    <x v="17"/>
  </r>
  <r>
    <n v="2248"/>
    <n v="1001"/>
    <n v="0.33333333333333331"/>
    <s v="spicy_ital_l"/>
    <n v="1"/>
    <x v="16"/>
    <x v="2"/>
    <x v="992"/>
    <n v="20.75"/>
    <n v="20.75"/>
    <x v="1"/>
    <x v="2"/>
    <s v="Capocollo, Tomatoes, Goat Cheese, Artichokes, Peperoncini verdi, Garlic"/>
    <x v="12"/>
  </r>
  <r>
    <n v="2249"/>
    <n v="1002"/>
    <n v="0.5"/>
    <s v="bbq_ckn_m"/>
    <n v="1"/>
    <x v="16"/>
    <x v="2"/>
    <x v="993"/>
    <n v="16.75"/>
    <n v="16.75"/>
    <x v="0"/>
    <x v="3"/>
    <s v="Barbecued Chicken, Red Peppers, Green Peppers, Tomatoes, Red Onions, Barbecue Sauce"/>
    <x v="7"/>
  </r>
  <r>
    <n v="2250"/>
    <n v="1002"/>
    <n v="0.5"/>
    <s v="ckn_pesto_m"/>
    <n v="1"/>
    <x v="16"/>
    <x v="2"/>
    <x v="993"/>
    <n v="16.75"/>
    <n v="16.75"/>
    <x v="0"/>
    <x v="3"/>
    <s v="Chicken, Tomatoes, Red Peppers, Spinach, Garlic, Pesto Sauce"/>
    <x v="18"/>
  </r>
  <r>
    <n v="2251"/>
    <n v="1003"/>
    <n v="0.33333333333333331"/>
    <s v="cali_ckn_l"/>
    <n v="1"/>
    <x v="16"/>
    <x v="2"/>
    <x v="994"/>
    <n v="20.75"/>
    <n v="20.75"/>
    <x v="1"/>
    <x v="3"/>
    <s v="Chicken, Artichoke, Spinach, Garlic, Jalapeno Peppers, Fontina Cheese, Gouda Cheese"/>
    <x v="16"/>
  </r>
  <r>
    <n v="2252"/>
    <n v="1003"/>
    <n v="0.33333333333333331"/>
    <s v="cali_ckn_m"/>
    <n v="1"/>
    <x v="16"/>
    <x v="2"/>
    <x v="994"/>
    <n v="16.75"/>
    <n v="16.75"/>
    <x v="0"/>
    <x v="3"/>
    <s v="Chicken, Artichoke, Spinach, Garlic, Jalapeno Peppers, Fontina Cheese, Gouda Cheese"/>
    <x v="16"/>
  </r>
  <r>
    <n v="2253"/>
    <n v="1003"/>
    <n v="0.33333333333333331"/>
    <s v="pepperoni_s"/>
    <n v="1"/>
    <x v="16"/>
    <x v="2"/>
    <x v="994"/>
    <n v="9.75"/>
    <n v="9.75"/>
    <x v="2"/>
    <x v="0"/>
    <s v="Mozzarella Cheese, Pepperoni"/>
    <x v="17"/>
  </r>
  <r>
    <n v="2254"/>
    <n v="1004"/>
    <n v="1"/>
    <s v="the_greek_xl"/>
    <n v="1"/>
    <x v="16"/>
    <x v="2"/>
    <x v="995"/>
    <n v="25.5"/>
    <n v="25.5"/>
    <x v="3"/>
    <x v="0"/>
    <s v="Kalamata Olives, Feta Cheese, Tomatoes, Garlic, Beef Chuck Roast, Red Onions"/>
    <x v="8"/>
  </r>
  <r>
    <n v="2255"/>
    <n v="1005"/>
    <n v="0.5"/>
    <s v="bbq_ckn_l"/>
    <n v="1"/>
    <x v="16"/>
    <x v="2"/>
    <x v="996"/>
    <n v="20.75"/>
    <n v="20.75"/>
    <x v="1"/>
    <x v="3"/>
    <s v="Barbecued Chicken, Red Peppers, Green Peppers, Tomatoes, Red Onions, Barbecue Sauce"/>
    <x v="7"/>
  </r>
  <r>
    <n v="2256"/>
    <n v="1005"/>
    <n v="0.5"/>
    <s v="sicilian_s"/>
    <n v="1"/>
    <x v="16"/>
    <x v="2"/>
    <x v="996"/>
    <n v="12.25"/>
    <n v="12.25"/>
    <x v="2"/>
    <x v="2"/>
    <s v="Coarse Sicilian Salami, Tomatoes, Green Olives, Luganega Sausage, Onions, Garlic"/>
    <x v="28"/>
  </r>
  <r>
    <n v="2257"/>
    <n v="1006"/>
    <n v="0.5"/>
    <s v="thai_ckn_l"/>
    <n v="1"/>
    <x v="16"/>
    <x v="2"/>
    <x v="997"/>
    <n v="20.75"/>
    <n v="20.75"/>
    <x v="1"/>
    <x v="3"/>
    <s v="Chicken, Pineapple, Tomatoes, Red Peppers, Thai Sweet Chilli Sauce"/>
    <x v="5"/>
  </r>
  <r>
    <n v="2258"/>
    <n v="1006"/>
    <n v="0.5"/>
    <s v="veggie_veg_s"/>
    <n v="1"/>
    <x v="16"/>
    <x v="2"/>
    <x v="997"/>
    <n v="12"/>
    <n v="12"/>
    <x v="2"/>
    <x v="1"/>
    <s v="Mushrooms, Tomatoes, Red Peppers, Green Peppers, Red Onions, Zucchini, Spinach, Garlic"/>
    <x v="14"/>
  </r>
  <r>
    <n v="2259"/>
    <n v="1007"/>
    <n v="1"/>
    <s v="veggie_veg_l"/>
    <n v="1"/>
    <x v="16"/>
    <x v="2"/>
    <x v="998"/>
    <n v="20.25"/>
    <n v="20.25"/>
    <x v="1"/>
    <x v="1"/>
    <s v="Mushrooms, Tomatoes, Red Peppers, Green Peppers, Red Onions, Zucchini, Spinach, Garlic"/>
    <x v="14"/>
  </r>
  <r>
    <n v="2260"/>
    <n v="1008"/>
    <n v="0.5"/>
    <s v="classic_dlx_m"/>
    <n v="1"/>
    <x v="16"/>
    <x v="2"/>
    <x v="999"/>
    <n v="16"/>
    <n v="16"/>
    <x v="0"/>
    <x v="0"/>
    <s v="Pepperoni, Mushrooms, Red Onions, Red Peppers, Bacon"/>
    <x v="1"/>
  </r>
  <r>
    <n v="2261"/>
    <n v="1008"/>
    <n v="0.5"/>
    <s v="the_greek_m"/>
    <n v="1"/>
    <x v="16"/>
    <x v="2"/>
    <x v="999"/>
    <n v="16"/>
    <n v="16"/>
    <x v="0"/>
    <x v="0"/>
    <s v="Kalamata Olives, Feta Cheese, Tomatoes, Garlic, Beef Chuck Roast, Red Onions"/>
    <x v="8"/>
  </r>
  <r>
    <n v="2262"/>
    <n v="1009"/>
    <n v="0.5"/>
    <s v="classic_dlx_m"/>
    <n v="1"/>
    <x v="16"/>
    <x v="2"/>
    <x v="1000"/>
    <n v="16"/>
    <n v="16"/>
    <x v="0"/>
    <x v="0"/>
    <s v="Pepperoni, Mushrooms, Red Onions, Red Peppers, Bacon"/>
    <x v="1"/>
  </r>
  <r>
    <n v="2263"/>
    <n v="1009"/>
    <n v="0.5"/>
    <s v="green_garden_m"/>
    <n v="1"/>
    <x v="16"/>
    <x v="2"/>
    <x v="1000"/>
    <n v="16"/>
    <n v="16"/>
    <x v="0"/>
    <x v="1"/>
    <s v="Spinach, Mushrooms, Tomatoes, Green Olives, Feta Cheese"/>
    <x v="10"/>
  </r>
  <r>
    <n v="2264"/>
    <n v="1010"/>
    <n v="0.33333333333333331"/>
    <s v="big_meat_s"/>
    <n v="1"/>
    <x v="16"/>
    <x v="2"/>
    <x v="1001"/>
    <n v="12"/>
    <n v="12"/>
    <x v="2"/>
    <x v="0"/>
    <s v="Bacon, Pepperoni, Italian Sausage, Chorizo Sausage"/>
    <x v="19"/>
  </r>
  <r>
    <n v="2265"/>
    <n v="1010"/>
    <n v="0.33333333333333331"/>
    <s v="ckn_alfredo_l"/>
    <n v="1"/>
    <x v="16"/>
    <x v="2"/>
    <x v="1001"/>
    <n v="20.75"/>
    <n v="20.75"/>
    <x v="1"/>
    <x v="3"/>
    <s v="Chicken, Red Onions, Red Peppers, Mushrooms, Asiago Cheese, Alfredo Sauce"/>
    <x v="29"/>
  </r>
  <r>
    <n v="2266"/>
    <n v="1010"/>
    <n v="0.33333333333333331"/>
    <s v="ital_veggie_l"/>
    <n v="1"/>
    <x v="16"/>
    <x v="2"/>
    <x v="1001"/>
    <n v="21"/>
    <n v="21"/>
    <x v="1"/>
    <x v="1"/>
    <s v="Eggplant, Artichokes, Tomatoes, Zucchini, Red Peppers, Garlic, Pesto Sauce"/>
    <x v="24"/>
  </r>
  <r>
    <n v="2267"/>
    <n v="1011"/>
    <n v="1"/>
    <s v="pep_msh_pep_s"/>
    <n v="1"/>
    <x v="16"/>
    <x v="2"/>
    <x v="1002"/>
    <n v="11"/>
    <n v="11"/>
    <x v="2"/>
    <x v="0"/>
    <s v="Pepperoni, Mushrooms, Green Peppers"/>
    <x v="30"/>
  </r>
  <r>
    <n v="2268"/>
    <n v="1012"/>
    <n v="0.5"/>
    <s v="green_garden_m"/>
    <n v="1"/>
    <x v="16"/>
    <x v="2"/>
    <x v="1003"/>
    <n v="16"/>
    <n v="16"/>
    <x v="0"/>
    <x v="1"/>
    <s v="Spinach, Mushrooms, Tomatoes, Green Olives, Feta Cheese"/>
    <x v="10"/>
  </r>
  <r>
    <n v="2269"/>
    <n v="1012"/>
    <n v="0.5"/>
    <s v="prsc_argla_l"/>
    <n v="1"/>
    <x v="16"/>
    <x v="2"/>
    <x v="1003"/>
    <n v="20.75"/>
    <n v="20.75"/>
    <x v="1"/>
    <x v="2"/>
    <s v="Prosciutto di San Daniele, Arugula, Mozzarella Cheese"/>
    <x v="6"/>
  </r>
  <r>
    <n v="2270"/>
    <n v="1013"/>
    <n v="0.5"/>
    <s v="soppressata_m"/>
    <n v="1"/>
    <x v="16"/>
    <x v="2"/>
    <x v="1004"/>
    <n v="16.5"/>
    <n v="16.5"/>
    <x v="0"/>
    <x v="2"/>
    <s v="Soppressata Salami, Fontina Cheese, Mozzarella Cheese, Mushrooms, Garlic"/>
    <x v="20"/>
  </r>
  <r>
    <n v="2271"/>
    <n v="1013"/>
    <n v="0.5"/>
    <s v="spinach_supr_m"/>
    <n v="1"/>
    <x v="16"/>
    <x v="2"/>
    <x v="1004"/>
    <n v="16.5"/>
    <n v="16.5"/>
    <x v="0"/>
    <x v="2"/>
    <s v="Spinach, Red Onions, Pepperoni, Tomatoes, Artichokes, Kalamata Olives, Garlic, Asiago Cheese"/>
    <x v="9"/>
  </r>
  <r>
    <n v="2272"/>
    <n v="1014"/>
    <n v="0.25"/>
    <s v="ckn_pesto_l"/>
    <n v="1"/>
    <x v="16"/>
    <x v="2"/>
    <x v="1005"/>
    <n v="20.75"/>
    <n v="20.75"/>
    <x v="1"/>
    <x v="3"/>
    <s v="Chicken, Tomatoes, Red Peppers, Spinach, Garlic, Pesto Sauce"/>
    <x v="18"/>
  </r>
  <r>
    <n v="2273"/>
    <n v="1014"/>
    <n v="0.25"/>
    <s v="pepperoni_s"/>
    <n v="1"/>
    <x v="16"/>
    <x v="2"/>
    <x v="1005"/>
    <n v="9.75"/>
    <n v="9.75"/>
    <x v="2"/>
    <x v="0"/>
    <s v="Mozzarella Cheese, Pepperoni"/>
    <x v="17"/>
  </r>
  <r>
    <n v="2274"/>
    <n v="1014"/>
    <n v="0.25"/>
    <s v="prsc_argla_s"/>
    <n v="1"/>
    <x v="16"/>
    <x v="2"/>
    <x v="1005"/>
    <n v="12.5"/>
    <n v="12.5"/>
    <x v="2"/>
    <x v="2"/>
    <s v="Prosciutto di San Daniele, Arugula, Mozzarella Cheese"/>
    <x v="6"/>
  </r>
  <r>
    <n v="2275"/>
    <n v="1014"/>
    <n v="0.25"/>
    <s v="southw_ckn_l"/>
    <n v="1"/>
    <x v="16"/>
    <x v="2"/>
    <x v="1005"/>
    <n v="20.75"/>
    <n v="20.75"/>
    <x v="1"/>
    <x v="3"/>
    <s v="Chicken, Tomatoes, Red Peppers, Red Onions, Jalapeno Peppers, Corn, Cilantro, Chipotle Sauce"/>
    <x v="15"/>
  </r>
  <r>
    <n v="2276"/>
    <n v="1015"/>
    <n v="1"/>
    <s v="thai_ckn_l"/>
    <n v="1"/>
    <x v="16"/>
    <x v="2"/>
    <x v="1006"/>
    <n v="20.75"/>
    <n v="20.75"/>
    <x v="1"/>
    <x v="3"/>
    <s v="Chicken, Pineapple, Tomatoes, Red Peppers, Thai Sweet Chilli Sauce"/>
    <x v="5"/>
  </r>
  <r>
    <n v="2277"/>
    <n v="1016"/>
    <n v="0.33333333333333331"/>
    <s v="cali_ckn_m"/>
    <n v="1"/>
    <x v="16"/>
    <x v="2"/>
    <x v="1007"/>
    <n v="16.75"/>
    <n v="16.75"/>
    <x v="0"/>
    <x v="3"/>
    <s v="Chicken, Artichoke, Spinach, Garlic, Jalapeno Peppers, Fontina Cheese, Gouda Cheese"/>
    <x v="16"/>
  </r>
  <r>
    <n v="2278"/>
    <n v="1016"/>
    <n v="0.33333333333333331"/>
    <s v="hawaiian_m"/>
    <n v="1"/>
    <x v="16"/>
    <x v="2"/>
    <x v="1007"/>
    <n v="13.25"/>
    <n v="13.25"/>
    <x v="0"/>
    <x v="0"/>
    <s v="Sliced Ham, Pineapple, Mozzarella Cheese"/>
    <x v="0"/>
  </r>
  <r>
    <n v="2279"/>
    <n v="1016"/>
    <n v="0.33333333333333331"/>
    <s v="sicilian_s"/>
    <n v="1"/>
    <x v="16"/>
    <x v="2"/>
    <x v="1007"/>
    <n v="12.25"/>
    <n v="12.25"/>
    <x v="2"/>
    <x v="2"/>
    <s v="Coarse Sicilian Salami, Tomatoes, Green Olives, Luganega Sausage, Onions, Garlic"/>
    <x v="28"/>
  </r>
  <r>
    <n v="2280"/>
    <n v="1017"/>
    <n v="1"/>
    <s v="cali_ckn_m"/>
    <n v="1"/>
    <x v="16"/>
    <x v="2"/>
    <x v="1008"/>
    <n v="16.75"/>
    <n v="16.75"/>
    <x v="0"/>
    <x v="3"/>
    <s v="Chicken, Artichoke, Spinach, Garlic, Jalapeno Peppers, Fontina Cheese, Gouda Cheese"/>
    <x v="16"/>
  </r>
  <r>
    <n v="2281"/>
    <n v="1018"/>
    <n v="0.33333333333333331"/>
    <s v="bbq_ckn_l"/>
    <n v="1"/>
    <x v="16"/>
    <x v="2"/>
    <x v="1009"/>
    <n v="20.75"/>
    <n v="20.75"/>
    <x v="1"/>
    <x v="3"/>
    <s v="Barbecued Chicken, Red Peppers, Green Peppers, Tomatoes, Red Onions, Barbecue Sauce"/>
    <x v="7"/>
  </r>
  <r>
    <n v="2282"/>
    <n v="1018"/>
    <n v="0.33333333333333331"/>
    <s v="cali_ckn_s"/>
    <n v="1"/>
    <x v="16"/>
    <x v="2"/>
    <x v="1009"/>
    <n v="12.75"/>
    <n v="12.75"/>
    <x v="2"/>
    <x v="3"/>
    <s v="Chicken, Artichoke, Spinach, Garlic, Jalapeno Peppers, Fontina Cheese, Gouda Cheese"/>
    <x v="16"/>
  </r>
  <r>
    <n v="2283"/>
    <n v="1018"/>
    <n v="0.33333333333333331"/>
    <s v="pep_msh_pep_s"/>
    <n v="1"/>
    <x v="16"/>
    <x v="2"/>
    <x v="1009"/>
    <n v="11"/>
    <n v="11"/>
    <x v="2"/>
    <x v="0"/>
    <s v="Pepperoni, Mushrooms, Green Peppers"/>
    <x v="30"/>
  </r>
  <r>
    <n v="2284"/>
    <n v="1019"/>
    <n v="0.33333333333333331"/>
    <s v="hawaiian_s"/>
    <n v="2"/>
    <x v="16"/>
    <x v="2"/>
    <x v="1010"/>
    <n v="10.5"/>
    <n v="21"/>
    <x v="2"/>
    <x v="0"/>
    <s v="Sliced Ham, Pineapple, Mozzarella Cheese"/>
    <x v="0"/>
  </r>
  <r>
    <n v="2285"/>
    <n v="1019"/>
    <n v="0.33333333333333331"/>
    <s v="soppressata_s"/>
    <n v="1"/>
    <x v="16"/>
    <x v="2"/>
    <x v="1010"/>
    <n v="12.5"/>
    <n v="12.5"/>
    <x v="2"/>
    <x v="2"/>
    <s v="Soppressata Salami, Fontina Cheese, Mozzarella Cheese, Mushrooms, Garlic"/>
    <x v="20"/>
  </r>
  <r>
    <n v="2286"/>
    <n v="1019"/>
    <n v="0.33333333333333331"/>
    <s v="spin_pesto_s"/>
    <n v="1"/>
    <x v="16"/>
    <x v="2"/>
    <x v="1010"/>
    <n v="12.5"/>
    <n v="12.5"/>
    <x v="2"/>
    <x v="1"/>
    <s v="Spinach, Artichokes, Tomatoes, Sun-dried Tomatoes, Garlic, Pesto Sauce"/>
    <x v="13"/>
  </r>
  <r>
    <n v="2287"/>
    <n v="1020"/>
    <n v="0.25"/>
    <s v="bbq_ckn_l"/>
    <n v="1"/>
    <x v="16"/>
    <x v="2"/>
    <x v="1011"/>
    <n v="20.75"/>
    <n v="20.75"/>
    <x v="1"/>
    <x v="3"/>
    <s v="Barbecued Chicken, Red Peppers, Green Peppers, Tomatoes, Red Onions, Barbecue Sauce"/>
    <x v="7"/>
  </r>
  <r>
    <n v="2288"/>
    <n v="1020"/>
    <n v="0.25"/>
    <s v="bbq_ckn_s"/>
    <n v="1"/>
    <x v="16"/>
    <x v="2"/>
    <x v="1011"/>
    <n v="12.75"/>
    <n v="12.75"/>
    <x v="2"/>
    <x v="3"/>
    <s v="Barbecued Chicken, Red Peppers, Green Peppers, Tomatoes, Red Onions, Barbecue Sauce"/>
    <x v="7"/>
  </r>
  <r>
    <n v="2289"/>
    <n v="1020"/>
    <n v="0.25"/>
    <s v="pepperoni_m"/>
    <n v="1"/>
    <x v="16"/>
    <x v="2"/>
    <x v="1011"/>
    <n v="12.5"/>
    <n v="12.5"/>
    <x v="0"/>
    <x v="0"/>
    <s v="Mozzarella Cheese, Pepperoni"/>
    <x v="17"/>
  </r>
  <r>
    <n v="2290"/>
    <n v="1020"/>
    <n v="0.25"/>
    <s v="southw_ckn_l"/>
    <n v="1"/>
    <x v="16"/>
    <x v="2"/>
    <x v="1011"/>
    <n v="20.75"/>
    <n v="20.75"/>
    <x v="1"/>
    <x v="3"/>
    <s v="Chicken, Tomatoes, Red Peppers, Red Onions, Jalapeno Peppers, Corn, Cilantro, Chipotle Sauce"/>
    <x v="15"/>
  </r>
  <r>
    <n v="2291"/>
    <n v="1021"/>
    <n v="0.25"/>
    <s v="bbq_ckn_l"/>
    <n v="1"/>
    <x v="16"/>
    <x v="2"/>
    <x v="1012"/>
    <n v="20.75"/>
    <n v="20.75"/>
    <x v="1"/>
    <x v="3"/>
    <s v="Barbecued Chicken, Red Peppers, Green Peppers, Tomatoes, Red Onions, Barbecue Sauce"/>
    <x v="7"/>
  </r>
  <r>
    <n v="2292"/>
    <n v="1021"/>
    <n v="0.25"/>
    <s v="cali_ckn_l"/>
    <n v="1"/>
    <x v="16"/>
    <x v="2"/>
    <x v="1012"/>
    <n v="20.75"/>
    <n v="20.75"/>
    <x v="1"/>
    <x v="3"/>
    <s v="Chicken, Artichoke, Spinach, Garlic, Jalapeno Peppers, Fontina Cheese, Gouda Cheese"/>
    <x v="16"/>
  </r>
  <r>
    <n v="2293"/>
    <n v="1021"/>
    <n v="0.25"/>
    <s v="mediterraneo_s"/>
    <n v="1"/>
    <x v="16"/>
    <x v="2"/>
    <x v="1012"/>
    <n v="12"/>
    <n v="12"/>
    <x v="2"/>
    <x v="1"/>
    <s v="Spinach, Artichokes, Kalamata Olives, Sun-dried Tomatoes, Feta Cheese, Plum Tomatoes, Red Onions"/>
    <x v="25"/>
  </r>
  <r>
    <n v="2294"/>
    <n v="1021"/>
    <n v="0.25"/>
    <s v="pepperoni_m"/>
    <n v="1"/>
    <x v="16"/>
    <x v="2"/>
    <x v="1012"/>
    <n v="12.5"/>
    <n v="12.5"/>
    <x v="0"/>
    <x v="0"/>
    <s v="Mozzarella Cheese, Pepperoni"/>
    <x v="17"/>
  </r>
  <r>
    <n v="2295"/>
    <n v="1022"/>
    <n v="1"/>
    <s v="thai_ckn_l"/>
    <n v="1"/>
    <x v="16"/>
    <x v="2"/>
    <x v="1013"/>
    <n v="20.75"/>
    <n v="20.75"/>
    <x v="1"/>
    <x v="3"/>
    <s v="Chicken, Pineapple, Tomatoes, Red Peppers, Thai Sweet Chilli Sauce"/>
    <x v="5"/>
  </r>
  <r>
    <n v="2296"/>
    <n v="1023"/>
    <n v="1"/>
    <s v="ital_cpcllo_m"/>
    <n v="1"/>
    <x v="16"/>
    <x v="2"/>
    <x v="1014"/>
    <n v="16"/>
    <n v="16"/>
    <x v="0"/>
    <x v="0"/>
    <s v="Capocollo, Red Peppers, Tomatoes, Goat Cheese, Garlic, Oregano"/>
    <x v="11"/>
  </r>
  <r>
    <n v="2297"/>
    <n v="1024"/>
    <n v="1"/>
    <s v="bbq_ckn_l"/>
    <n v="1"/>
    <x v="16"/>
    <x v="2"/>
    <x v="1015"/>
    <n v="20.75"/>
    <n v="20.75"/>
    <x v="1"/>
    <x v="3"/>
    <s v="Barbecued Chicken, Red Peppers, Green Peppers, Tomatoes, Red Onions, Barbecue Sauce"/>
    <x v="7"/>
  </r>
  <r>
    <n v="2298"/>
    <n v="1025"/>
    <n v="0.33333333333333331"/>
    <s v="pep_msh_pep_s"/>
    <n v="1"/>
    <x v="16"/>
    <x v="2"/>
    <x v="425"/>
    <n v="11"/>
    <n v="11"/>
    <x v="2"/>
    <x v="0"/>
    <s v="Pepperoni, Mushrooms, Green Peppers"/>
    <x v="30"/>
  </r>
  <r>
    <n v="2299"/>
    <n v="1025"/>
    <n v="0.33333333333333331"/>
    <s v="pepperoni_l"/>
    <n v="1"/>
    <x v="16"/>
    <x v="2"/>
    <x v="425"/>
    <n v="15.25"/>
    <n v="15.25"/>
    <x v="1"/>
    <x v="0"/>
    <s v="Mozzarella Cheese, Pepperoni"/>
    <x v="17"/>
  </r>
  <r>
    <n v="2300"/>
    <n v="1025"/>
    <n v="0.33333333333333331"/>
    <s v="veggie_veg_l"/>
    <n v="1"/>
    <x v="16"/>
    <x v="2"/>
    <x v="425"/>
    <n v="20.25"/>
    <n v="20.25"/>
    <x v="1"/>
    <x v="1"/>
    <s v="Mushrooms, Tomatoes, Red Peppers, Green Peppers, Red Onions, Zucchini, Spinach, Garlic"/>
    <x v="14"/>
  </r>
  <r>
    <n v="2301"/>
    <n v="1026"/>
    <n v="0.5"/>
    <s v="cali_ckn_l"/>
    <n v="1"/>
    <x v="16"/>
    <x v="2"/>
    <x v="1016"/>
    <n v="20.75"/>
    <n v="20.75"/>
    <x v="1"/>
    <x v="3"/>
    <s v="Chicken, Artichoke, Spinach, Garlic, Jalapeno Peppers, Fontina Cheese, Gouda Cheese"/>
    <x v="16"/>
  </r>
  <r>
    <n v="2302"/>
    <n v="1026"/>
    <n v="0.5"/>
    <s v="classic_dlx_l"/>
    <n v="1"/>
    <x v="16"/>
    <x v="2"/>
    <x v="1016"/>
    <n v="20.5"/>
    <n v="20.5"/>
    <x v="1"/>
    <x v="0"/>
    <s v="Pepperoni, Mushrooms, Red Onions, Red Peppers, Bacon"/>
    <x v="1"/>
  </r>
  <r>
    <n v="2303"/>
    <n v="1027"/>
    <n v="1"/>
    <s v="four_cheese_l"/>
    <n v="1"/>
    <x v="16"/>
    <x v="2"/>
    <x v="1017"/>
    <n v="17.95"/>
    <n v="17.95"/>
    <x v="1"/>
    <x v="1"/>
    <s v="Ricotta Cheese, Gorgonzola Piccante Cheese, Mozzarella Cheese, Parmigiano Reggiano Cheese, Garlic"/>
    <x v="21"/>
  </r>
  <r>
    <n v="2304"/>
    <n v="1028"/>
    <n v="0.5"/>
    <s v="napolitana_l"/>
    <n v="1"/>
    <x v="16"/>
    <x v="2"/>
    <x v="1018"/>
    <n v="20.5"/>
    <n v="20.5"/>
    <x v="1"/>
    <x v="0"/>
    <s v="Tomatoes, Anchovies, Green Olives, Red Onions, Garlic"/>
    <x v="22"/>
  </r>
  <r>
    <n v="2305"/>
    <n v="1028"/>
    <n v="0.5"/>
    <s v="sicilian_l"/>
    <n v="1"/>
    <x v="16"/>
    <x v="2"/>
    <x v="1018"/>
    <n v="20.25"/>
    <n v="20.25"/>
    <x v="1"/>
    <x v="2"/>
    <s v="Coarse Sicilian Salami, Tomatoes, Green Olives, Luganega Sausage, Onions, Garlic"/>
    <x v="28"/>
  </r>
  <r>
    <n v="2306"/>
    <n v="1029"/>
    <n v="0.5"/>
    <s v="sicilian_m"/>
    <n v="1"/>
    <x v="16"/>
    <x v="2"/>
    <x v="1019"/>
    <n v="16.25"/>
    <n v="16.25"/>
    <x v="0"/>
    <x v="2"/>
    <s v="Coarse Sicilian Salami, Tomatoes, Green Olives, Luganega Sausage, Onions, Garlic"/>
    <x v="28"/>
  </r>
  <r>
    <n v="2307"/>
    <n v="1029"/>
    <n v="0.5"/>
    <s v="the_greek_l"/>
    <n v="1"/>
    <x v="16"/>
    <x v="2"/>
    <x v="1019"/>
    <n v="20.5"/>
    <n v="20.5"/>
    <x v="1"/>
    <x v="0"/>
    <s v="Kalamata Olives, Feta Cheese, Tomatoes, Garlic, Beef Chuck Roast, Red Onions"/>
    <x v="8"/>
  </r>
  <r>
    <n v="2308"/>
    <n v="1030"/>
    <n v="0.25"/>
    <s v="pepperoni_s"/>
    <n v="1"/>
    <x v="16"/>
    <x v="2"/>
    <x v="1020"/>
    <n v="9.75"/>
    <n v="9.75"/>
    <x v="2"/>
    <x v="0"/>
    <s v="Mozzarella Cheese, Pepperoni"/>
    <x v="17"/>
  </r>
  <r>
    <n v="2309"/>
    <n v="1030"/>
    <n v="0.25"/>
    <s v="peppr_salami_l"/>
    <n v="1"/>
    <x v="16"/>
    <x v="2"/>
    <x v="1020"/>
    <n v="20.75"/>
    <n v="20.75"/>
    <x v="1"/>
    <x v="2"/>
    <s v="Genoa Salami, Capocollo, Pepperoni, Tomatoes, Asiago Cheese, Garlic"/>
    <x v="26"/>
  </r>
  <r>
    <n v="2310"/>
    <n v="1030"/>
    <n v="0.25"/>
    <s v="sicilian_s"/>
    <n v="1"/>
    <x v="16"/>
    <x v="2"/>
    <x v="1020"/>
    <n v="12.25"/>
    <n v="12.25"/>
    <x v="2"/>
    <x v="2"/>
    <s v="Coarse Sicilian Salami, Tomatoes, Green Olives, Luganega Sausage, Onions, Garlic"/>
    <x v="28"/>
  </r>
  <r>
    <n v="2311"/>
    <n v="1030"/>
    <n v="0.25"/>
    <s v="spicy_ital_l"/>
    <n v="1"/>
    <x v="16"/>
    <x v="2"/>
    <x v="1020"/>
    <n v="20.75"/>
    <n v="20.75"/>
    <x v="1"/>
    <x v="2"/>
    <s v="Capocollo, Tomatoes, Goat Cheese, Artichokes, Peperoncini verdi, Garlic"/>
    <x v="12"/>
  </r>
  <r>
    <n v="2312"/>
    <n v="1031"/>
    <n v="0.5"/>
    <s v="classic_dlx_l"/>
    <n v="1"/>
    <x v="17"/>
    <x v="3"/>
    <x v="1021"/>
    <n v="20.5"/>
    <n v="20.5"/>
    <x v="1"/>
    <x v="0"/>
    <s v="Pepperoni, Mushrooms, Red Onions, Red Peppers, Bacon"/>
    <x v="1"/>
  </r>
  <r>
    <n v="2313"/>
    <n v="1031"/>
    <n v="0.5"/>
    <s v="hawaiian_l"/>
    <n v="1"/>
    <x v="17"/>
    <x v="3"/>
    <x v="1021"/>
    <n v="16.5"/>
    <n v="16.5"/>
    <x v="1"/>
    <x v="0"/>
    <s v="Sliced Ham, Pineapple, Mozzarella Cheese"/>
    <x v="0"/>
  </r>
  <r>
    <n v="2314"/>
    <n v="1032"/>
    <n v="1"/>
    <s v="bbq_ckn_l"/>
    <n v="1"/>
    <x v="17"/>
    <x v="3"/>
    <x v="1022"/>
    <n v="20.75"/>
    <n v="20.75"/>
    <x v="1"/>
    <x v="3"/>
    <s v="Barbecued Chicken, Red Peppers, Green Peppers, Tomatoes, Red Onions, Barbecue Sauce"/>
    <x v="7"/>
  </r>
  <r>
    <n v="2315"/>
    <n v="1033"/>
    <n v="1"/>
    <s v="cali_ckn_m"/>
    <n v="1"/>
    <x v="17"/>
    <x v="3"/>
    <x v="1023"/>
    <n v="16.75"/>
    <n v="16.75"/>
    <x v="0"/>
    <x v="3"/>
    <s v="Chicken, Artichoke, Spinach, Garlic, Jalapeno Peppers, Fontina Cheese, Gouda Cheese"/>
    <x v="16"/>
  </r>
  <r>
    <n v="2316"/>
    <n v="1034"/>
    <n v="0.125"/>
    <s v="bbq_ckn_m"/>
    <n v="1"/>
    <x v="17"/>
    <x v="3"/>
    <x v="1024"/>
    <n v="16.75"/>
    <n v="16.75"/>
    <x v="0"/>
    <x v="3"/>
    <s v="Barbecued Chicken, Red Peppers, Green Peppers, Tomatoes, Red Onions, Barbecue Sauce"/>
    <x v="7"/>
  </r>
  <r>
    <n v="2317"/>
    <n v="1034"/>
    <n v="0.125"/>
    <s v="mexicana_l"/>
    <n v="1"/>
    <x v="17"/>
    <x v="3"/>
    <x v="1024"/>
    <n v="20.25"/>
    <n v="20.25"/>
    <x v="1"/>
    <x v="1"/>
    <s v="Tomatoes, Red Peppers, Jalapeno Peppers, Red Onions, Cilantro, Corn, Chipotle Sauce, Garlic"/>
    <x v="4"/>
  </r>
  <r>
    <n v="2318"/>
    <n v="1034"/>
    <n v="0.125"/>
    <s v="napolitana_l"/>
    <n v="1"/>
    <x v="17"/>
    <x v="3"/>
    <x v="1024"/>
    <n v="20.5"/>
    <n v="20.5"/>
    <x v="1"/>
    <x v="0"/>
    <s v="Tomatoes, Anchovies, Green Olives, Red Onions, Garlic"/>
    <x v="22"/>
  </r>
  <r>
    <n v="2319"/>
    <n v="1034"/>
    <n v="0.125"/>
    <s v="napolitana_s"/>
    <n v="1"/>
    <x v="17"/>
    <x v="3"/>
    <x v="1024"/>
    <n v="12"/>
    <n v="12"/>
    <x v="2"/>
    <x v="0"/>
    <s v="Tomatoes, Anchovies, Green Olives, Red Onions, Garlic"/>
    <x v="22"/>
  </r>
  <r>
    <n v="2320"/>
    <n v="1034"/>
    <n v="0.125"/>
    <s v="pepperoni_l"/>
    <n v="1"/>
    <x v="17"/>
    <x v="3"/>
    <x v="1024"/>
    <n v="15.25"/>
    <n v="15.25"/>
    <x v="1"/>
    <x v="0"/>
    <s v="Mozzarella Cheese, Pepperoni"/>
    <x v="17"/>
  </r>
  <r>
    <n v="2321"/>
    <n v="1034"/>
    <n v="0.125"/>
    <s v="sicilian_m"/>
    <n v="1"/>
    <x v="17"/>
    <x v="3"/>
    <x v="1024"/>
    <n v="16.25"/>
    <n v="16.25"/>
    <x v="0"/>
    <x v="2"/>
    <s v="Coarse Sicilian Salami, Tomatoes, Green Olives, Luganega Sausage, Onions, Garlic"/>
    <x v="28"/>
  </r>
  <r>
    <n v="2322"/>
    <n v="1034"/>
    <n v="0.125"/>
    <s v="soppressata_l"/>
    <n v="1"/>
    <x v="17"/>
    <x v="3"/>
    <x v="1024"/>
    <n v="20.75"/>
    <n v="20.75"/>
    <x v="1"/>
    <x v="2"/>
    <s v="Soppressata Salami, Fontina Cheese, Mozzarella Cheese, Mushrooms, Garlic"/>
    <x v="20"/>
  </r>
  <r>
    <n v="2323"/>
    <n v="1034"/>
    <n v="0.125"/>
    <s v="spinach_fet_s"/>
    <n v="1"/>
    <x v="17"/>
    <x v="3"/>
    <x v="1024"/>
    <n v="12"/>
    <n v="12"/>
    <x v="2"/>
    <x v="1"/>
    <s v="Spinach, Mushrooms, Red Onions, Feta Cheese, Garlic"/>
    <x v="27"/>
  </r>
  <r>
    <n v="2324"/>
    <n v="1035"/>
    <n v="0.25"/>
    <s v="cali_ckn_m"/>
    <n v="1"/>
    <x v="17"/>
    <x v="3"/>
    <x v="1025"/>
    <n v="16.75"/>
    <n v="16.75"/>
    <x v="0"/>
    <x v="3"/>
    <s v="Chicken, Artichoke, Spinach, Garlic, Jalapeno Peppers, Fontina Cheese, Gouda Cheese"/>
    <x v="16"/>
  </r>
  <r>
    <n v="2325"/>
    <n v="1035"/>
    <n v="0.25"/>
    <s v="green_garden_l"/>
    <n v="1"/>
    <x v="17"/>
    <x v="3"/>
    <x v="1025"/>
    <n v="20.25"/>
    <n v="20.25"/>
    <x v="1"/>
    <x v="1"/>
    <s v="Spinach, Mushrooms, Tomatoes, Green Olives, Feta Cheese"/>
    <x v="10"/>
  </r>
  <r>
    <n v="2326"/>
    <n v="1035"/>
    <n v="0.25"/>
    <s v="ital_supr_m"/>
    <n v="1"/>
    <x v="17"/>
    <x v="3"/>
    <x v="1025"/>
    <n v="16.5"/>
    <n v="16.5"/>
    <x v="0"/>
    <x v="2"/>
    <s v="Calabrese Salami, Capocollo, Tomatoes, Red Onions, Green Olives, Garlic"/>
    <x v="3"/>
  </r>
  <r>
    <n v="2327"/>
    <n v="1035"/>
    <n v="0.25"/>
    <s v="mediterraneo_s"/>
    <n v="1"/>
    <x v="17"/>
    <x v="3"/>
    <x v="1025"/>
    <n v="12"/>
    <n v="12"/>
    <x v="2"/>
    <x v="1"/>
    <s v="Spinach, Artichokes, Kalamata Olives, Sun-dried Tomatoes, Feta Cheese, Plum Tomatoes, Red Onions"/>
    <x v="25"/>
  </r>
  <r>
    <n v="2328"/>
    <n v="1036"/>
    <n v="0.25"/>
    <s v="classic_dlx_m"/>
    <n v="1"/>
    <x v="17"/>
    <x v="3"/>
    <x v="1026"/>
    <n v="16"/>
    <n v="16"/>
    <x v="0"/>
    <x v="0"/>
    <s v="Pepperoni, Mushrooms, Red Onions, Red Peppers, Bacon"/>
    <x v="1"/>
  </r>
  <r>
    <n v="2329"/>
    <n v="1036"/>
    <n v="0.25"/>
    <s v="ital_supr_m"/>
    <n v="1"/>
    <x v="17"/>
    <x v="3"/>
    <x v="1026"/>
    <n v="16.5"/>
    <n v="16.5"/>
    <x v="0"/>
    <x v="2"/>
    <s v="Calabrese Salami, Capocollo, Tomatoes, Red Onions, Green Olives, Garlic"/>
    <x v="3"/>
  </r>
  <r>
    <n v="2330"/>
    <n v="1036"/>
    <n v="0.25"/>
    <s v="mexicana_l"/>
    <n v="1"/>
    <x v="17"/>
    <x v="3"/>
    <x v="1026"/>
    <n v="20.25"/>
    <n v="20.25"/>
    <x v="1"/>
    <x v="1"/>
    <s v="Tomatoes, Red Peppers, Jalapeno Peppers, Red Onions, Cilantro, Corn, Chipotle Sauce, Garlic"/>
    <x v="4"/>
  </r>
  <r>
    <n v="2331"/>
    <n v="1036"/>
    <n v="0.25"/>
    <s v="thai_ckn_l"/>
    <n v="1"/>
    <x v="17"/>
    <x v="3"/>
    <x v="1026"/>
    <n v="20.75"/>
    <n v="20.75"/>
    <x v="1"/>
    <x v="3"/>
    <s v="Chicken, Pineapple, Tomatoes, Red Peppers, Thai Sweet Chilli Sauce"/>
    <x v="5"/>
  </r>
  <r>
    <n v="2332"/>
    <n v="1037"/>
    <n v="0.25"/>
    <s v="big_meat_s"/>
    <n v="1"/>
    <x v="17"/>
    <x v="3"/>
    <x v="1027"/>
    <n v="12"/>
    <n v="12"/>
    <x v="2"/>
    <x v="0"/>
    <s v="Bacon, Pepperoni, Italian Sausage, Chorizo Sausage"/>
    <x v="19"/>
  </r>
  <r>
    <n v="2333"/>
    <n v="1037"/>
    <n v="0.25"/>
    <s v="ckn_pesto_s"/>
    <n v="1"/>
    <x v="17"/>
    <x v="3"/>
    <x v="1027"/>
    <n v="12.75"/>
    <n v="12.75"/>
    <x v="2"/>
    <x v="3"/>
    <s v="Chicken, Tomatoes, Red Peppers, Spinach, Garlic, Pesto Sauce"/>
    <x v="18"/>
  </r>
  <r>
    <n v="2334"/>
    <n v="1037"/>
    <n v="0.25"/>
    <s v="classic_dlx_m"/>
    <n v="1"/>
    <x v="17"/>
    <x v="3"/>
    <x v="1027"/>
    <n v="16"/>
    <n v="16"/>
    <x v="0"/>
    <x v="0"/>
    <s v="Pepperoni, Mushrooms, Red Onions, Red Peppers, Bacon"/>
    <x v="1"/>
  </r>
  <r>
    <n v="2335"/>
    <n v="1037"/>
    <n v="0.25"/>
    <s v="ital_supr_m"/>
    <n v="1"/>
    <x v="17"/>
    <x v="3"/>
    <x v="1027"/>
    <n v="16.5"/>
    <n v="16.5"/>
    <x v="0"/>
    <x v="2"/>
    <s v="Calabrese Salami, Capocollo, Tomatoes, Red Onions, Green Olives, Garlic"/>
    <x v="3"/>
  </r>
  <r>
    <n v="2336"/>
    <n v="1038"/>
    <n v="0.5"/>
    <s v="hawaiian_l"/>
    <n v="1"/>
    <x v="17"/>
    <x v="3"/>
    <x v="1028"/>
    <n v="16.5"/>
    <n v="16.5"/>
    <x v="1"/>
    <x v="0"/>
    <s v="Sliced Ham, Pineapple, Mozzarella Cheese"/>
    <x v="0"/>
  </r>
  <r>
    <n v="2337"/>
    <n v="1038"/>
    <n v="0.5"/>
    <s v="pepperoni_l"/>
    <n v="1"/>
    <x v="17"/>
    <x v="3"/>
    <x v="1028"/>
    <n v="15.25"/>
    <n v="15.25"/>
    <x v="1"/>
    <x v="0"/>
    <s v="Mozzarella Cheese, Pepperoni"/>
    <x v="17"/>
  </r>
  <r>
    <n v="2338"/>
    <n v="1039"/>
    <n v="1"/>
    <s v="classic_dlx_l"/>
    <n v="1"/>
    <x v="17"/>
    <x v="3"/>
    <x v="1029"/>
    <n v="20.5"/>
    <n v="20.5"/>
    <x v="1"/>
    <x v="0"/>
    <s v="Pepperoni, Mushrooms, Red Onions, Red Peppers, Bacon"/>
    <x v="1"/>
  </r>
  <r>
    <n v="2339"/>
    <n v="1040"/>
    <n v="0.5"/>
    <s v="peppr_salami_l"/>
    <n v="1"/>
    <x v="17"/>
    <x v="3"/>
    <x v="1030"/>
    <n v="20.75"/>
    <n v="20.75"/>
    <x v="1"/>
    <x v="2"/>
    <s v="Genoa Salami, Capocollo, Pepperoni, Tomatoes, Asiago Cheese, Garlic"/>
    <x v="26"/>
  </r>
  <r>
    <n v="2340"/>
    <n v="1040"/>
    <n v="0.5"/>
    <s v="thai_ckn_l"/>
    <n v="1"/>
    <x v="17"/>
    <x v="3"/>
    <x v="1030"/>
    <n v="20.75"/>
    <n v="20.75"/>
    <x v="1"/>
    <x v="3"/>
    <s v="Chicken, Pineapple, Tomatoes, Red Peppers, Thai Sweet Chilli Sauce"/>
    <x v="5"/>
  </r>
  <r>
    <n v="2341"/>
    <n v="1041"/>
    <n v="1"/>
    <s v="sicilian_s"/>
    <n v="1"/>
    <x v="17"/>
    <x v="3"/>
    <x v="1031"/>
    <n v="12.25"/>
    <n v="12.25"/>
    <x v="2"/>
    <x v="2"/>
    <s v="Coarse Sicilian Salami, Tomatoes, Green Olives, Luganega Sausage, Onions, Garlic"/>
    <x v="28"/>
  </r>
  <r>
    <n v="2342"/>
    <n v="1042"/>
    <n v="1"/>
    <s v="pep_msh_pep_s"/>
    <n v="1"/>
    <x v="17"/>
    <x v="3"/>
    <x v="1032"/>
    <n v="11"/>
    <n v="11"/>
    <x v="2"/>
    <x v="0"/>
    <s v="Pepperoni, Mushrooms, Green Peppers"/>
    <x v="30"/>
  </r>
  <r>
    <n v="2343"/>
    <n v="1043"/>
    <n v="0.125"/>
    <s v="four_cheese_m"/>
    <n v="1"/>
    <x v="17"/>
    <x v="3"/>
    <x v="1033"/>
    <n v="14.75"/>
    <n v="14.75"/>
    <x v="0"/>
    <x v="1"/>
    <s v="Ricotta Cheese, Gorgonzola Piccante Cheese, Mozzarella Cheese, Parmigiano Reggiano Cheese, Garlic"/>
    <x v="21"/>
  </r>
  <r>
    <n v="2344"/>
    <n v="1043"/>
    <n v="0.125"/>
    <s v="pepperoni_s"/>
    <n v="1"/>
    <x v="17"/>
    <x v="3"/>
    <x v="1033"/>
    <n v="9.75"/>
    <n v="9.75"/>
    <x v="2"/>
    <x v="0"/>
    <s v="Mozzarella Cheese, Pepperoni"/>
    <x v="17"/>
  </r>
  <r>
    <n v="2345"/>
    <n v="1043"/>
    <n v="0.125"/>
    <s v="peppr_salami_l"/>
    <n v="1"/>
    <x v="17"/>
    <x v="3"/>
    <x v="1033"/>
    <n v="20.75"/>
    <n v="20.75"/>
    <x v="1"/>
    <x v="2"/>
    <s v="Genoa Salami, Capocollo, Pepperoni, Tomatoes, Asiago Cheese, Garlic"/>
    <x v="26"/>
  </r>
  <r>
    <n v="2346"/>
    <n v="1043"/>
    <n v="0.125"/>
    <s v="prsc_argla_m"/>
    <n v="1"/>
    <x v="17"/>
    <x v="3"/>
    <x v="1033"/>
    <n v="16.5"/>
    <n v="16.5"/>
    <x v="0"/>
    <x v="2"/>
    <s v="Prosciutto di San Daniele, Arugula, Mozzarella Cheese"/>
    <x v="6"/>
  </r>
  <r>
    <n v="2347"/>
    <n v="1043"/>
    <n v="0.125"/>
    <s v="sicilian_s"/>
    <n v="2"/>
    <x v="17"/>
    <x v="3"/>
    <x v="1033"/>
    <n v="12.25"/>
    <n v="24.5"/>
    <x v="2"/>
    <x v="2"/>
    <s v="Coarse Sicilian Salami, Tomatoes, Green Olives, Luganega Sausage, Onions, Garlic"/>
    <x v="28"/>
  </r>
  <r>
    <n v="2348"/>
    <n v="1043"/>
    <n v="0.125"/>
    <s v="southw_ckn_m"/>
    <n v="1"/>
    <x v="17"/>
    <x v="3"/>
    <x v="1033"/>
    <n v="16.75"/>
    <n v="16.75"/>
    <x v="0"/>
    <x v="3"/>
    <s v="Chicken, Tomatoes, Red Peppers, Red Onions, Jalapeno Peppers, Corn, Cilantro, Chipotle Sauce"/>
    <x v="15"/>
  </r>
  <r>
    <n v="2349"/>
    <n v="1043"/>
    <n v="0.125"/>
    <s v="spicy_ital_s"/>
    <n v="1"/>
    <x v="17"/>
    <x v="3"/>
    <x v="1033"/>
    <n v="12.5"/>
    <n v="12.5"/>
    <x v="2"/>
    <x v="2"/>
    <s v="Capocollo, Tomatoes, Goat Cheese, Artichokes, Peperoncini verdi, Garlic"/>
    <x v="12"/>
  </r>
  <r>
    <n v="2350"/>
    <n v="1043"/>
    <n v="0.125"/>
    <s v="spinach_fet_m"/>
    <n v="1"/>
    <x v="17"/>
    <x v="3"/>
    <x v="1033"/>
    <n v="16"/>
    <n v="16"/>
    <x v="0"/>
    <x v="1"/>
    <s v="Spinach, Mushrooms, Red Onions, Feta Cheese, Garlic"/>
    <x v="27"/>
  </r>
  <r>
    <n v="2351"/>
    <n v="1044"/>
    <n v="1"/>
    <s v="the_greek_xl"/>
    <n v="1"/>
    <x v="17"/>
    <x v="3"/>
    <x v="1034"/>
    <n v="25.5"/>
    <n v="25.5"/>
    <x v="3"/>
    <x v="0"/>
    <s v="Kalamata Olives, Feta Cheese, Tomatoes, Garlic, Beef Chuck Roast, Red Onions"/>
    <x v="8"/>
  </r>
  <r>
    <n v="2352"/>
    <n v="1045"/>
    <n v="1"/>
    <s v="cali_ckn_m"/>
    <n v="1"/>
    <x v="17"/>
    <x v="3"/>
    <x v="1035"/>
    <n v="16.75"/>
    <n v="16.75"/>
    <x v="0"/>
    <x v="3"/>
    <s v="Chicken, Artichoke, Spinach, Garlic, Jalapeno Peppers, Fontina Cheese, Gouda Cheese"/>
    <x v="16"/>
  </r>
  <r>
    <n v="2353"/>
    <n v="1046"/>
    <n v="1"/>
    <s v="classic_dlx_s"/>
    <n v="1"/>
    <x v="17"/>
    <x v="3"/>
    <x v="1036"/>
    <n v="12"/>
    <n v="12"/>
    <x v="2"/>
    <x v="0"/>
    <s v="Pepperoni, Mushrooms, Red Onions, Red Peppers, Bacon"/>
    <x v="1"/>
  </r>
  <r>
    <n v="2354"/>
    <n v="1047"/>
    <n v="0.33333333333333331"/>
    <s v="bbq_ckn_s"/>
    <n v="1"/>
    <x v="17"/>
    <x v="3"/>
    <x v="1037"/>
    <n v="12.75"/>
    <n v="12.75"/>
    <x v="2"/>
    <x v="3"/>
    <s v="Barbecued Chicken, Red Peppers, Green Peppers, Tomatoes, Red Onions, Barbecue Sauce"/>
    <x v="7"/>
  </r>
  <r>
    <n v="2355"/>
    <n v="1047"/>
    <n v="0.33333333333333331"/>
    <s v="four_cheese_l"/>
    <n v="2"/>
    <x v="17"/>
    <x v="3"/>
    <x v="1037"/>
    <n v="17.95"/>
    <n v="35.9"/>
    <x v="1"/>
    <x v="1"/>
    <s v="Ricotta Cheese, Gorgonzola Piccante Cheese, Mozzarella Cheese, Parmigiano Reggiano Cheese, Garlic"/>
    <x v="21"/>
  </r>
  <r>
    <n v="2356"/>
    <n v="1047"/>
    <n v="0.33333333333333331"/>
    <s v="pepperoni_s"/>
    <n v="1"/>
    <x v="17"/>
    <x v="3"/>
    <x v="1037"/>
    <n v="9.75"/>
    <n v="9.75"/>
    <x v="2"/>
    <x v="0"/>
    <s v="Mozzarella Cheese, Pepperoni"/>
    <x v="17"/>
  </r>
  <r>
    <n v="2357"/>
    <n v="1048"/>
    <n v="1"/>
    <s v="veggie_veg_l"/>
    <n v="1"/>
    <x v="17"/>
    <x v="3"/>
    <x v="1038"/>
    <n v="20.25"/>
    <n v="20.25"/>
    <x v="1"/>
    <x v="1"/>
    <s v="Mushrooms, Tomatoes, Red Peppers, Green Peppers, Red Onions, Zucchini, Spinach, Garlic"/>
    <x v="14"/>
  </r>
  <r>
    <n v="2358"/>
    <n v="1049"/>
    <n v="1"/>
    <s v="bbq_ckn_l"/>
    <n v="1"/>
    <x v="17"/>
    <x v="3"/>
    <x v="1039"/>
    <n v="20.75"/>
    <n v="20.75"/>
    <x v="1"/>
    <x v="3"/>
    <s v="Barbecued Chicken, Red Peppers, Green Peppers, Tomatoes, Red Onions, Barbecue Sauce"/>
    <x v="7"/>
  </r>
  <r>
    <n v="2359"/>
    <n v="1050"/>
    <n v="1"/>
    <s v="spinach_fet_s"/>
    <n v="1"/>
    <x v="17"/>
    <x v="3"/>
    <x v="1040"/>
    <n v="12"/>
    <n v="12"/>
    <x v="2"/>
    <x v="1"/>
    <s v="Spinach, Mushrooms, Red Onions, Feta Cheese, Garlic"/>
    <x v="27"/>
  </r>
  <r>
    <n v="2360"/>
    <n v="1051"/>
    <n v="1"/>
    <s v="cali_ckn_l"/>
    <n v="1"/>
    <x v="17"/>
    <x v="3"/>
    <x v="1041"/>
    <n v="20.75"/>
    <n v="20.75"/>
    <x v="1"/>
    <x v="3"/>
    <s v="Chicken, Artichoke, Spinach, Garlic, Jalapeno Peppers, Fontina Cheese, Gouda Cheese"/>
    <x v="16"/>
  </r>
  <r>
    <n v="2361"/>
    <n v="1052"/>
    <n v="0.5"/>
    <s v="peppr_salami_m"/>
    <n v="1"/>
    <x v="17"/>
    <x v="3"/>
    <x v="1042"/>
    <n v="16.5"/>
    <n v="16.5"/>
    <x v="0"/>
    <x v="2"/>
    <s v="Genoa Salami, Capocollo, Pepperoni, Tomatoes, Asiago Cheese, Garlic"/>
    <x v="26"/>
  </r>
  <r>
    <n v="2362"/>
    <n v="1052"/>
    <n v="0.5"/>
    <s v="soppressata_l"/>
    <n v="1"/>
    <x v="17"/>
    <x v="3"/>
    <x v="1042"/>
    <n v="20.75"/>
    <n v="20.75"/>
    <x v="1"/>
    <x v="2"/>
    <s v="Soppressata Salami, Fontina Cheese, Mozzarella Cheese, Mushrooms, Garlic"/>
    <x v="20"/>
  </r>
  <r>
    <n v="2363"/>
    <n v="1053"/>
    <n v="0.33333333333333331"/>
    <s v="cali_ckn_m"/>
    <n v="1"/>
    <x v="17"/>
    <x v="3"/>
    <x v="1043"/>
    <n v="16.75"/>
    <n v="16.75"/>
    <x v="0"/>
    <x v="3"/>
    <s v="Chicken, Artichoke, Spinach, Garlic, Jalapeno Peppers, Fontina Cheese, Gouda Cheese"/>
    <x v="16"/>
  </r>
  <r>
    <n v="2364"/>
    <n v="1053"/>
    <n v="0.33333333333333331"/>
    <s v="pepperoni_l"/>
    <n v="1"/>
    <x v="17"/>
    <x v="3"/>
    <x v="1043"/>
    <n v="15.25"/>
    <n v="15.25"/>
    <x v="1"/>
    <x v="0"/>
    <s v="Mozzarella Cheese, Pepperoni"/>
    <x v="17"/>
  </r>
  <r>
    <n v="2365"/>
    <n v="1053"/>
    <n v="0.33333333333333331"/>
    <s v="spinach_supr_m"/>
    <n v="1"/>
    <x v="17"/>
    <x v="3"/>
    <x v="1043"/>
    <n v="16.5"/>
    <n v="16.5"/>
    <x v="0"/>
    <x v="2"/>
    <s v="Spinach, Red Onions, Pepperoni, Tomatoes, Artichokes, Kalamata Olives, Garlic, Asiago Cheese"/>
    <x v="9"/>
  </r>
  <r>
    <n v="2366"/>
    <n v="1054"/>
    <n v="0.5"/>
    <s v="bbq_ckn_m"/>
    <n v="1"/>
    <x v="17"/>
    <x v="3"/>
    <x v="1044"/>
    <n v="16.75"/>
    <n v="16.75"/>
    <x v="0"/>
    <x v="3"/>
    <s v="Barbecued Chicken, Red Peppers, Green Peppers, Tomatoes, Red Onions, Barbecue Sauce"/>
    <x v="7"/>
  </r>
  <r>
    <n v="2367"/>
    <n v="1054"/>
    <n v="0.5"/>
    <s v="pepperoni_s"/>
    <n v="1"/>
    <x v="17"/>
    <x v="3"/>
    <x v="1044"/>
    <n v="9.75"/>
    <n v="9.75"/>
    <x v="2"/>
    <x v="0"/>
    <s v="Mozzarella Cheese, Pepperoni"/>
    <x v="17"/>
  </r>
  <r>
    <n v="2368"/>
    <n v="1055"/>
    <n v="1"/>
    <s v="big_meat_s"/>
    <n v="1"/>
    <x v="17"/>
    <x v="3"/>
    <x v="1045"/>
    <n v="12"/>
    <n v="12"/>
    <x v="2"/>
    <x v="0"/>
    <s v="Bacon, Pepperoni, Italian Sausage, Chorizo Sausage"/>
    <x v="19"/>
  </r>
  <r>
    <n v="2369"/>
    <n v="1056"/>
    <n v="0.33333333333333331"/>
    <s v="bbq_ckn_m"/>
    <n v="1"/>
    <x v="17"/>
    <x v="3"/>
    <x v="1046"/>
    <n v="16.75"/>
    <n v="16.75"/>
    <x v="0"/>
    <x v="3"/>
    <s v="Barbecued Chicken, Red Peppers, Green Peppers, Tomatoes, Red Onions, Barbecue Sauce"/>
    <x v="7"/>
  </r>
  <r>
    <n v="2370"/>
    <n v="1056"/>
    <n v="0.33333333333333331"/>
    <s v="prsc_argla_m"/>
    <n v="1"/>
    <x v="17"/>
    <x v="3"/>
    <x v="1046"/>
    <n v="16.5"/>
    <n v="16.5"/>
    <x v="0"/>
    <x v="2"/>
    <s v="Prosciutto di San Daniele, Arugula, Mozzarella Cheese"/>
    <x v="6"/>
  </r>
  <r>
    <n v="2371"/>
    <n v="1056"/>
    <n v="0.33333333333333331"/>
    <s v="thai_ckn_m"/>
    <n v="1"/>
    <x v="17"/>
    <x v="3"/>
    <x v="1046"/>
    <n v="16.75"/>
    <n v="16.75"/>
    <x v="0"/>
    <x v="3"/>
    <s v="Chicken, Pineapple, Tomatoes, Red Peppers, Thai Sweet Chilli Sauce"/>
    <x v="5"/>
  </r>
  <r>
    <n v="2372"/>
    <n v="1057"/>
    <n v="0.5"/>
    <s v="hawaiian_s"/>
    <n v="1"/>
    <x v="17"/>
    <x v="3"/>
    <x v="1047"/>
    <n v="10.5"/>
    <n v="10.5"/>
    <x v="2"/>
    <x v="0"/>
    <s v="Sliced Ham, Pineapple, Mozzarella Cheese"/>
    <x v="0"/>
  </r>
  <r>
    <n v="2373"/>
    <n v="1057"/>
    <n v="0.5"/>
    <s v="pepperoni_l"/>
    <n v="1"/>
    <x v="17"/>
    <x v="3"/>
    <x v="1047"/>
    <n v="15.25"/>
    <n v="15.25"/>
    <x v="1"/>
    <x v="0"/>
    <s v="Mozzarella Cheese, Pepperoni"/>
    <x v="17"/>
  </r>
  <r>
    <n v="2374"/>
    <n v="1058"/>
    <n v="1"/>
    <s v="cali_ckn_s"/>
    <n v="1"/>
    <x v="17"/>
    <x v="3"/>
    <x v="1048"/>
    <n v="12.75"/>
    <n v="12.75"/>
    <x v="2"/>
    <x v="3"/>
    <s v="Chicken, Artichoke, Spinach, Garlic, Jalapeno Peppers, Fontina Cheese, Gouda Cheese"/>
    <x v="16"/>
  </r>
  <r>
    <n v="2375"/>
    <n v="1059"/>
    <n v="0.25"/>
    <s v="bbq_ckn_m"/>
    <n v="1"/>
    <x v="17"/>
    <x v="3"/>
    <x v="1049"/>
    <n v="16.75"/>
    <n v="16.75"/>
    <x v="0"/>
    <x v="3"/>
    <s v="Barbecued Chicken, Red Peppers, Green Peppers, Tomatoes, Red Onions, Barbecue Sauce"/>
    <x v="7"/>
  </r>
  <r>
    <n v="2376"/>
    <n v="1059"/>
    <n v="0.25"/>
    <s v="mexicana_m"/>
    <n v="1"/>
    <x v="17"/>
    <x v="3"/>
    <x v="1049"/>
    <n v="16"/>
    <n v="16"/>
    <x v="0"/>
    <x v="1"/>
    <s v="Tomatoes, Red Peppers, Jalapeno Peppers, Red Onions, Cilantro, Corn, Chipotle Sauce, Garlic"/>
    <x v="4"/>
  </r>
  <r>
    <n v="2377"/>
    <n v="1059"/>
    <n v="0.25"/>
    <s v="pepperoni_l"/>
    <n v="1"/>
    <x v="17"/>
    <x v="3"/>
    <x v="1049"/>
    <n v="15.25"/>
    <n v="15.25"/>
    <x v="1"/>
    <x v="0"/>
    <s v="Mozzarella Cheese, Pepperoni"/>
    <x v="17"/>
  </r>
  <r>
    <n v="2378"/>
    <n v="1059"/>
    <n v="0.25"/>
    <s v="spinach_supr_l"/>
    <n v="1"/>
    <x v="17"/>
    <x v="3"/>
    <x v="1049"/>
    <n v="20.75"/>
    <n v="20.75"/>
    <x v="1"/>
    <x v="2"/>
    <s v="Spinach, Red Onions, Pepperoni, Tomatoes, Artichokes, Kalamata Olives, Garlic, Asiago Cheese"/>
    <x v="9"/>
  </r>
  <r>
    <n v="2379"/>
    <n v="1060"/>
    <n v="0.5"/>
    <s v="mexicana_l"/>
    <n v="1"/>
    <x v="17"/>
    <x v="3"/>
    <x v="1050"/>
    <n v="20.25"/>
    <n v="20.25"/>
    <x v="1"/>
    <x v="1"/>
    <s v="Tomatoes, Red Peppers, Jalapeno Peppers, Red Onions, Cilantro, Corn, Chipotle Sauce, Garlic"/>
    <x v="4"/>
  </r>
  <r>
    <n v="2380"/>
    <n v="1060"/>
    <n v="0.5"/>
    <s v="spin_pesto_s"/>
    <n v="1"/>
    <x v="17"/>
    <x v="3"/>
    <x v="1050"/>
    <n v="12.5"/>
    <n v="12.5"/>
    <x v="2"/>
    <x v="1"/>
    <s v="Spinach, Artichokes, Tomatoes, Sun-dried Tomatoes, Garlic, Pesto Sauce"/>
    <x v="13"/>
  </r>
  <r>
    <n v="2381"/>
    <n v="1061"/>
    <n v="0.5"/>
    <s v="prsc_argla_s"/>
    <n v="1"/>
    <x v="17"/>
    <x v="3"/>
    <x v="1051"/>
    <n v="12.5"/>
    <n v="12.5"/>
    <x v="2"/>
    <x v="2"/>
    <s v="Prosciutto di San Daniele, Arugula, Mozzarella Cheese"/>
    <x v="6"/>
  </r>
  <r>
    <n v="2382"/>
    <n v="1061"/>
    <n v="0.5"/>
    <s v="spinach_supr_s"/>
    <n v="1"/>
    <x v="17"/>
    <x v="3"/>
    <x v="1051"/>
    <n v="12.5"/>
    <n v="12.5"/>
    <x v="2"/>
    <x v="2"/>
    <s v="Spinach, Red Onions, Pepperoni, Tomatoes, Artichokes, Kalamata Olives, Garlic, Asiago Cheese"/>
    <x v="9"/>
  </r>
  <r>
    <n v="2383"/>
    <n v="1062"/>
    <n v="0.5"/>
    <s v="ital_supr_m"/>
    <n v="2"/>
    <x v="17"/>
    <x v="3"/>
    <x v="1052"/>
    <n v="16.5"/>
    <n v="33"/>
    <x v="0"/>
    <x v="2"/>
    <s v="Calabrese Salami, Capocollo, Tomatoes, Red Onions, Green Olives, Garlic"/>
    <x v="3"/>
  </r>
  <r>
    <n v="2384"/>
    <n v="1062"/>
    <n v="0.5"/>
    <s v="napolitana_l"/>
    <n v="1"/>
    <x v="17"/>
    <x v="3"/>
    <x v="1052"/>
    <n v="20.5"/>
    <n v="20.5"/>
    <x v="1"/>
    <x v="0"/>
    <s v="Tomatoes, Anchovies, Green Olives, Red Onions, Garlic"/>
    <x v="22"/>
  </r>
  <r>
    <n v="2385"/>
    <n v="1063"/>
    <n v="0.33333333333333331"/>
    <s v="big_meat_s"/>
    <n v="1"/>
    <x v="17"/>
    <x v="3"/>
    <x v="1053"/>
    <n v="12"/>
    <n v="12"/>
    <x v="2"/>
    <x v="0"/>
    <s v="Bacon, Pepperoni, Italian Sausage, Chorizo Sausage"/>
    <x v="19"/>
  </r>
  <r>
    <n v="2386"/>
    <n v="1063"/>
    <n v="0.33333333333333331"/>
    <s v="calabrese_m"/>
    <n v="1"/>
    <x v="17"/>
    <x v="3"/>
    <x v="1053"/>
    <n v="16.25"/>
    <n v="16.25"/>
    <x v="0"/>
    <x v="2"/>
    <s v="?duja Salami, Pancetta, Tomatoes, Red Onions, Friggitello Peppers, Garlic"/>
    <x v="23"/>
  </r>
  <r>
    <n v="2387"/>
    <n v="1063"/>
    <n v="0.33333333333333331"/>
    <s v="mexicana_s"/>
    <n v="1"/>
    <x v="17"/>
    <x v="3"/>
    <x v="1053"/>
    <n v="12"/>
    <n v="12"/>
    <x v="2"/>
    <x v="1"/>
    <s v="Tomatoes, Red Peppers, Jalapeno Peppers, Red Onions, Cilantro, Corn, Chipotle Sauce, Garlic"/>
    <x v="4"/>
  </r>
  <r>
    <n v="2388"/>
    <n v="1064"/>
    <n v="1"/>
    <s v="prsc_argla_s"/>
    <n v="1"/>
    <x v="17"/>
    <x v="3"/>
    <x v="1054"/>
    <n v="12.5"/>
    <n v="12.5"/>
    <x v="2"/>
    <x v="2"/>
    <s v="Prosciutto di San Daniele, Arugula, Mozzarella Cheese"/>
    <x v="6"/>
  </r>
  <r>
    <n v="2389"/>
    <n v="1065"/>
    <n v="0.25"/>
    <s v="bbq_ckn_m"/>
    <n v="1"/>
    <x v="17"/>
    <x v="3"/>
    <x v="1055"/>
    <n v="16.75"/>
    <n v="16.75"/>
    <x v="0"/>
    <x v="3"/>
    <s v="Barbecued Chicken, Red Peppers, Green Peppers, Tomatoes, Red Onions, Barbecue Sauce"/>
    <x v="7"/>
  </r>
  <r>
    <n v="2390"/>
    <n v="1065"/>
    <n v="0.25"/>
    <s v="cali_ckn_l"/>
    <n v="1"/>
    <x v="17"/>
    <x v="3"/>
    <x v="1055"/>
    <n v="20.75"/>
    <n v="20.75"/>
    <x v="1"/>
    <x v="3"/>
    <s v="Chicken, Artichoke, Spinach, Garlic, Jalapeno Peppers, Fontina Cheese, Gouda Cheese"/>
    <x v="16"/>
  </r>
  <r>
    <n v="2391"/>
    <n v="1065"/>
    <n v="0.25"/>
    <s v="ckn_pesto_l"/>
    <n v="1"/>
    <x v="17"/>
    <x v="3"/>
    <x v="1055"/>
    <n v="20.75"/>
    <n v="20.75"/>
    <x v="1"/>
    <x v="3"/>
    <s v="Chicken, Tomatoes, Red Peppers, Spinach, Garlic, Pesto Sauce"/>
    <x v="18"/>
  </r>
  <r>
    <n v="2392"/>
    <n v="1065"/>
    <n v="0.25"/>
    <s v="veggie_veg_m"/>
    <n v="1"/>
    <x v="17"/>
    <x v="3"/>
    <x v="1055"/>
    <n v="16"/>
    <n v="16"/>
    <x v="0"/>
    <x v="1"/>
    <s v="Mushrooms, Tomatoes, Red Peppers, Green Peppers, Red Onions, Zucchini, Spinach, Garlic"/>
    <x v="14"/>
  </r>
  <r>
    <n v="2393"/>
    <n v="1066"/>
    <n v="0.25"/>
    <s v="cali_ckn_m"/>
    <n v="1"/>
    <x v="17"/>
    <x v="3"/>
    <x v="1056"/>
    <n v="16.75"/>
    <n v="16.75"/>
    <x v="0"/>
    <x v="3"/>
    <s v="Chicken, Artichoke, Spinach, Garlic, Jalapeno Peppers, Fontina Cheese, Gouda Cheese"/>
    <x v="16"/>
  </r>
  <r>
    <n v="2394"/>
    <n v="1066"/>
    <n v="0.25"/>
    <s v="classic_dlx_m"/>
    <n v="1"/>
    <x v="17"/>
    <x v="3"/>
    <x v="1056"/>
    <n v="16"/>
    <n v="16"/>
    <x v="0"/>
    <x v="0"/>
    <s v="Pepperoni, Mushrooms, Red Onions, Red Peppers, Bacon"/>
    <x v="1"/>
  </r>
  <r>
    <n v="2395"/>
    <n v="1066"/>
    <n v="0.25"/>
    <s v="ital_veggie_s"/>
    <n v="1"/>
    <x v="17"/>
    <x v="3"/>
    <x v="1056"/>
    <n v="12.75"/>
    <n v="12.75"/>
    <x v="2"/>
    <x v="1"/>
    <s v="Eggplant, Artichokes, Tomatoes, Zucchini, Red Peppers, Garlic, Pesto Sauce"/>
    <x v="24"/>
  </r>
  <r>
    <n v="2396"/>
    <n v="1066"/>
    <n v="0.25"/>
    <s v="pep_msh_pep_s"/>
    <n v="1"/>
    <x v="17"/>
    <x v="3"/>
    <x v="1056"/>
    <n v="11"/>
    <n v="11"/>
    <x v="2"/>
    <x v="0"/>
    <s v="Pepperoni, Mushrooms, Green Peppers"/>
    <x v="30"/>
  </r>
  <r>
    <n v="2397"/>
    <n v="1067"/>
    <n v="0.33333333333333331"/>
    <s v="cali_ckn_l"/>
    <n v="1"/>
    <x v="17"/>
    <x v="3"/>
    <x v="1057"/>
    <n v="20.75"/>
    <n v="20.75"/>
    <x v="1"/>
    <x v="3"/>
    <s v="Chicken, Artichoke, Spinach, Garlic, Jalapeno Peppers, Fontina Cheese, Gouda Cheese"/>
    <x v="16"/>
  </r>
  <r>
    <n v="2398"/>
    <n v="1067"/>
    <n v="0.33333333333333331"/>
    <s v="hawaiian_l"/>
    <n v="1"/>
    <x v="17"/>
    <x v="3"/>
    <x v="1057"/>
    <n v="16.5"/>
    <n v="16.5"/>
    <x v="1"/>
    <x v="0"/>
    <s v="Sliced Ham, Pineapple, Mozzarella Cheese"/>
    <x v="0"/>
  </r>
  <r>
    <n v="2399"/>
    <n v="1067"/>
    <n v="0.33333333333333331"/>
    <s v="peppr_salami_l"/>
    <n v="1"/>
    <x v="17"/>
    <x v="3"/>
    <x v="1057"/>
    <n v="20.75"/>
    <n v="20.75"/>
    <x v="1"/>
    <x v="2"/>
    <s v="Genoa Salami, Capocollo, Pepperoni, Tomatoes, Asiago Cheese, Garlic"/>
    <x v="26"/>
  </r>
  <r>
    <n v="2400"/>
    <n v="1068"/>
    <n v="0.5"/>
    <s v="sicilian_m"/>
    <n v="1"/>
    <x v="17"/>
    <x v="3"/>
    <x v="1058"/>
    <n v="16.25"/>
    <n v="16.25"/>
    <x v="0"/>
    <x v="2"/>
    <s v="Coarse Sicilian Salami, Tomatoes, Green Olives, Luganega Sausage, Onions, Garlic"/>
    <x v="28"/>
  </r>
  <r>
    <n v="2401"/>
    <n v="1068"/>
    <n v="0.5"/>
    <s v="southw_ckn_l"/>
    <n v="1"/>
    <x v="17"/>
    <x v="3"/>
    <x v="1058"/>
    <n v="20.75"/>
    <n v="20.75"/>
    <x v="1"/>
    <x v="3"/>
    <s v="Chicken, Tomatoes, Red Peppers, Red Onions, Jalapeno Peppers, Corn, Cilantro, Chipotle Sauce"/>
    <x v="15"/>
  </r>
  <r>
    <n v="2402"/>
    <n v="1069"/>
    <n v="0.33333333333333331"/>
    <s v="big_meat_s"/>
    <n v="1"/>
    <x v="17"/>
    <x v="3"/>
    <x v="1059"/>
    <n v="12"/>
    <n v="12"/>
    <x v="2"/>
    <x v="0"/>
    <s v="Bacon, Pepperoni, Italian Sausage, Chorizo Sausage"/>
    <x v="19"/>
  </r>
  <r>
    <n v="2403"/>
    <n v="1069"/>
    <n v="0.33333333333333331"/>
    <s v="sicilian_s"/>
    <n v="1"/>
    <x v="17"/>
    <x v="3"/>
    <x v="1059"/>
    <n v="12.25"/>
    <n v="12.25"/>
    <x v="2"/>
    <x v="2"/>
    <s v="Coarse Sicilian Salami, Tomatoes, Green Olives, Luganega Sausage, Onions, Garlic"/>
    <x v="28"/>
  </r>
  <r>
    <n v="2404"/>
    <n v="1069"/>
    <n v="0.33333333333333331"/>
    <s v="thai_ckn_s"/>
    <n v="1"/>
    <x v="17"/>
    <x v="3"/>
    <x v="1059"/>
    <n v="12.75"/>
    <n v="12.75"/>
    <x v="2"/>
    <x v="3"/>
    <s v="Chicken, Pineapple, Tomatoes, Red Peppers, Thai Sweet Chilli Sauce"/>
    <x v="5"/>
  </r>
  <r>
    <n v="2405"/>
    <n v="1070"/>
    <n v="0.5"/>
    <s v="bbq_ckn_m"/>
    <n v="1"/>
    <x v="17"/>
    <x v="3"/>
    <x v="1060"/>
    <n v="16.75"/>
    <n v="16.75"/>
    <x v="0"/>
    <x v="3"/>
    <s v="Barbecued Chicken, Red Peppers, Green Peppers, Tomatoes, Red Onions, Barbecue Sauce"/>
    <x v="7"/>
  </r>
  <r>
    <n v="2406"/>
    <n v="1070"/>
    <n v="0.5"/>
    <s v="pepperoni_l"/>
    <n v="1"/>
    <x v="17"/>
    <x v="3"/>
    <x v="1060"/>
    <n v="15.25"/>
    <n v="15.25"/>
    <x v="1"/>
    <x v="0"/>
    <s v="Mozzarella Cheese, Pepperoni"/>
    <x v="17"/>
  </r>
  <r>
    <n v="2407"/>
    <n v="1071"/>
    <n v="0.33333333333333331"/>
    <s v="pep_msh_pep_m"/>
    <n v="1"/>
    <x v="17"/>
    <x v="3"/>
    <x v="1061"/>
    <n v="14.5"/>
    <n v="14.5"/>
    <x v="0"/>
    <x v="0"/>
    <s v="Pepperoni, Mushrooms, Green Peppers"/>
    <x v="30"/>
  </r>
  <r>
    <n v="2408"/>
    <n v="1071"/>
    <n v="0.33333333333333331"/>
    <s v="peppr_salami_s"/>
    <n v="1"/>
    <x v="17"/>
    <x v="3"/>
    <x v="1061"/>
    <n v="12.5"/>
    <n v="12.5"/>
    <x v="2"/>
    <x v="2"/>
    <s v="Genoa Salami, Capocollo, Pepperoni, Tomatoes, Asiago Cheese, Garlic"/>
    <x v="26"/>
  </r>
  <r>
    <n v="2409"/>
    <n v="1071"/>
    <n v="0.33333333333333331"/>
    <s v="spin_pesto_m"/>
    <n v="1"/>
    <x v="17"/>
    <x v="3"/>
    <x v="1061"/>
    <n v="16.5"/>
    <n v="16.5"/>
    <x v="0"/>
    <x v="1"/>
    <s v="Spinach, Artichokes, Tomatoes, Sun-dried Tomatoes, Garlic, Pesto Sauce"/>
    <x v="13"/>
  </r>
  <r>
    <n v="2410"/>
    <n v="1072"/>
    <n v="0.33333333333333331"/>
    <s v="classic_dlx_s"/>
    <n v="1"/>
    <x v="17"/>
    <x v="3"/>
    <x v="1062"/>
    <n v="12"/>
    <n v="12"/>
    <x v="2"/>
    <x v="0"/>
    <s v="Pepperoni, Mushrooms, Red Onions, Red Peppers, Bacon"/>
    <x v="1"/>
  </r>
  <r>
    <n v="2411"/>
    <n v="1072"/>
    <n v="0.33333333333333331"/>
    <s v="five_cheese_l"/>
    <n v="1"/>
    <x v="17"/>
    <x v="3"/>
    <x v="1062"/>
    <n v="18.5"/>
    <n v="18.5"/>
    <x v="1"/>
    <x v="1"/>
    <s v="Mozzarella Cheese, Provolone Cheese, Smoked Gouda Cheese, Romano Cheese, Blue Cheese, Garlic"/>
    <x v="2"/>
  </r>
  <r>
    <n v="2412"/>
    <n v="1072"/>
    <n v="0.33333333333333331"/>
    <s v="four_cheese_m"/>
    <n v="1"/>
    <x v="17"/>
    <x v="3"/>
    <x v="1062"/>
    <n v="14.75"/>
    <n v="14.75"/>
    <x v="0"/>
    <x v="1"/>
    <s v="Ricotta Cheese, Gorgonzola Piccante Cheese, Mozzarella Cheese, Parmigiano Reggiano Cheese, Garlic"/>
    <x v="21"/>
  </r>
  <r>
    <n v="2413"/>
    <n v="1073"/>
    <n v="0.33333333333333331"/>
    <s v="five_cheese_l"/>
    <n v="1"/>
    <x v="17"/>
    <x v="3"/>
    <x v="1063"/>
    <n v="18.5"/>
    <n v="18.5"/>
    <x v="1"/>
    <x v="1"/>
    <s v="Mozzarella Cheese, Provolone Cheese, Smoked Gouda Cheese, Romano Cheese, Blue Cheese, Garlic"/>
    <x v="2"/>
  </r>
  <r>
    <n v="2414"/>
    <n v="1073"/>
    <n v="0.33333333333333331"/>
    <s v="spicy_ital_l"/>
    <n v="1"/>
    <x v="17"/>
    <x v="3"/>
    <x v="1063"/>
    <n v="20.75"/>
    <n v="20.75"/>
    <x v="1"/>
    <x v="2"/>
    <s v="Capocollo, Tomatoes, Goat Cheese, Artichokes, Peperoncini verdi, Garlic"/>
    <x v="12"/>
  </r>
  <r>
    <n v="2415"/>
    <n v="1073"/>
    <n v="0.33333333333333331"/>
    <s v="spin_pesto_m"/>
    <n v="1"/>
    <x v="17"/>
    <x v="3"/>
    <x v="1063"/>
    <n v="16.5"/>
    <n v="16.5"/>
    <x v="0"/>
    <x v="1"/>
    <s v="Spinach, Artichokes, Tomatoes, Sun-dried Tomatoes, Garlic, Pesto Sauce"/>
    <x v="13"/>
  </r>
  <r>
    <n v="2416"/>
    <n v="1074"/>
    <n v="1"/>
    <s v="ital_veggie_l"/>
    <n v="1"/>
    <x v="17"/>
    <x v="3"/>
    <x v="1064"/>
    <n v="21"/>
    <n v="21"/>
    <x v="1"/>
    <x v="1"/>
    <s v="Eggplant, Artichokes, Tomatoes, Zucchini, Red Peppers, Garlic, Pesto Sauce"/>
    <x v="24"/>
  </r>
  <r>
    <n v="2417"/>
    <n v="1075"/>
    <n v="1"/>
    <s v="mexicana_l"/>
    <n v="1"/>
    <x v="17"/>
    <x v="3"/>
    <x v="1065"/>
    <n v="20.25"/>
    <n v="20.25"/>
    <x v="1"/>
    <x v="1"/>
    <s v="Tomatoes, Red Peppers, Jalapeno Peppers, Red Onions, Cilantro, Corn, Chipotle Sauce, Garlic"/>
    <x v="4"/>
  </r>
  <r>
    <n v="2418"/>
    <n v="1076"/>
    <n v="0.5"/>
    <s v="ital_supr_m"/>
    <n v="1"/>
    <x v="17"/>
    <x v="3"/>
    <x v="1066"/>
    <n v="16.5"/>
    <n v="16.5"/>
    <x v="0"/>
    <x v="2"/>
    <s v="Calabrese Salami, Capocollo, Tomatoes, Red Onions, Green Olives, Garlic"/>
    <x v="3"/>
  </r>
  <r>
    <n v="2419"/>
    <n v="1076"/>
    <n v="0.5"/>
    <s v="pepperoni_l"/>
    <n v="1"/>
    <x v="17"/>
    <x v="3"/>
    <x v="1066"/>
    <n v="15.25"/>
    <n v="15.25"/>
    <x v="1"/>
    <x v="0"/>
    <s v="Mozzarella Cheese, Pepperoni"/>
    <x v="17"/>
  </r>
  <r>
    <n v="2420"/>
    <n v="1077"/>
    <n v="1"/>
    <s v="ckn_alfredo_m"/>
    <n v="1"/>
    <x v="17"/>
    <x v="3"/>
    <x v="1067"/>
    <n v="16.75"/>
    <n v="16.75"/>
    <x v="0"/>
    <x v="3"/>
    <s v="Chicken, Red Onions, Red Peppers, Mushrooms, Asiago Cheese, Alfredo Sauce"/>
    <x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886D0-46AC-4EDE-9C35-DC81BDB9E423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C4" firstHeaderRow="0" firstDataRow="1" firstDataCol="0"/>
  <pivotFields count="17">
    <pivotField showAll="0"/>
    <pivotField showAll="0"/>
    <pivotField dataField="1" showAll="0"/>
    <pivotField showAll="0"/>
    <pivotField dataField="1"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9" baseField="0" baseItem="0"/>
    <dataField name="Sum of total_orders" fld="2" baseField="0" baseItem="0"/>
    <dataField name="Sum of quantity" fld="4" baseField="0" baseItem="0"/>
  </dataFields>
  <pivotTableStyleInfo name="PivotStyleLight16" showRowHeaders="1" showColHeaders="1" showRowStripes="0" showColStripes="0" showLastColumn="1"/>
  <filters count="1">
    <filter fld="5" type="dateBetween" evalOrder="-1" id="28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953B-624E-4C4C-A883-6A54C28AD1BA}" name=" Daily Trend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3:B11" firstHeaderRow="1" firstDataRow="1" firstDataCol="1"/>
  <pivotFields count="17">
    <pivotField showAll="0"/>
    <pivotField showAll="0"/>
    <pivotField dataField="1" showAll="0"/>
    <pivotField showAll="0"/>
    <pivotField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showAll="0">
      <items count="8">
        <item x="3"/>
        <item x="4"/>
        <item x="5"/>
        <item x="6"/>
        <item x="0"/>
        <item x="1"/>
        <item x="2"/>
        <item t="default"/>
      </items>
    </pivotField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ord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28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416D78-4ABE-495F-BEB9-B727EB566E63}" name="Hourly trend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7">
  <location ref="A16:B29" firstHeaderRow="1" firstDataRow="1" firstDataCol="1"/>
  <pivotFields count="17">
    <pivotField showAll="0"/>
    <pivotField showAll="0"/>
    <pivotField dataField="1" showAll="0"/>
    <pivotField showAll="0"/>
    <pivotField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>
      <items count="8">
        <item x="3"/>
        <item x="4"/>
        <item x="5"/>
        <item x="6"/>
        <item x="0"/>
        <item x="1"/>
        <item x="2"/>
        <item t="default"/>
      </items>
    </pivotField>
    <pivotField axis="axisRow"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4">
    <field x="16"/>
    <field x="15"/>
    <field x="14"/>
    <field x="7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_orders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28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CBB2A4-DBAF-47E3-8A7E-AB09F169A42D}" name="total pizza sold by pizza category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26:B31" firstHeaderRow="1" firstDataRow="1" firstDataCol="1"/>
  <pivotFields count="17">
    <pivotField showAll="0"/>
    <pivotField showAll="0"/>
    <pivotField showAll="0"/>
    <pivotField showAll="0"/>
    <pivotField dataField="1"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filters count="1">
    <filter fld="5" type="dateBetween" evalOrder="-1" id="28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70A99-534A-412E-A7BE-66AE1A0CBEB4}" name="% of pizza size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6">
  <location ref="A14:B19" firstHeaderRow="1" firstDataRow="1" firstDataCol="1"/>
  <pivotFields count="17">
    <pivotField showAll="0"/>
    <pivotField showAll="0"/>
    <pivotField showAll="0"/>
    <pivotField showAll="0"/>
    <pivotField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9" showDataAs="percentOfTotal" baseField="0" baseItem="0" numFmtId="1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29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95A193-05F7-4115-BA1F-C56CAFEA96BE}" name="Percentage of sales by pizza category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A3:B8" firstHeaderRow="1" firstDataRow="1" firstDataCol="1"/>
  <pivotFields count="17">
    <pivotField showAll="0"/>
    <pivotField showAll="0"/>
    <pivotField showAll="0"/>
    <pivotField showAll="0"/>
    <pivotField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dataField="1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price" fld="9" showDataAs="percentOfTotal" baseField="0" baseItem="0" numFmtId="1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dateBetween" evalOrder="-1" id="28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4A7FA-20DC-4F41-A367-0F837E662268}" name="Top 5 pizza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3:B10" firstHeaderRow="1" firstDataRow="1" firstDataCol="1"/>
  <pivotFields count="17">
    <pivotField showAll="0"/>
    <pivotField showAll="0"/>
    <pivotField showAll="0"/>
    <pivotField showAll="0"/>
    <pivotField dataField="1"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ascending">
      <items count="33">
        <item x="7"/>
        <item x="19"/>
        <item x="31"/>
        <item x="23"/>
        <item x="16"/>
        <item x="29"/>
        <item x="18"/>
        <item x="1"/>
        <item x="2"/>
        <item x="21"/>
        <item x="8"/>
        <item x="10"/>
        <item x="0"/>
        <item x="11"/>
        <item x="3"/>
        <item x="24"/>
        <item x="25"/>
        <item x="4"/>
        <item x="22"/>
        <item x="26"/>
        <item x="17"/>
        <item x="30"/>
        <item x="6"/>
        <item x="28"/>
        <item x="20"/>
        <item x="15"/>
        <item x="12"/>
        <item x="27"/>
        <item x="13"/>
        <item x="9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3"/>
  </rowFields>
  <rowItems count="7">
    <i>
      <x v="7"/>
    </i>
    <i>
      <x v="23"/>
    </i>
    <i>
      <x v="4"/>
    </i>
    <i>
      <x v="30"/>
    </i>
    <i>
      <x/>
    </i>
    <i>
      <x v="20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29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4A919-B9EB-4D5E-971B-0A8D6F2B3FC1}" name="bottom 5 pizza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A14:B20" firstHeaderRow="1" firstDataRow="1" firstDataCol="1"/>
  <pivotFields count="17">
    <pivotField showAll="0"/>
    <pivotField showAll="0"/>
    <pivotField showAll="0"/>
    <pivotField showAll="0"/>
    <pivotField dataField="1" showAll="0"/>
    <pivotField numFmtId="14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numFmtId="22" showAll="0">
      <items count="1069">
        <item x="501"/>
        <item x="429"/>
        <item x="903"/>
        <item x="254"/>
        <item x="904"/>
        <item x="780"/>
        <item x="202"/>
        <item x="733"/>
        <item x="136"/>
        <item x="781"/>
        <item x="905"/>
        <item x="203"/>
        <item x="842"/>
        <item x="678"/>
        <item x="0"/>
        <item x="69"/>
        <item x="1021"/>
        <item x="307"/>
        <item x="430"/>
        <item x="679"/>
        <item x="906"/>
        <item x="308"/>
        <item x="70"/>
        <item x="626"/>
        <item x="204"/>
        <item x="627"/>
        <item x="137"/>
        <item x="628"/>
        <item x="205"/>
        <item x="1022"/>
        <item x="371"/>
        <item x="782"/>
        <item x="783"/>
        <item x="502"/>
        <item x="431"/>
        <item x="784"/>
        <item x="629"/>
        <item x="968"/>
        <item x="1023"/>
        <item x="432"/>
        <item x="503"/>
        <item x="907"/>
        <item x="372"/>
        <item x="255"/>
        <item x="843"/>
        <item x="71"/>
        <item x="309"/>
        <item x="138"/>
        <item x="1"/>
        <item x="373"/>
        <item x="72"/>
        <item x="256"/>
        <item x="257"/>
        <item x="73"/>
        <item x="374"/>
        <item x="680"/>
        <item x="969"/>
        <item x="504"/>
        <item x="375"/>
        <item x="206"/>
        <item x="258"/>
        <item x="310"/>
        <item x="505"/>
        <item x="433"/>
        <item x="259"/>
        <item x="434"/>
        <item x="785"/>
        <item x="435"/>
        <item x="1024"/>
        <item x="844"/>
        <item x="436"/>
        <item x="311"/>
        <item x="74"/>
        <item x="562"/>
        <item x="681"/>
        <item x="312"/>
        <item x="207"/>
        <item x="2"/>
        <item x="682"/>
        <item x="437"/>
        <item x="1025"/>
        <item x="506"/>
        <item x="507"/>
        <item x="630"/>
        <item x="908"/>
        <item x="508"/>
        <item x="845"/>
        <item x="3"/>
        <item x="438"/>
        <item x="734"/>
        <item x="439"/>
        <item x="313"/>
        <item x="509"/>
        <item x="631"/>
        <item x="510"/>
        <item x="376"/>
        <item x="735"/>
        <item x="846"/>
        <item x="683"/>
        <item x="75"/>
        <item x="563"/>
        <item x="4"/>
        <item x="76"/>
        <item x="511"/>
        <item x="786"/>
        <item x="970"/>
        <item x="377"/>
        <item x="684"/>
        <item x="139"/>
        <item x="512"/>
        <item x="564"/>
        <item x="77"/>
        <item x="440"/>
        <item x="565"/>
        <item x="78"/>
        <item x="208"/>
        <item x="314"/>
        <item x="5"/>
        <item x="736"/>
        <item x="909"/>
        <item x="315"/>
        <item x="378"/>
        <item x="379"/>
        <item x="380"/>
        <item x="685"/>
        <item x="847"/>
        <item x="209"/>
        <item x="910"/>
        <item x="441"/>
        <item x="632"/>
        <item x="79"/>
        <item x="848"/>
        <item x="566"/>
        <item x="787"/>
        <item x="788"/>
        <item x="260"/>
        <item x="789"/>
        <item x="80"/>
        <item x="442"/>
        <item x="261"/>
        <item x="686"/>
        <item x="790"/>
        <item x="791"/>
        <item x="381"/>
        <item x="633"/>
        <item x="316"/>
        <item x="81"/>
        <item x="687"/>
        <item x="317"/>
        <item x="318"/>
        <item x="737"/>
        <item x="634"/>
        <item x="1026"/>
        <item x="792"/>
        <item x="793"/>
        <item x="6"/>
        <item x="849"/>
        <item x="794"/>
        <item x="7"/>
        <item x="382"/>
        <item x="8"/>
        <item x="738"/>
        <item x="82"/>
        <item x="688"/>
        <item x="383"/>
        <item x="210"/>
        <item x="795"/>
        <item x="319"/>
        <item x="850"/>
        <item x="262"/>
        <item x="971"/>
        <item x="443"/>
        <item x="444"/>
        <item x="384"/>
        <item x="972"/>
        <item x="851"/>
        <item x="9"/>
        <item x="852"/>
        <item x="445"/>
        <item x="320"/>
        <item x="10"/>
        <item x="385"/>
        <item x="446"/>
        <item x="853"/>
        <item x="263"/>
        <item x="447"/>
        <item x="689"/>
        <item x="11"/>
        <item x="264"/>
        <item x="1027"/>
        <item x="386"/>
        <item x="854"/>
        <item x="321"/>
        <item x="911"/>
        <item x="322"/>
        <item x="323"/>
        <item x="513"/>
        <item x="448"/>
        <item x="739"/>
        <item x="855"/>
        <item x="514"/>
        <item x="515"/>
        <item x="265"/>
        <item x="324"/>
        <item x="387"/>
        <item x="856"/>
        <item x="796"/>
        <item x="325"/>
        <item x="912"/>
        <item x="516"/>
        <item x="12"/>
        <item x="857"/>
        <item x="83"/>
        <item x="567"/>
        <item x="13"/>
        <item x="568"/>
        <item x="1028"/>
        <item x="517"/>
        <item x="388"/>
        <item x="140"/>
        <item x="211"/>
        <item x="326"/>
        <item x="913"/>
        <item x="914"/>
        <item x="449"/>
        <item x="915"/>
        <item x="212"/>
        <item x="518"/>
        <item x="327"/>
        <item x="635"/>
        <item x="916"/>
        <item x="797"/>
        <item x="450"/>
        <item x="389"/>
        <item x="328"/>
        <item x="451"/>
        <item x="917"/>
        <item x="636"/>
        <item x="690"/>
        <item x="452"/>
        <item x="14"/>
        <item x="691"/>
        <item x="1029"/>
        <item x="141"/>
        <item x="15"/>
        <item x="740"/>
        <item x="84"/>
        <item x="390"/>
        <item x="741"/>
        <item x="637"/>
        <item x="266"/>
        <item x="798"/>
        <item x="453"/>
        <item x="213"/>
        <item x="569"/>
        <item x="638"/>
        <item x="85"/>
        <item x="267"/>
        <item x="570"/>
        <item x="571"/>
        <item x="742"/>
        <item x="142"/>
        <item x="799"/>
        <item x="918"/>
        <item x="519"/>
        <item x="639"/>
        <item x="329"/>
        <item x="572"/>
        <item x="143"/>
        <item x="214"/>
        <item x="573"/>
        <item x="454"/>
        <item x="391"/>
        <item x="574"/>
        <item x="268"/>
        <item x="692"/>
        <item x="575"/>
        <item x="919"/>
        <item x="640"/>
        <item x="16"/>
        <item x="144"/>
        <item x="576"/>
        <item x="1030"/>
        <item x="973"/>
        <item x="17"/>
        <item x="693"/>
        <item x="455"/>
        <item x="18"/>
        <item x="920"/>
        <item x="1031"/>
        <item x="456"/>
        <item x="86"/>
        <item x="392"/>
        <item x="19"/>
        <item x="641"/>
        <item x="858"/>
        <item x="1032"/>
        <item x="642"/>
        <item x="643"/>
        <item x="1033"/>
        <item x="800"/>
        <item x="694"/>
        <item x="269"/>
        <item x="520"/>
        <item x="859"/>
        <item x="87"/>
        <item x="393"/>
        <item x="330"/>
        <item x="394"/>
        <item x="801"/>
        <item x="974"/>
        <item x="577"/>
        <item x="457"/>
        <item x="20"/>
        <item x="921"/>
        <item x="743"/>
        <item x="802"/>
        <item x="803"/>
        <item x="21"/>
        <item x="331"/>
        <item x="644"/>
        <item x="860"/>
        <item x="22"/>
        <item x="861"/>
        <item x="458"/>
        <item x="1034"/>
        <item x="459"/>
        <item x="145"/>
        <item x="1035"/>
        <item x="270"/>
        <item x="23"/>
        <item x="271"/>
        <item x="578"/>
        <item x="332"/>
        <item x="922"/>
        <item x="333"/>
        <item x="804"/>
        <item x="695"/>
        <item x="862"/>
        <item x="744"/>
        <item x="272"/>
        <item x="645"/>
        <item x="975"/>
        <item x="88"/>
        <item x="395"/>
        <item x="696"/>
        <item x="863"/>
        <item x="215"/>
        <item x="146"/>
        <item x="579"/>
        <item x="697"/>
        <item x="976"/>
        <item x="646"/>
        <item x="977"/>
        <item x="216"/>
        <item x="217"/>
        <item x="978"/>
        <item x="273"/>
        <item x="274"/>
        <item x="864"/>
        <item x="698"/>
        <item x="460"/>
        <item x="1036"/>
        <item x="461"/>
        <item x="147"/>
        <item x="979"/>
        <item x="218"/>
        <item x="521"/>
        <item x="24"/>
        <item x="980"/>
        <item x="865"/>
        <item x="745"/>
        <item x="805"/>
        <item x="866"/>
        <item x="148"/>
        <item x="806"/>
        <item x="462"/>
        <item x="647"/>
        <item x="149"/>
        <item x="1037"/>
        <item x="522"/>
        <item x="334"/>
        <item x="1038"/>
        <item x="25"/>
        <item x="463"/>
        <item x="396"/>
        <item x="1039"/>
        <item x="923"/>
        <item x="335"/>
        <item x="580"/>
        <item x="1040"/>
        <item x="867"/>
        <item x="746"/>
        <item x="699"/>
        <item x="981"/>
        <item x="1041"/>
        <item x="523"/>
        <item x="89"/>
        <item x="150"/>
        <item x="151"/>
        <item x="524"/>
        <item x="26"/>
        <item x="90"/>
        <item x="152"/>
        <item x="91"/>
        <item x="275"/>
        <item x="336"/>
        <item x="747"/>
        <item x="868"/>
        <item x="748"/>
        <item x="153"/>
        <item x="869"/>
        <item x="525"/>
        <item x="337"/>
        <item x="870"/>
        <item x="526"/>
        <item x="924"/>
        <item x="1042"/>
        <item x="700"/>
        <item x="154"/>
        <item x="92"/>
        <item x="464"/>
        <item x="701"/>
        <item x="527"/>
        <item x="219"/>
        <item x="871"/>
        <item x="465"/>
        <item x="220"/>
        <item x="925"/>
        <item x="338"/>
        <item x="27"/>
        <item x="339"/>
        <item x="466"/>
        <item x="467"/>
        <item x="807"/>
        <item x="702"/>
        <item x="28"/>
        <item x="29"/>
        <item x="703"/>
        <item x="276"/>
        <item x="155"/>
        <item x="528"/>
        <item x="156"/>
        <item x="1043"/>
        <item x="982"/>
        <item x="340"/>
        <item x="341"/>
        <item x="221"/>
        <item x="397"/>
        <item x="749"/>
        <item x="926"/>
        <item x="468"/>
        <item x="277"/>
        <item x="983"/>
        <item x="30"/>
        <item x="750"/>
        <item x="704"/>
        <item x="31"/>
        <item x="705"/>
        <item x="32"/>
        <item x="157"/>
        <item x="751"/>
        <item x="927"/>
        <item x="1044"/>
        <item x="529"/>
        <item x="581"/>
        <item x="158"/>
        <item x="706"/>
        <item x="342"/>
        <item x="343"/>
        <item x="398"/>
        <item x="648"/>
        <item x="872"/>
        <item x="278"/>
        <item x="1045"/>
        <item x="222"/>
        <item x="399"/>
        <item x="808"/>
        <item x="582"/>
        <item x="752"/>
        <item x="1046"/>
        <item x="873"/>
        <item x="530"/>
        <item x="753"/>
        <item x="754"/>
        <item x="928"/>
        <item x="984"/>
        <item x="93"/>
        <item x="94"/>
        <item x="649"/>
        <item x="1047"/>
        <item x="929"/>
        <item x="874"/>
        <item x="985"/>
        <item x="279"/>
        <item x="469"/>
        <item x="930"/>
        <item x="707"/>
        <item x="95"/>
        <item x="33"/>
        <item x="809"/>
        <item x="708"/>
        <item x="400"/>
        <item x="401"/>
        <item x="755"/>
        <item x="531"/>
        <item x="470"/>
        <item x="344"/>
        <item x="1048"/>
        <item x="1049"/>
        <item x="756"/>
        <item x="709"/>
        <item x="34"/>
        <item x="583"/>
        <item x="584"/>
        <item x="280"/>
        <item x="650"/>
        <item x="159"/>
        <item x="757"/>
        <item x="345"/>
        <item x="810"/>
        <item x="758"/>
        <item x="402"/>
        <item x="759"/>
        <item x="1050"/>
        <item x="223"/>
        <item x="875"/>
        <item x="471"/>
        <item x="224"/>
        <item x="931"/>
        <item x="532"/>
        <item x="651"/>
        <item x="160"/>
        <item x="403"/>
        <item x="876"/>
        <item x="652"/>
        <item x="96"/>
        <item x="653"/>
        <item x="472"/>
        <item x="346"/>
        <item x="281"/>
        <item x="404"/>
        <item x="161"/>
        <item x="282"/>
        <item x="35"/>
        <item x="162"/>
        <item x="710"/>
        <item x="654"/>
        <item x="877"/>
        <item x="36"/>
        <item x="163"/>
        <item x="655"/>
        <item x="405"/>
        <item x="878"/>
        <item x="986"/>
        <item x="164"/>
        <item x="879"/>
        <item x="283"/>
        <item x="284"/>
        <item x="165"/>
        <item x="932"/>
        <item x="225"/>
        <item x="166"/>
        <item x="285"/>
        <item x="167"/>
        <item x="37"/>
        <item x="811"/>
        <item x="933"/>
        <item x="711"/>
        <item x="880"/>
        <item x="712"/>
        <item x="38"/>
        <item x="533"/>
        <item x="934"/>
        <item x="406"/>
        <item x="656"/>
        <item x="812"/>
        <item x="987"/>
        <item x="760"/>
        <item x="585"/>
        <item x="881"/>
        <item x="882"/>
        <item x="39"/>
        <item x="407"/>
        <item x="473"/>
        <item x="40"/>
        <item x="168"/>
        <item x="813"/>
        <item x="988"/>
        <item x="1051"/>
        <item x="657"/>
        <item x="97"/>
        <item x="935"/>
        <item x="534"/>
        <item x="989"/>
        <item x="990"/>
        <item x="169"/>
        <item x="1052"/>
        <item x="814"/>
        <item x="761"/>
        <item x="762"/>
        <item x="658"/>
        <item x="936"/>
        <item x="170"/>
        <item x="763"/>
        <item x="586"/>
        <item x="535"/>
        <item x="815"/>
        <item x="991"/>
        <item x="226"/>
        <item x="713"/>
        <item x="347"/>
        <item x="883"/>
        <item x="474"/>
        <item x="992"/>
        <item x="41"/>
        <item x="1053"/>
        <item x="659"/>
        <item x="171"/>
        <item x="993"/>
        <item x="1054"/>
        <item x="475"/>
        <item x="286"/>
        <item x="994"/>
        <item x="227"/>
        <item x="884"/>
        <item x="287"/>
        <item x="587"/>
        <item x="408"/>
        <item x="660"/>
        <item x="172"/>
        <item x="476"/>
        <item x="288"/>
        <item x="477"/>
        <item x="348"/>
        <item x="816"/>
        <item x="349"/>
        <item x="173"/>
        <item x="228"/>
        <item x="42"/>
        <item x="817"/>
        <item x="289"/>
        <item x="478"/>
        <item x="479"/>
        <item x="588"/>
        <item x="818"/>
        <item x="661"/>
        <item x="662"/>
        <item x="764"/>
        <item x="885"/>
        <item x="536"/>
        <item x="995"/>
        <item x="765"/>
        <item x="290"/>
        <item x="98"/>
        <item x="350"/>
        <item x="99"/>
        <item x="714"/>
        <item x="1055"/>
        <item x="589"/>
        <item x="291"/>
        <item x="996"/>
        <item x="590"/>
        <item x="174"/>
        <item x="100"/>
        <item x="537"/>
        <item x="175"/>
        <item x="715"/>
        <item x="538"/>
        <item x="480"/>
        <item x="819"/>
        <item x="716"/>
        <item x="101"/>
        <item x="481"/>
        <item x="43"/>
        <item x="937"/>
        <item x="176"/>
        <item x="44"/>
        <item x="409"/>
        <item x="229"/>
        <item x="766"/>
        <item x="351"/>
        <item x="938"/>
        <item x="352"/>
        <item x="102"/>
        <item x="103"/>
        <item x="482"/>
        <item x="230"/>
        <item x="886"/>
        <item x="820"/>
        <item x="821"/>
        <item x="483"/>
        <item x="410"/>
        <item x="539"/>
        <item x="767"/>
        <item x="540"/>
        <item x="822"/>
        <item x="1056"/>
        <item x="411"/>
        <item x="104"/>
        <item x="105"/>
        <item x="591"/>
        <item x="663"/>
        <item x="664"/>
        <item x="939"/>
        <item x="412"/>
        <item x="1057"/>
        <item x="353"/>
        <item x="177"/>
        <item x="484"/>
        <item x="887"/>
        <item x="354"/>
        <item x="413"/>
        <item x="1058"/>
        <item x="292"/>
        <item x="717"/>
        <item x="888"/>
        <item x="414"/>
        <item x="889"/>
        <item x="768"/>
        <item x="1059"/>
        <item x="293"/>
        <item x="178"/>
        <item x="718"/>
        <item x="719"/>
        <item x="1060"/>
        <item x="231"/>
        <item x="823"/>
        <item x="541"/>
        <item x="592"/>
        <item x="415"/>
        <item x="720"/>
        <item x="106"/>
        <item x="107"/>
        <item x="45"/>
        <item x="46"/>
        <item x="47"/>
        <item x="232"/>
        <item x="890"/>
        <item x="1061"/>
        <item x="824"/>
        <item x="108"/>
        <item x="355"/>
        <item x="997"/>
        <item x="356"/>
        <item x="485"/>
        <item x="542"/>
        <item x="769"/>
        <item x="1062"/>
        <item x="593"/>
        <item x="48"/>
        <item x="357"/>
        <item x="721"/>
        <item x="179"/>
        <item x="594"/>
        <item x="722"/>
        <item x="595"/>
        <item x="998"/>
        <item x="233"/>
        <item x="109"/>
        <item x="110"/>
        <item x="825"/>
        <item x="826"/>
        <item x="416"/>
        <item x="665"/>
        <item x="49"/>
        <item x="111"/>
        <item x="1063"/>
        <item x="770"/>
        <item x="940"/>
        <item x="723"/>
        <item x="486"/>
        <item x="666"/>
        <item x="543"/>
        <item x="294"/>
        <item x="827"/>
        <item x="544"/>
        <item x="50"/>
        <item x="487"/>
        <item x="545"/>
        <item x="488"/>
        <item x="180"/>
        <item x="999"/>
        <item x="181"/>
        <item x="112"/>
        <item x="358"/>
        <item x="771"/>
        <item x="234"/>
        <item x="941"/>
        <item x="51"/>
        <item x="891"/>
        <item x="724"/>
        <item x="596"/>
        <item x="52"/>
        <item x="182"/>
        <item x="892"/>
        <item x="942"/>
        <item x="597"/>
        <item x="1000"/>
        <item x="183"/>
        <item x="113"/>
        <item x="489"/>
        <item x="53"/>
        <item x="1064"/>
        <item x="295"/>
        <item x="598"/>
        <item x="417"/>
        <item x="599"/>
        <item x="54"/>
        <item x="943"/>
        <item x="418"/>
        <item x="114"/>
        <item x="944"/>
        <item x="546"/>
        <item x="893"/>
        <item x="490"/>
        <item x="547"/>
        <item x="55"/>
        <item x="828"/>
        <item x="184"/>
        <item x="894"/>
        <item x="772"/>
        <item x="296"/>
        <item x="56"/>
        <item x="945"/>
        <item x="359"/>
        <item x="548"/>
        <item x="600"/>
        <item x="360"/>
        <item x="946"/>
        <item x="1001"/>
        <item x="1065"/>
        <item x="895"/>
        <item x="773"/>
        <item x="667"/>
        <item x="668"/>
        <item x="115"/>
        <item x="774"/>
        <item x="1002"/>
        <item x="361"/>
        <item x="725"/>
        <item x="896"/>
        <item x="235"/>
        <item x="419"/>
        <item x="726"/>
        <item x="116"/>
        <item x="601"/>
        <item x="947"/>
        <item x="948"/>
        <item x="829"/>
        <item x="1003"/>
        <item x="549"/>
        <item x="1004"/>
        <item x="117"/>
        <item x="602"/>
        <item x="897"/>
        <item x="362"/>
        <item x="727"/>
        <item x="236"/>
        <item x="669"/>
        <item x="728"/>
        <item x="420"/>
        <item x="57"/>
        <item x="550"/>
        <item x="491"/>
        <item x="949"/>
        <item x="118"/>
        <item x="670"/>
        <item x="671"/>
        <item x="950"/>
        <item x="951"/>
        <item x="297"/>
        <item x="952"/>
        <item x="119"/>
        <item x="185"/>
        <item x="1066"/>
        <item x="603"/>
        <item x="604"/>
        <item x="186"/>
        <item x="363"/>
        <item x="1005"/>
        <item x="492"/>
        <item x="120"/>
        <item x="605"/>
        <item x="58"/>
        <item x="953"/>
        <item x="1006"/>
        <item x="493"/>
        <item x="298"/>
        <item x="1007"/>
        <item x="672"/>
        <item x="421"/>
        <item x="237"/>
        <item x="299"/>
        <item x="494"/>
        <item x="495"/>
        <item x="121"/>
        <item x="606"/>
        <item x="673"/>
        <item x="674"/>
        <item x="954"/>
        <item x="830"/>
        <item x="729"/>
        <item x="300"/>
        <item x="238"/>
        <item x="607"/>
        <item x="608"/>
        <item x="730"/>
        <item x="422"/>
        <item x="496"/>
        <item x="301"/>
        <item x="364"/>
        <item x="365"/>
        <item x="59"/>
        <item x="955"/>
        <item x="898"/>
        <item x="302"/>
        <item x="831"/>
        <item x="187"/>
        <item x="60"/>
        <item x="239"/>
        <item x="609"/>
        <item x="240"/>
        <item x="899"/>
        <item x="122"/>
        <item x="188"/>
        <item x="832"/>
        <item x="610"/>
        <item x="123"/>
        <item x="775"/>
        <item x="1067"/>
        <item x="1008"/>
        <item x="611"/>
        <item x="189"/>
        <item x="551"/>
        <item x="241"/>
        <item x="552"/>
        <item x="553"/>
        <item x="612"/>
        <item x="423"/>
        <item x="554"/>
        <item x="956"/>
        <item x="190"/>
        <item x="424"/>
        <item x="242"/>
        <item x="243"/>
        <item x="613"/>
        <item x="366"/>
        <item x="244"/>
        <item x="367"/>
        <item x="191"/>
        <item x="245"/>
        <item x="675"/>
        <item x="124"/>
        <item x="614"/>
        <item x="776"/>
        <item x="833"/>
        <item x="731"/>
        <item x="303"/>
        <item x="777"/>
        <item x="304"/>
        <item x="1009"/>
        <item x="834"/>
        <item x="957"/>
        <item x="615"/>
        <item x="616"/>
        <item x="835"/>
        <item x="617"/>
        <item x="61"/>
        <item x="1010"/>
        <item x="555"/>
        <item x="62"/>
        <item x="900"/>
        <item x="63"/>
        <item x="125"/>
        <item x="901"/>
        <item x="246"/>
        <item x="192"/>
        <item x="836"/>
        <item x="618"/>
        <item x="247"/>
        <item x="126"/>
        <item x="958"/>
        <item x="368"/>
        <item x="959"/>
        <item x="1011"/>
        <item x="127"/>
        <item x="248"/>
        <item x="249"/>
        <item x="676"/>
        <item x="837"/>
        <item x="250"/>
        <item x="556"/>
        <item x="497"/>
        <item x="1012"/>
        <item x="128"/>
        <item x="557"/>
        <item x="129"/>
        <item x="369"/>
        <item x="64"/>
        <item x="1013"/>
        <item x="778"/>
        <item x="1014"/>
        <item x="619"/>
        <item x="1015"/>
        <item x="193"/>
        <item x="620"/>
        <item x="960"/>
        <item x="194"/>
        <item x="677"/>
        <item x="838"/>
        <item x="130"/>
        <item x="732"/>
        <item x="961"/>
        <item x="839"/>
        <item x="779"/>
        <item x="195"/>
        <item x="902"/>
        <item x="131"/>
        <item x="840"/>
        <item x="962"/>
        <item x="305"/>
        <item x="963"/>
        <item x="498"/>
        <item x="196"/>
        <item x="65"/>
        <item x="558"/>
        <item x="425"/>
        <item x="621"/>
        <item x="499"/>
        <item x="1016"/>
        <item x="622"/>
        <item x="197"/>
        <item x="1017"/>
        <item x="306"/>
        <item x="132"/>
        <item x="1018"/>
        <item x="964"/>
        <item x="66"/>
        <item x="559"/>
        <item x="426"/>
        <item x="965"/>
        <item x="1019"/>
        <item x="966"/>
        <item x="67"/>
        <item x="967"/>
        <item x="198"/>
        <item x="68"/>
        <item x="251"/>
        <item x="133"/>
        <item x="1020"/>
        <item x="252"/>
        <item x="841"/>
        <item x="427"/>
        <item x="623"/>
        <item x="560"/>
        <item x="253"/>
        <item x="199"/>
        <item x="500"/>
        <item x="370"/>
        <item x="134"/>
        <item x="200"/>
        <item x="561"/>
        <item x="135"/>
        <item x="428"/>
        <item x="624"/>
        <item x="625"/>
        <item x="20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33">
        <item x="7"/>
        <item x="19"/>
        <item x="31"/>
        <item x="23"/>
        <item x="16"/>
        <item x="29"/>
        <item x="18"/>
        <item x="1"/>
        <item x="2"/>
        <item x="21"/>
        <item x="8"/>
        <item x="10"/>
        <item x="0"/>
        <item x="11"/>
        <item x="3"/>
        <item x="24"/>
        <item x="25"/>
        <item x="4"/>
        <item x="22"/>
        <item x="26"/>
        <item x="17"/>
        <item x="30"/>
        <item x="6"/>
        <item x="28"/>
        <item x="20"/>
        <item x="15"/>
        <item x="12"/>
        <item x="27"/>
        <item x="13"/>
        <item x="9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3"/>
  </rowFields>
  <rowItems count="6">
    <i>
      <x v="6"/>
    </i>
    <i>
      <x v="24"/>
    </i>
    <i>
      <x v="16"/>
    </i>
    <i>
      <x v="3"/>
    </i>
    <i>
      <x v="2"/>
    </i>
    <i t="grand">
      <x/>
    </i>
  </rowItems>
  <colItems count="1">
    <i/>
  </colItems>
  <dataFields count="1">
    <dataField name="Sum of quantity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dateBetween" evalOrder="-1" id="30" name="order_date">
      <autoFilter ref="A1">
        <filterColumn colId="0">
          <customFilters and="1">
            <customFilter operator="greaterThanOrEqual" val="42248"/>
            <customFilter operator="lessThanOrEqual" val="422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D5D8EA-F693-432A-BA93-3F6E50B62248}" autoFormatId="16" applyNumberFormats="0" applyBorderFormats="0" applyFontFormats="0" applyPatternFormats="0" applyAlignmentFormats="0" applyWidthHeightFormats="0">
  <queryTableRefresh nextId="15">
    <queryTableFields count="14">
      <queryTableField id="1" name="pizza_id" tableColumnId="1"/>
      <queryTableField id="2" name="order_id" tableColumnId="2"/>
      <queryTableField id="14" dataBound="0" tableColumnId="14"/>
      <queryTableField id="3" name="pizza_name_id" tableColumnId="3"/>
      <queryTableField id="4" name="quantity" tableColumnId="4"/>
      <queryTableField id="5" name="order_date" tableColumnId="5"/>
      <queryTableField id="13" dataBound="0" tableColumnId="13"/>
      <queryTableField id="6" name="order_time" tableColumnId="6"/>
      <queryTableField id="7" name="unit_price" tableColumnId="7"/>
      <queryTableField id="8" name="total_price" tableColumnId="8"/>
      <queryTableField id="9" name="pizza_size" tableColumnId="9"/>
      <queryTableField id="10" name="pizza_category" tableColumnId="10"/>
      <queryTableField id="11" name="pizza_ingredients" tableColumnId="11"/>
      <queryTableField id="12" name="pizza_name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AB30DF-CFBE-42AB-B8C2-FD76E77CCC8E}" name="Table3" displayName="Table3" ref="A3:N717" totalsRowShown="0">
  <autoFilter ref="A3:N717" xr:uid="{EBAB30DF-CFBE-42AB-B8C2-FD76E77CCC8E}"/>
  <tableColumns count="14">
    <tableColumn id="1" xr3:uid="{571C1D1C-4B0A-4B04-850E-54C4930D552A}" name="pizza_id"/>
    <tableColumn id="2" xr3:uid="{2D32697E-5F68-4D35-93CC-61FCC7BD2A14}" name="order_id"/>
    <tableColumn id="3" xr3:uid="{F523678E-5D1F-49E3-9EE7-8A793AC012B4}" name="total_orders"/>
    <tableColumn id="4" xr3:uid="{7EC4E497-07CE-4743-8E80-195810C99ADF}" name="pizza_name_id"/>
    <tableColumn id="5" xr3:uid="{7D258729-9089-4DE0-8F6F-A956D2ED6C07}" name="quantity"/>
    <tableColumn id="6" xr3:uid="{5A239295-2678-41A3-9B32-ED1EE334E3DB}" name="order_date" dataDxfId="10"/>
    <tableColumn id="7" xr3:uid="{0C9C19A6-A393-41E7-BC15-8810276A0D53}" name="Order_day"/>
    <tableColumn id="8" xr3:uid="{E53FC31E-BE83-41C8-92F1-8021A15EFEAC}" name="order_time" dataDxfId="9"/>
    <tableColumn id="9" xr3:uid="{DCB04977-340E-4F30-88E9-B3E7CDB85846}" name="unit_price"/>
    <tableColumn id="10" xr3:uid="{B4B55A7D-418C-4C53-B44A-310FE61C47CD}" name="total_price"/>
    <tableColumn id="11" xr3:uid="{4CFFE7FB-44AD-4B13-ACA0-87F84D7FE3F4}" name="pizza_Regularize"/>
    <tableColumn id="12" xr3:uid="{81872B16-A33C-4B21-A669-228071136674}" name="pizza_category"/>
    <tableColumn id="13" xr3:uid="{DF6A2998-C5C9-42C4-8A16-E4A89C93CBBE}" name="pizza_ingredients"/>
    <tableColumn id="14" xr3:uid="{F42DB726-2DDD-4E3E-98A9-DE7671AB480E}" name="pizza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20585-2B35-4B0D-941C-0F8CEB04B513}" name="pizza_sales" displayName="pizza_sales" ref="A1:N2421" tableType="queryTable" totalsRowShown="0">
  <autoFilter ref="A1:N2421" xr:uid="{2D120585-2B35-4B0D-941C-0F8CEB04B513}"/>
  <tableColumns count="14">
    <tableColumn id="1" xr3:uid="{3436145F-378D-49F3-BC32-2B67957A8837}" uniqueName="1" name="pizza_id" queryTableFieldId="1"/>
    <tableColumn id="2" xr3:uid="{B34C39F5-E3CB-44DD-AF50-F7FAED769348}" uniqueName="2" name="order_id" queryTableFieldId="2"/>
    <tableColumn id="14" xr3:uid="{A6706E35-5657-4D58-9CA1-FE4D0021C02D}" uniqueName="14" name="total_orders" queryTableFieldId="14" dataDxfId="8">
      <calculatedColumnFormula>1/COUNTIF(pizza_sales[[#All],[order_id]],pizza_sales[[#This Row],[order_id]])</calculatedColumnFormula>
    </tableColumn>
    <tableColumn id="3" xr3:uid="{E8FB43CC-0542-407D-8882-C0C7145F51BC}" uniqueName="3" name="pizza_name_id" queryTableFieldId="3" dataDxfId="7"/>
    <tableColumn id="4" xr3:uid="{D818C559-D57C-4184-958A-2759A360BFA6}" uniqueName="4" name="quantity" queryTableFieldId="4"/>
    <tableColumn id="5" xr3:uid="{A740B960-41EB-4661-82EB-024E92EFD0F9}" uniqueName="5" name="order_date" queryTableFieldId="5" dataDxfId="6"/>
    <tableColumn id="13" xr3:uid="{F898F97D-8E93-43F3-B2DD-8118BF147F98}" uniqueName="13" name="Order_day" queryTableFieldId="13" dataDxfId="5">
      <calculatedColumnFormula>TEXT(pizza_sales[[#This Row],[order_date]],"dddd")</calculatedColumnFormula>
    </tableColumn>
    <tableColumn id="6" xr3:uid="{3B5EE698-D023-43BD-8878-86111E33B4C3}" uniqueName="6" name="order_time" queryTableFieldId="6" dataDxfId="4"/>
    <tableColumn id="7" xr3:uid="{156E8854-00D0-49CA-9E9E-3EFAC8F68EF3}" uniqueName="7" name="unit_price" queryTableFieldId="7"/>
    <tableColumn id="8" xr3:uid="{73F1E493-FE88-467C-96AB-9DB2D4DDD64C}" uniqueName="8" name="total_price" queryTableFieldId="8"/>
    <tableColumn id="9" xr3:uid="{9D06A6EC-E20C-4B6A-B2AD-CA74046B8C45}" uniqueName="9" name="pizza_size" queryTableFieldId="9" dataDxfId="3"/>
    <tableColumn id="10" xr3:uid="{BE4BD153-B5C3-4CA2-A32F-F12AF2C1846D}" uniqueName="10" name="pizza_category" queryTableFieldId="10" dataDxfId="2"/>
    <tableColumn id="11" xr3:uid="{FB47C658-273B-4D93-9EC3-640A54AA1BDC}" uniqueName="11" name="pizza_ingredients" queryTableFieldId="11" dataDxfId="1"/>
    <tableColumn id="12" xr3:uid="{2270071C-FAB4-406D-B72C-4E79B73E0CE3}" uniqueName="12" name="pizza_nam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23C932D3-FBED-47DF-A3FD-734294948589}" sourceName="order_date">
  <state minimalRefreshVersion="6" lastRefreshVersion="6" pivotCacheId="797513196" filterType="dateBetween">
    <selection startDate="2015-06-01T00:00:00" endDate="2015-06-30T00:00:00"/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5DCAC181-493D-4253-8791-F0AC66658E14}" cache="NativeTimeline_order_date" caption="order_date" level="2" selectionLevel="2" scrollPosition="2015-06-06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 1" xr10:uid="{0F0AB89A-A7AC-41B5-906D-C41D061E1385}" cache="NativeTimeline_order_date" caption="order_date" level="2" selectionLevel="2" scrollPosition="2015-06-06T00:00:00" style="Pizza Slicer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11/relationships/timeline" Target="../timelines/timeline1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6D32-7AA7-45CB-90D7-532814B6A2A4}">
  <dimension ref="A2:E6"/>
  <sheetViews>
    <sheetView workbookViewId="0">
      <selection activeCell="E4" sqref="E4"/>
    </sheetView>
  </sheetViews>
  <sheetFormatPr defaultRowHeight="14.4" x14ac:dyDescent="0.3"/>
  <cols>
    <col min="1" max="1" width="16.5546875" bestFit="1" customWidth="1"/>
    <col min="2" max="2" width="17.88671875" bestFit="1" customWidth="1"/>
    <col min="3" max="3" width="14.6640625" bestFit="1" customWidth="1"/>
    <col min="4" max="4" width="15" customWidth="1"/>
    <col min="5" max="6" width="18.33203125" customWidth="1"/>
  </cols>
  <sheetData>
    <row r="2" spans="1:5" x14ac:dyDescent="0.3">
      <c r="A2" t="s">
        <v>181</v>
      </c>
      <c r="B2" t="s">
        <v>182</v>
      </c>
      <c r="C2" t="s">
        <v>183</v>
      </c>
    </row>
    <row r="3" spans="1:5" x14ac:dyDescent="0.3">
      <c r="A3" t="s">
        <v>175</v>
      </c>
      <c r="B3" t="s">
        <v>177</v>
      </c>
      <c r="C3" t="s">
        <v>179</v>
      </c>
      <c r="D3" s="3" t="s">
        <v>178</v>
      </c>
      <c r="E3" s="3" t="s">
        <v>180</v>
      </c>
    </row>
    <row r="4" spans="1:5" x14ac:dyDescent="0.3">
      <c r="A4">
        <v>40815.650000000009</v>
      </c>
      <c r="B4">
        <v>1077.0000000000048</v>
      </c>
      <c r="C4">
        <v>2470</v>
      </c>
      <c r="D4" s="5">
        <f>GETPIVOTDATA("Sum of total_price",$A$3)/GETPIVOTDATA("Sum of total_orders",$A$3)</f>
        <v>37.897539461466877</v>
      </c>
      <c r="E4" s="6">
        <f>GETPIVOTDATA("Sum of quantity",$A$3)/GETPIVOTDATA("Sum of total_orders",$A$3)</f>
        <v>2.2934076137418655</v>
      </c>
    </row>
    <row r="6" spans="1:5" x14ac:dyDescent="0.3">
      <c r="A6" s="4">
        <f>GETPIVOTDATA("Sum of total_price",$A$3)</f>
        <v>40815.650000000009</v>
      </c>
      <c r="B6">
        <f>GETPIVOTDATA("Sum of total_orders",$A$3)</f>
        <v>1077.0000000000048</v>
      </c>
      <c r="C6">
        <f>GETPIVOTDATA("Sum of quantity",$A$3)</f>
        <v>2470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AFC5-A8BB-458C-B303-A8C77E8D1F0D}">
  <dimension ref="A2:B29"/>
  <sheetViews>
    <sheetView topLeftCell="D1" workbookViewId="0">
      <selection activeCell="E13" sqref="E13"/>
    </sheetView>
  </sheetViews>
  <sheetFormatPr defaultRowHeight="14.4" x14ac:dyDescent="0.3"/>
  <cols>
    <col min="1" max="1" width="12.5546875" bestFit="1" customWidth="1"/>
    <col min="2" max="2" width="17.88671875" bestFit="1" customWidth="1"/>
  </cols>
  <sheetData>
    <row r="2" spans="1:2" x14ac:dyDescent="0.3">
      <c r="A2" s="9" t="s">
        <v>193</v>
      </c>
      <c r="B2" s="9"/>
    </row>
    <row r="3" spans="1:2" x14ac:dyDescent="0.3">
      <c r="A3" s="7" t="s">
        <v>184</v>
      </c>
      <c r="B3" t="s">
        <v>177</v>
      </c>
    </row>
    <row r="4" spans="1:2" x14ac:dyDescent="0.3">
      <c r="A4" s="8" t="s">
        <v>185</v>
      </c>
      <c r="B4">
        <v>151.00000000000014</v>
      </c>
    </row>
    <row r="5" spans="1:2" x14ac:dyDescent="0.3">
      <c r="A5" s="8" t="s">
        <v>186</v>
      </c>
      <c r="B5">
        <v>108.99999999999997</v>
      </c>
    </row>
    <row r="6" spans="1:2" x14ac:dyDescent="0.3">
      <c r="A6" s="8" t="s">
        <v>187</v>
      </c>
      <c r="B6">
        <v>112.00000000000001</v>
      </c>
    </row>
    <row r="7" spans="1:2" x14ac:dyDescent="0.3">
      <c r="A7" s="8" t="s">
        <v>188</v>
      </c>
      <c r="B7">
        <v>119.99999999999986</v>
      </c>
    </row>
    <row r="8" spans="1:2" x14ac:dyDescent="0.3">
      <c r="A8" s="8" t="s">
        <v>189</v>
      </c>
      <c r="B8">
        <v>203.00000000000011</v>
      </c>
    </row>
    <row r="9" spans="1:2" x14ac:dyDescent="0.3">
      <c r="A9" s="8" t="s">
        <v>190</v>
      </c>
      <c r="B9">
        <v>196.00000000000028</v>
      </c>
    </row>
    <row r="10" spans="1:2" x14ac:dyDescent="0.3">
      <c r="A10" s="8" t="s">
        <v>191</v>
      </c>
      <c r="B10">
        <v>186.00000000000011</v>
      </c>
    </row>
    <row r="11" spans="1:2" x14ac:dyDescent="0.3">
      <c r="A11" s="8" t="s">
        <v>192</v>
      </c>
      <c r="B11">
        <v>1077.0000000000005</v>
      </c>
    </row>
    <row r="14" spans="1:2" x14ac:dyDescent="0.3">
      <c r="A14" s="9" t="s">
        <v>194</v>
      </c>
      <c r="B14" s="9"/>
    </row>
    <row r="16" spans="1:2" x14ac:dyDescent="0.3">
      <c r="A16" s="7" t="s">
        <v>184</v>
      </c>
      <c r="B16" t="s">
        <v>177</v>
      </c>
    </row>
    <row r="17" spans="1:2" x14ac:dyDescent="0.3">
      <c r="A17" s="8" t="s">
        <v>200</v>
      </c>
      <c r="B17">
        <v>53.000000000000014</v>
      </c>
    </row>
    <row r="18" spans="1:2" x14ac:dyDescent="0.3">
      <c r="A18" s="8" t="s">
        <v>201</v>
      </c>
      <c r="B18">
        <v>123.99999999999993</v>
      </c>
    </row>
    <row r="19" spans="1:2" x14ac:dyDescent="0.3">
      <c r="A19" s="8" t="s">
        <v>202</v>
      </c>
      <c r="B19">
        <v>115.99999999999989</v>
      </c>
    </row>
    <row r="20" spans="1:2" x14ac:dyDescent="0.3">
      <c r="A20" s="8" t="s">
        <v>203</v>
      </c>
      <c r="B20">
        <v>98.000000000000071</v>
      </c>
    </row>
    <row r="21" spans="1:2" x14ac:dyDescent="0.3">
      <c r="A21" s="8" t="s">
        <v>204</v>
      </c>
      <c r="B21">
        <v>81.999999999999972</v>
      </c>
    </row>
    <row r="22" spans="1:2" x14ac:dyDescent="0.3">
      <c r="A22" s="8" t="s">
        <v>205</v>
      </c>
      <c r="B22">
        <v>93.999999999999972</v>
      </c>
    </row>
    <row r="23" spans="1:2" x14ac:dyDescent="0.3">
      <c r="A23" s="8" t="s">
        <v>206</v>
      </c>
      <c r="B23">
        <v>121.99999999999991</v>
      </c>
    </row>
    <row r="24" spans="1:2" x14ac:dyDescent="0.3">
      <c r="A24" s="8" t="s">
        <v>207</v>
      </c>
      <c r="B24">
        <v>118.99999999999984</v>
      </c>
    </row>
    <row r="25" spans="1:2" x14ac:dyDescent="0.3">
      <c r="A25" s="8" t="s">
        <v>208</v>
      </c>
      <c r="B25">
        <v>105.99999999999993</v>
      </c>
    </row>
    <row r="26" spans="1:2" x14ac:dyDescent="0.3">
      <c r="A26" s="8" t="s">
        <v>209</v>
      </c>
      <c r="B26">
        <v>76.999999999999943</v>
      </c>
    </row>
    <row r="27" spans="1:2" x14ac:dyDescent="0.3">
      <c r="A27" s="8" t="s">
        <v>210</v>
      </c>
      <c r="B27">
        <v>53.000000000000014</v>
      </c>
    </row>
    <row r="28" spans="1:2" x14ac:dyDescent="0.3">
      <c r="A28" s="8" t="s">
        <v>211</v>
      </c>
      <c r="B28">
        <v>33</v>
      </c>
    </row>
    <row r="29" spans="1:2" x14ac:dyDescent="0.3">
      <c r="A29" s="8" t="s">
        <v>192</v>
      </c>
      <c r="B29">
        <v>1076.9999999999995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16A1-48F1-44FF-83B7-144DCACF8241}">
  <dimension ref="A1:N717"/>
  <sheetViews>
    <sheetView workbookViewId="0">
      <selection activeCell="A3" sqref="A3:N717"/>
    </sheetView>
  </sheetViews>
  <sheetFormatPr defaultRowHeight="14.4" x14ac:dyDescent="0.3"/>
  <cols>
    <col min="1" max="1" width="9.88671875" bestFit="1" customWidth="1"/>
    <col min="2" max="2" width="10.33203125" bestFit="1" customWidth="1"/>
    <col min="3" max="3" width="13.44140625" bestFit="1" customWidth="1"/>
    <col min="4" max="4" width="15.77734375" bestFit="1" customWidth="1"/>
    <col min="5" max="5" width="10.33203125" bestFit="1" customWidth="1"/>
    <col min="6" max="6" width="12.5546875" bestFit="1" customWidth="1"/>
    <col min="7" max="7" width="12.109375" bestFit="1" customWidth="1"/>
    <col min="8" max="8" width="15.44140625" bestFit="1" customWidth="1"/>
    <col min="9" max="9" width="11.6640625" bestFit="1" customWidth="1"/>
    <col min="10" max="10" width="12.21875" bestFit="1" customWidth="1"/>
    <col min="11" max="11" width="17" bestFit="1" customWidth="1"/>
    <col min="12" max="12" width="15.77734375" bestFit="1" customWidth="1"/>
    <col min="13" max="13" width="66.109375" bestFit="1" customWidth="1"/>
    <col min="14" max="14" width="38.44140625" bestFit="1" customWidth="1"/>
  </cols>
  <sheetData>
    <row r="1" spans="1:14" x14ac:dyDescent="0.3">
      <c r="A1" s="10" t="s">
        <v>212</v>
      </c>
    </row>
    <row r="3" spans="1:14" x14ac:dyDescent="0.3">
      <c r="A3" t="s">
        <v>0</v>
      </c>
      <c r="B3" t="s">
        <v>1</v>
      </c>
      <c r="C3" t="s">
        <v>176</v>
      </c>
      <c r="D3" t="s">
        <v>2</v>
      </c>
      <c r="E3" t="s">
        <v>3</v>
      </c>
      <c r="F3" t="s">
        <v>4</v>
      </c>
      <c r="G3" t="s">
        <v>174</v>
      </c>
      <c r="H3" t="s">
        <v>5</v>
      </c>
      <c r="I3" t="s">
        <v>6</v>
      </c>
      <c r="J3" t="s">
        <v>7</v>
      </c>
      <c r="K3" t="s">
        <v>195</v>
      </c>
      <c r="L3" t="s">
        <v>9</v>
      </c>
      <c r="M3" t="s">
        <v>10</v>
      </c>
      <c r="N3" t="s">
        <v>11</v>
      </c>
    </row>
    <row r="4" spans="1:14" x14ac:dyDescent="0.3">
      <c r="A4">
        <v>1</v>
      </c>
      <c r="B4">
        <v>1</v>
      </c>
      <c r="C4">
        <v>1</v>
      </c>
      <c r="D4" t="s">
        <v>12</v>
      </c>
      <c r="E4">
        <v>1</v>
      </c>
      <c r="F4" s="1">
        <v>42005</v>
      </c>
      <c r="G4" t="s">
        <v>189</v>
      </c>
      <c r="H4" s="2">
        <v>36526.485138888886</v>
      </c>
      <c r="I4">
        <v>13.25</v>
      </c>
      <c r="J4">
        <v>13.25</v>
      </c>
      <c r="K4" t="s">
        <v>197</v>
      </c>
      <c r="L4" t="s">
        <v>14</v>
      </c>
      <c r="M4" t="s">
        <v>15</v>
      </c>
      <c r="N4" t="s">
        <v>16</v>
      </c>
    </row>
    <row r="5" spans="1:14" x14ac:dyDescent="0.3">
      <c r="A5">
        <v>2</v>
      </c>
      <c r="B5">
        <v>2</v>
      </c>
      <c r="C5">
        <v>0.2</v>
      </c>
      <c r="D5" t="s">
        <v>17</v>
      </c>
      <c r="E5">
        <v>1</v>
      </c>
      <c r="F5" s="1">
        <v>42005</v>
      </c>
      <c r="G5" t="s">
        <v>189</v>
      </c>
      <c r="H5" s="2">
        <v>36526.498379629629</v>
      </c>
      <c r="I5">
        <v>16</v>
      </c>
      <c r="J5">
        <v>16</v>
      </c>
      <c r="K5" t="s">
        <v>197</v>
      </c>
      <c r="L5" t="s">
        <v>14</v>
      </c>
      <c r="M5" t="s">
        <v>18</v>
      </c>
      <c r="N5" t="s">
        <v>19</v>
      </c>
    </row>
    <row r="6" spans="1:14" x14ac:dyDescent="0.3">
      <c r="A6">
        <v>2419</v>
      </c>
      <c r="B6">
        <v>1076</v>
      </c>
      <c r="C6">
        <v>0.5</v>
      </c>
      <c r="D6" t="s">
        <v>77</v>
      </c>
      <c r="E6">
        <v>1</v>
      </c>
      <c r="F6" s="1">
        <v>42022</v>
      </c>
      <c r="G6" t="s">
        <v>185</v>
      </c>
      <c r="H6" s="2">
        <v>36526.816840277781</v>
      </c>
      <c r="I6">
        <v>15.25</v>
      </c>
      <c r="J6">
        <v>15.25</v>
      </c>
      <c r="K6" t="s">
        <v>196</v>
      </c>
      <c r="L6" t="s">
        <v>14</v>
      </c>
      <c r="M6" t="s">
        <v>78</v>
      </c>
      <c r="N6" t="s">
        <v>79</v>
      </c>
    </row>
    <row r="7" spans="1:14" x14ac:dyDescent="0.3">
      <c r="A7">
        <v>2410</v>
      </c>
      <c r="B7">
        <v>1072</v>
      </c>
      <c r="C7">
        <v>0.33333333333333331</v>
      </c>
      <c r="D7" t="s">
        <v>50</v>
      </c>
      <c r="E7">
        <v>1</v>
      </c>
      <c r="F7" s="1">
        <v>42022</v>
      </c>
      <c r="G7" t="s">
        <v>185</v>
      </c>
      <c r="H7" s="2">
        <v>36526.772592592592</v>
      </c>
      <c r="I7">
        <v>12</v>
      </c>
      <c r="J7">
        <v>12</v>
      </c>
      <c r="K7" t="s">
        <v>198</v>
      </c>
      <c r="L7" t="s">
        <v>14</v>
      </c>
      <c r="M7" t="s">
        <v>18</v>
      </c>
      <c r="N7" t="s">
        <v>19</v>
      </c>
    </row>
    <row r="8" spans="1:14" x14ac:dyDescent="0.3">
      <c r="A8">
        <v>2407</v>
      </c>
      <c r="B8">
        <v>1071</v>
      </c>
      <c r="C8">
        <v>0.33333333333333331</v>
      </c>
      <c r="D8" t="s">
        <v>148</v>
      </c>
      <c r="E8">
        <v>1</v>
      </c>
      <c r="F8" s="1">
        <v>42022</v>
      </c>
      <c r="G8" t="s">
        <v>185</v>
      </c>
      <c r="H8" s="2">
        <v>36526.769212962965</v>
      </c>
      <c r="I8">
        <v>14.5</v>
      </c>
      <c r="J8">
        <v>14.5</v>
      </c>
      <c r="K8" t="s">
        <v>197</v>
      </c>
      <c r="L8" t="s">
        <v>14</v>
      </c>
      <c r="M8" t="s">
        <v>130</v>
      </c>
      <c r="N8" t="s">
        <v>131</v>
      </c>
    </row>
    <row r="9" spans="1:14" x14ac:dyDescent="0.3">
      <c r="A9">
        <v>2406</v>
      </c>
      <c r="B9">
        <v>1070</v>
      </c>
      <c r="C9">
        <v>0.5</v>
      </c>
      <c r="D9" t="s">
        <v>77</v>
      </c>
      <c r="E9">
        <v>1</v>
      </c>
      <c r="F9" s="1">
        <v>42022</v>
      </c>
      <c r="G9" t="s">
        <v>185</v>
      </c>
      <c r="H9" s="2">
        <v>36526.76489583333</v>
      </c>
      <c r="I9">
        <v>15.25</v>
      </c>
      <c r="J9">
        <v>15.25</v>
      </c>
      <c r="K9" t="s">
        <v>196</v>
      </c>
      <c r="L9" t="s">
        <v>14</v>
      </c>
      <c r="M9" t="s">
        <v>78</v>
      </c>
      <c r="N9" t="s">
        <v>79</v>
      </c>
    </row>
    <row r="10" spans="1:14" x14ac:dyDescent="0.3">
      <c r="A10">
        <v>2402</v>
      </c>
      <c r="B10">
        <v>1069</v>
      </c>
      <c r="C10">
        <v>0.33333333333333331</v>
      </c>
      <c r="D10" t="s">
        <v>84</v>
      </c>
      <c r="E10">
        <v>1</v>
      </c>
      <c r="F10" s="1">
        <v>42022</v>
      </c>
      <c r="G10" t="s">
        <v>185</v>
      </c>
      <c r="H10" s="2">
        <v>36526.763738425929</v>
      </c>
      <c r="I10">
        <v>12</v>
      </c>
      <c r="J10">
        <v>12</v>
      </c>
      <c r="K10" t="s">
        <v>198</v>
      </c>
      <c r="L10" t="s">
        <v>14</v>
      </c>
      <c r="M10" t="s">
        <v>85</v>
      </c>
      <c r="N10" t="s">
        <v>86</v>
      </c>
    </row>
    <row r="11" spans="1:14" x14ac:dyDescent="0.3">
      <c r="A11">
        <v>2398</v>
      </c>
      <c r="B11">
        <v>1067</v>
      </c>
      <c r="C11">
        <v>0.33333333333333331</v>
      </c>
      <c r="D11" t="s">
        <v>142</v>
      </c>
      <c r="E11">
        <v>1</v>
      </c>
      <c r="F11" s="1">
        <v>42022</v>
      </c>
      <c r="G11" t="s">
        <v>185</v>
      </c>
      <c r="H11" s="2">
        <v>36526.759525462963</v>
      </c>
      <c r="I11">
        <v>16.5</v>
      </c>
      <c r="J11">
        <v>16.5</v>
      </c>
      <c r="K11" t="s">
        <v>196</v>
      </c>
      <c r="L11" t="s">
        <v>14</v>
      </c>
      <c r="M11" t="s">
        <v>15</v>
      </c>
      <c r="N11" t="s">
        <v>16</v>
      </c>
    </row>
    <row r="12" spans="1:14" x14ac:dyDescent="0.3">
      <c r="A12">
        <v>2396</v>
      </c>
      <c r="B12">
        <v>1066</v>
      </c>
      <c r="C12">
        <v>0.25</v>
      </c>
      <c r="D12" t="s">
        <v>143</v>
      </c>
      <c r="E12">
        <v>1</v>
      </c>
      <c r="F12" s="1">
        <v>42022</v>
      </c>
      <c r="G12" t="s">
        <v>185</v>
      </c>
      <c r="H12" s="2">
        <v>36526.757523148146</v>
      </c>
      <c r="I12">
        <v>11</v>
      </c>
      <c r="J12">
        <v>11</v>
      </c>
      <c r="K12" t="s">
        <v>198</v>
      </c>
      <c r="L12" t="s">
        <v>14</v>
      </c>
      <c r="M12" t="s">
        <v>130</v>
      </c>
      <c r="N12" t="s">
        <v>131</v>
      </c>
    </row>
    <row r="13" spans="1:14" x14ac:dyDescent="0.3">
      <c r="A13">
        <v>2394</v>
      </c>
      <c r="B13">
        <v>1066</v>
      </c>
      <c r="C13">
        <v>0.25</v>
      </c>
      <c r="D13" t="s">
        <v>17</v>
      </c>
      <c r="E13">
        <v>1</v>
      </c>
      <c r="F13" s="1">
        <v>42022</v>
      </c>
      <c r="G13" t="s">
        <v>185</v>
      </c>
      <c r="H13" s="2">
        <v>36526.757523148146</v>
      </c>
      <c r="I13">
        <v>16</v>
      </c>
      <c r="J13">
        <v>16</v>
      </c>
      <c r="K13" t="s">
        <v>197</v>
      </c>
      <c r="L13" t="s">
        <v>14</v>
      </c>
      <c r="M13" t="s">
        <v>18</v>
      </c>
      <c r="N13" t="s">
        <v>19</v>
      </c>
    </row>
    <row r="14" spans="1:14" x14ac:dyDescent="0.3">
      <c r="A14">
        <v>2385</v>
      </c>
      <c r="B14">
        <v>1063</v>
      </c>
      <c r="C14">
        <v>0.33333333333333331</v>
      </c>
      <c r="D14" t="s">
        <v>84</v>
      </c>
      <c r="E14">
        <v>1</v>
      </c>
      <c r="F14" s="1">
        <v>42022</v>
      </c>
      <c r="G14" t="s">
        <v>185</v>
      </c>
      <c r="H14" s="2">
        <v>36526.728113425925</v>
      </c>
      <c r="I14">
        <v>12</v>
      </c>
      <c r="J14">
        <v>12</v>
      </c>
      <c r="K14" t="s">
        <v>198</v>
      </c>
      <c r="L14" t="s">
        <v>14</v>
      </c>
      <c r="M14" t="s">
        <v>85</v>
      </c>
      <c r="N14" t="s">
        <v>86</v>
      </c>
    </row>
    <row r="15" spans="1:14" x14ac:dyDescent="0.3">
      <c r="A15">
        <v>12</v>
      </c>
      <c r="B15">
        <v>6</v>
      </c>
      <c r="C15">
        <v>0.5</v>
      </c>
      <c r="D15" t="s">
        <v>44</v>
      </c>
      <c r="E15">
        <v>1</v>
      </c>
      <c r="F15" s="1">
        <v>42005</v>
      </c>
      <c r="G15" t="s">
        <v>189</v>
      </c>
      <c r="H15" s="2">
        <v>36526.520555555559</v>
      </c>
      <c r="I15">
        <v>12</v>
      </c>
      <c r="J15">
        <v>12</v>
      </c>
      <c r="K15" t="s">
        <v>198</v>
      </c>
      <c r="L15" t="s">
        <v>14</v>
      </c>
      <c r="M15" t="s">
        <v>45</v>
      </c>
      <c r="N15" t="s">
        <v>46</v>
      </c>
    </row>
    <row r="16" spans="1:14" x14ac:dyDescent="0.3">
      <c r="A16">
        <v>2384</v>
      </c>
      <c r="B16">
        <v>1062</v>
      </c>
      <c r="C16">
        <v>0.5</v>
      </c>
      <c r="D16" t="s">
        <v>112</v>
      </c>
      <c r="E16">
        <v>1</v>
      </c>
      <c r="F16" s="1">
        <v>42022</v>
      </c>
      <c r="G16" t="s">
        <v>185</v>
      </c>
      <c r="H16" s="2">
        <v>36526.723356481481</v>
      </c>
      <c r="I16">
        <v>20.5</v>
      </c>
      <c r="J16">
        <v>20.5</v>
      </c>
      <c r="K16" t="s">
        <v>196</v>
      </c>
      <c r="L16" t="s">
        <v>14</v>
      </c>
      <c r="M16" t="s">
        <v>94</v>
      </c>
      <c r="N16" t="s">
        <v>95</v>
      </c>
    </row>
    <row r="17" spans="1:14" x14ac:dyDescent="0.3">
      <c r="A17">
        <v>2377</v>
      </c>
      <c r="B17">
        <v>1059</v>
      </c>
      <c r="C17">
        <v>0.25</v>
      </c>
      <c r="D17" t="s">
        <v>77</v>
      </c>
      <c r="E17">
        <v>1</v>
      </c>
      <c r="F17" s="1">
        <v>42022</v>
      </c>
      <c r="G17" t="s">
        <v>185</v>
      </c>
      <c r="H17" s="2">
        <v>36526.687662037039</v>
      </c>
      <c r="I17">
        <v>15.25</v>
      </c>
      <c r="J17">
        <v>15.25</v>
      </c>
      <c r="K17" t="s">
        <v>196</v>
      </c>
      <c r="L17" t="s">
        <v>14</v>
      </c>
      <c r="M17" t="s">
        <v>78</v>
      </c>
      <c r="N17" t="s">
        <v>79</v>
      </c>
    </row>
    <row r="18" spans="1:14" x14ac:dyDescent="0.3">
      <c r="A18">
        <v>15</v>
      </c>
      <c r="B18">
        <v>9</v>
      </c>
      <c r="C18">
        <v>0.1111111111111111</v>
      </c>
      <c r="D18" t="s">
        <v>50</v>
      </c>
      <c r="E18">
        <v>1</v>
      </c>
      <c r="F18" s="1">
        <v>42005</v>
      </c>
      <c r="G18" t="s">
        <v>189</v>
      </c>
      <c r="H18" s="2">
        <v>36526.536122685182</v>
      </c>
      <c r="I18">
        <v>12</v>
      </c>
      <c r="J18">
        <v>12</v>
      </c>
      <c r="K18" t="s">
        <v>198</v>
      </c>
      <c r="L18" t="s">
        <v>14</v>
      </c>
      <c r="M18" t="s">
        <v>18</v>
      </c>
      <c r="N18" t="s">
        <v>19</v>
      </c>
    </row>
    <row r="19" spans="1:14" x14ac:dyDescent="0.3">
      <c r="A19">
        <v>2373</v>
      </c>
      <c r="B19">
        <v>1057</v>
      </c>
      <c r="C19">
        <v>0.5</v>
      </c>
      <c r="D19" t="s">
        <v>77</v>
      </c>
      <c r="E19">
        <v>1</v>
      </c>
      <c r="F19" s="1">
        <v>42022</v>
      </c>
      <c r="G19" t="s">
        <v>185</v>
      </c>
      <c r="H19" s="2">
        <v>36526.679594907408</v>
      </c>
      <c r="I19">
        <v>15.25</v>
      </c>
      <c r="J19">
        <v>15.25</v>
      </c>
      <c r="K19" t="s">
        <v>196</v>
      </c>
      <c r="L19" t="s">
        <v>14</v>
      </c>
      <c r="M19" t="s">
        <v>78</v>
      </c>
      <c r="N19" t="s">
        <v>79</v>
      </c>
    </row>
    <row r="20" spans="1:14" x14ac:dyDescent="0.3">
      <c r="A20">
        <v>17</v>
      </c>
      <c r="B20">
        <v>9</v>
      </c>
      <c r="C20">
        <v>0.1111111111111111</v>
      </c>
      <c r="D20" t="s">
        <v>54</v>
      </c>
      <c r="E20">
        <v>1</v>
      </c>
      <c r="F20" s="1">
        <v>42005</v>
      </c>
      <c r="G20" t="s">
        <v>189</v>
      </c>
      <c r="H20" s="2">
        <v>36526.536122685182</v>
      </c>
      <c r="I20">
        <v>20.5</v>
      </c>
      <c r="J20">
        <v>20.5</v>
      </c>
      <c r="K20" t="s">
        <v>196</v>
      </c>
      <c r="L20" t="s">
        <v>14</v>
      </c>
      <c r="M20" t="s">
        <v>55</v>
      </c>
      <c r="N20" t="s">
        <v>56</v>
      </c>
    </row>
    <row r="21" spans="1:14" x14ac:dyDescent="0.3">
      <c r="A21">
        <v>2372</v>
      </c>
      <c r="B21">
        <v>1057</v>
      </c>
      <c r="C21">
        <v>0.5</v>
      </c>
      <c r="D21" t="s">
        <v>132</v>
      </c>
      <c r="E21">
        <v>1</v>
      </c>
      <c r="F21" s="1">
        <v>42022</v>
      </c>
      <c r="G21" t="s">
        <v>185</v>
      </c>
      <c r="H21" s="2">
        <v>36526.679594907408</v>
      </c>
      <c r="I21">
        <v>10.5</v>
      </c>
      <c r="J21">
        <v>10.5</v>
      </c>
      <c r="K21" t="s">
        <v>198</v>
      </c>
      <c r="L21" t="s">
        <v>14</v>
      </c>
      <c r="M21" t="s">
        <v>15</v>
      </c>
      <c r="N21" t="s">
        <v>16</v>
      </c>
    </row>
    <row r="22" spans="1:14" x14ac:dyDescent="0.3">
      <c r="A22">
        <v>2368</v>
      </c>
      <c r="B22">
        <v>1055</v>
      </c>
      <c r="C22">
        <v>1</v>
      </c>
      <c r="D22" t="s">
        <v>84</v>
      </c>
      <c r="E22">
        <v>1</v>
      </c>
      <c r="F22" s="1">
        <v>42022</v>
      </c>
      <c r="G22" t="s">
        <v>185</v>
      </c>
      <c r="H22" s="2">
        <v>36526.671689814815</v>
      </c>
      <c r="I22">
        <v>12</v>
      </c>
      <c r="J22">
        <v>12</v>
      </c>
      <c r="K22" t="s">
        <v>198</v>
      </c>
      <c r="L22" t="s">
        <v>14</v>
      </c>
      <c r="M22" t="s">
        <v>85</v>
      </c>
      <c r="N22" t="s">
        <v>86</v>
      </c>
    </row>
    <row r="23" spans="1:14" x14ac:dyDescent="0.3">
      <c r="A23">
        <v>2367</v>
      </c>
      <c r="B23">
        <v>1054</v>
      </c>
      <c r="C23">
        <v>0.5</v>
      </c>
      <c r="D23" t="s">
        <v>126</v>
      </c>
      <c r="E23">
        <v>1</v>
      </c>
      <c r="F23" s="1">
        <v>42022</v>
      </c>
      <c r="G23" t="s">
        <v>185</v>
      </c>
      <c r="H23" s="2">
        <v>36526.663935185185</v>
      </c>
      <c r="I23">
        <v>9.75</v>
      </c>
      <c r="J23">
        <v>9.75</v>
      </c>
      <c r="K23" t="s">
        <v>198</v>
      </c>
      <c r="L23" t="s">
        <v>14</v>
      </c>
      <c r="M23" t="s">
        <v>78</v>
      </c>
      <c r="N23" t="s">
        <v>79</v>
      </c>
    </row>
    <row r="24" spans="1:14" x14ac:dyDescent="0.3">
      <c r="A24">
        <v>2364</v>
      </c>
      <c r="B24">
        <v>1053</v>
      </c>
      <c r="C24">
        <v>0.33333333333333331</v>
      </c>
      <c r="D24" t="s">
        <v>77</v>
      </c>
      <c r="E24">
        <v>1</v>
      </c>
      <c r="F24" s="1">
        <v>42022</v>
      </c>
      <c r="G24" t="s">
        <v>185</v>
      </c>
      <c r="H24" s="2">
        <v>36526.655057870368</v>
      </c>
      <c r="I24">
        <v>15.25</v>
      </c>
      <c r="J24">
        <v>15.25</v>
      </c>
      <c r="K24" t="s">
        <v>196</v>
      </c>
      <c r="L24" t="s">
        <v>14</v>
      </c>
      <c r="M24" t="s">
        <v>78</v>
      </c>
      <c r="N24" t="s">
        <v>79</v>
      </c>
    </row>
    <row r="25" spans="1:14" x14ac:dyDescent="0.3">
      <c r="A25">
        <v>2356</v>
      </c>
      <c r="B25">
        <v>1047</v>
      </c>
      <c r="C25">
        <v>0.33333333333333331</v>
      </c>
      <c r="D25" t="s">
        <v>126</v>
      </c>
      <c r="E25">
        <v>1</v>
      </c>
      <c r="F25" s="1">
        <v>42022</v>
      </c>
      <c r="G25" t="s">
        <v>185</v>
      </c>
      <c r="H25" s="2">
        <v>36526.618483796294</v>
      </c>
      <c r="I25">
        <v>9.75</v>
      </c>
      <c r="J25">
        <v>9.75</v>
      </c>
      <c r="K25" t="s">
        <v>198</v>
      </c>
      <c r="L25" t="s">
        <v>14</v>
      </c>
      <c r="M25" t="s">
        <v>78</v>
      </c>
      <c r="N25" t="s">
        <v>79</v>
      </c>
    </row>
    <row r="26" spans="1:14" x14ac:dyDescent="0.3">
      <c r="A26">
        <v>2353</v>
      </c>
      <c r="B26">
        <v>1046</v>
      </c>
      <c r="C26">
        <v>1</v>
      </c>
      <c r="D26" t="s">
        <v>50</v>
      </c>
      <c r="E26">
        <v>1</v>
      </c>
      <c r="F26" s="1">
        <v>42022</v>
      </c>
      <c r="G26" t="s">
        <v>185</v>
      </c>
      <c r="H26" s="2">
        <v>36526.610798611109</v>
      </c>
      <c r="I26">
        <v>12</v>
      </c>
      <c r="J26">
        <v>12</v>
      </c>
      <c r="K26" t="s">
        <v>198</v>
      </c>
      <c r="L26" t="s">
        <v>14</v>
      </c>
      <c r="M26" t="s">
        <v>18</v>
      </c>
      <c r="N26" t="s">
        <v>19</v>
      </c>
    </row>
    <row r="27" spans="1:14" x14ac:dyDescent="0.3">
      <c r="A27">
        <v>2351</v>
      </c>
      <c r="B27">
        <v>1044</v>
      </c>
      <c r="C27">
        <v>1</v>
      </c>
      <c r="D27" t="s">
        <v>140</v>
      </c>
      <c r="E27">
        <v>1</v>
      </c>
      <c r="F27" s="1">
        <v>42022</v>
      </c>
      <c r="G27" t="s">
        <v>185</v>
      </c>
      <c r="H27" s="2">
        <v>36526.597407407404</v>
      </c>
      <c r="I27">
        <v>25.5</v>
      </c>
      <c r="J27">
        <v>25.5</v>
      </c>
      <c r="K27" t="s">
        <v>199</v>
      </c>
      <c r="L27" t="s">
        <v>14</v>
      </c>
      <c r="M27" t="s">
        <v>45</v>
      </c>
      <c r="N27" t="s">
        <v>46</v>
      </c>
    </row>
    <row r="28" spans="1:14" x14ac:dyDescent="0.3">
      <c r="A28">
        <v>2344</v>
      </c>
      <c r="B28">
        <v>1043</v>
      </c>
      <c r="C28">
        <v>0.125</v>
      </c>
      <c r="D28" t="s">
        <v>126</v>
      </c>
      <c r="E28">
        <v>1</v>
      </c>
      <c r="F28" s="1">
        <v>42022</v>
      </c>
      <c r="G28" t="s">
        <v>185</v>
      </c>
      <c r="H28" s="2">
        <v>36526.58861111111</v>
      </c>
      <c r="I28">
        <v>9.75</v>
      </c>
      <c r="J28">
        <v>9.75</v>
      </c>
      <c r="K28" t="s">
        <v>198</v>
      </c>
      <c r="L28" t="s">
        <v>14</v>
      </c>
      <c r="M28" t="s">
        <v>78</v>
      </c>
      <c r="N28" t="s">
        <v>79</v>
      </c>
    </row>
    <row r="29" spans="1:14" x14ac:dyDescent="0.3">
      <c r="A29">
        <v>2342</v>
      </c>
      <c r="B29">
        <v>1042</v>
      </c>
      <c r="C29">
        <v>1</v>
      </c>
      <c r="D29" t="s">
        <v>143</v>
      </c>
      <c r="E29">
        <v>1</v>
      </c>
      <c r="F29" s="1">
        <v>42022</v>
      </c>
      <c r="G29" t="s">
        <v>185</v>
      </c>
      <c r="H29" s="2">
        <v>36526.587719907409</v>
      </c>
      <c r="I29">
        <v>11</v>
      </c>
      <c r="J29">
        <v>11</v>
      </c>
      <c r="K29" t="s">
        <v>198</v>
      </c>
      <c r="L29" t="s">
        <v>14</v>
      </c>
      <c r="M29" t="s">
        <v>130</v>
      </c>
      <c r="N29" t="s">
        <v>131</v>
      </c>
    </row>
    <row r="30" spans="1:14" x14ac:dyDescent="0.3">
      <c r="A30">
        <v>2338</v>
      </c>
      <c r="B30">
        <v>1039</v>
      </c>
      <c r="C30">
        <v>1</v>
      </c>
      <c r="D30" t="s">
        <v>138</v>
      </c>
      <c r="E30">
        <v>1</v>
      </c>
      <c r="F30" s="1">
        <v>42022</v>
      </c>
      <c r="G30" t="s">
        <v>185</v>
      </c>
      <c r="H30" s="2">
        <v>36526.564942129633</v>
      </c>
      <c r="I30">
        <v>20.5</v>
      </c>
      <c r="J30">
        <v>20.5</v>
      </c>
      <c r="K30" t="s">
        <v>196</v>
      </c>
      <c r="L30" t="s">
        <v>14</v>
      </c>
      <c r="M30" t="s">
        <v>18</v>
      </c>
      <c r="N30" t="s">
        <v>19</v>
      </c>
    </row>
    <row r="31" spans="1:14" x14ac:dyDescent="0.3">
      <c r="A31">
        <v>2337</v>
      </c>
      <c r="B31">
        <v>1038</v>
      </c>
      <c r="C31">
        <v>0.5</v>
      </c>
      <c r="D31" t="s">
        <v>77</v>
      </c>
      <c r="E31">
        <v>1</v>
      </c>
      <c r="F31" s="1">
        <v>42022</v>
      </c>
      <c r="G31" t="s">
        <v>185</v>
      </c>
      <c r="H31" s="2">
        <v>36526.552071759259</v>
      </c>
      <c r="I31">
        <v>15.25</v>
      </c>
      <c r="J31">
        <v>15.25</v>
      </c>
      <c r="K31" t="s">
        <v>196</v>
      </c>
      <c r="L31" t="s">
        <v>14</v>
      </c>
      <c r="M31" t="s">
        <v>78</v>
      </c>
      <c r="N31" t="s">
        <v>79</v>
      </c>
    </row>
    <row r="32" spans="1:14" x14ac:dyDescent="0.3">
      <c r="A32">
        <v>29</v>
      </c>
      <c r="B32">
        <v>11</v>
      </c>
      <c r="C32">
        <v>0.25</v>
      </c>
      <c r="D32" t="s">
        <v>77</v>
      </c>
      <c r="E32">
        <v>1</v>
      </c>
      <c r="F32" s="1">
        <v>42005</v>
      </c>
      <c r="G32" t="s">
        <v>189</v>
      </c>
      <c r="H32" s="2">
        <v>36526.543738425928</v>
      </c>
      <c r="I32">
        <v>15.25</v>
      </c>
      <c r="J32">
        <v>15.25</v>
      </c>
      <c r="K32" t="s">
        <v>196</v>
      </c>
      <c r="L32" t="s">
        <v>14</v>
      </c>
      <c r="M32" t="s">
        <v>78</v>
      </c>
      <c r="N32" t="s">
        <v>79</v>
      </c>
    </row>
    <row r="33" spans="1:14" x14ac:dyDescent="0.3">
      <c r="A33">
        <v>2336</v>
      </c>
      <c r="B33">
        <v>1038</v>
      </c>
      <c r="C33">
        <v>0.5</v>
      </c>
      <c r="D33" t="s">
        <v>142</v>
      </c>
      <c r="E33">
        <v>1</v>
      </c>
      <c r="F33" s="1">
        <v>42022</v>
      </c>
      <c r="G33" t="s">
        <v>185</v>
      </c>
      <c r="H33" s="2">
        <v>36526.552071759259</v>
      </c>
      <c r="I33">
        <v>16.5</v>
      </c>
      <c r="J33">
        <v>16.5</v>
      </c>
      <c r="K33" t="s">
        <v>196</v>
      </c>
      <c r="L33" t="s">
        <v>14</v>
      </c>
      <c r="M33" t="s">
        <v>15</v>
      </c>
      <c r="N33" t="s">
        <v>16</v>
      </c>
    </row>
    <row r="34" spans="1:14" x14ac:dyDescent="0.3">
      <c r="A34">
        <v>2334</v>
      </c>
      <c r="B34">
        <v>1037</v>
      </c>
      <c r="C34">
        <v>0.25</v>
      </c>
      <c r="D34" t="s">
        <v>17</v>
      </c>
      <c r="E34">
        <v>1</v>
      </c>
      <c r="F34" s="1">
        <v>42022</v>
      </c>
      <c r="G34" t="s">
        <v>185</v>
      </c>
      <c r="H34" s="2">
        <v>36526.545069444444</v>
      </c>
      <c r="I34">
        <v>16</v>
      </c>
      <c r="J34">
        <v>16</v>
      </c>
      <c r="K34" t="s">
        <v>197</v>
      </c>
      <c r="L34" t="s">
        <v>14</v>
      </c>
      <c r="M34" t="s">
        <v>18</v>
      </c>
      <c r="N34" t="s">
        <v>19</v>
      </c>
    </row>
    <row r="35" spans="1:14" x14ac:dyDescent="0.3">
      <c r="A35">
        <v>2332</v>
      </c>
      <c r="B35">
        <v>1037</v>
      </c>
      <c r="C35">
        <v>0.25</v>
      </c>
      <c r="D35" t="s">
        <v>84</v>
      </c>
      <c r="E35">
        <v>1</v>
      </c>
      <c r="F35" s="1">
        <v>42022</v>
      </c>
      <c r="G35" t="s">
        <v>185</v>
      </c>
      <c r="H35" s="2">
        <v>36526.545069444444</v>
      </c>
      <c r="I35">
        <v>12</v>
      </c>
      <c r="J35">
        <v>12</v>
      </c>
      <c r="K35" t="s">
        <v>198</v>
      </c>
      <c r="L35" t="s">
        <v>14</v>
      </c>
      <c r="M35" t="s">
        <v>85</v>
      </c>
      <c r="N35" t="s">
        <v>86</v>
      </c>
    </row>
    <row r="36" spans="1:14" x14ac:dyDescent="0.3">
      <c r="A36">
        <v>2328</v>
      </c>
      <c r="B36">
        <v>1036</v>
      </c>
      <c r="C36">
        <v>0.25</v>
      </c>
      <c r="D36" t="s">
        <v>17</v>
      </c>
      <c r="E36">
        <v>1</v>
      </c>
      <c r="F36" s="1">
        <v>42022</v>
      </c>
      <c r="G36" t="s">
        <v>185</v>
      </c>
      <c r="H36" s="2">
        <v>36526.534363425926</v>
      </c>
      <c r="I36">
        <v>16</v>
      </c>
      <c r="J36">
        <v>16</v>
      </c>
      <c r="K36" t="s">
        <v>197</v>
      </c>
      <c r="L36" t="s">
        <v>14</v>
      </c>
      <c r="M36" t="s">
        <v>18</v>
      </c>
      <c r="N36" t="s">
        <v>19</v>
      </c>
    </row>
    <row r="37" spans="1:14" x14ac:dyDescent="0.3">
      <c r="A37">
        <v>2320</v>
      </c>
      <c r="B37">
        <v>1034</v>
      </c>
      <c r="C37">
        <v>0.125</v>
      </c>
      <c r="D37" t="s">
        <v>77</v>
      </c>
      <c r="E37">
        <v>1</v>
      </c>
      <c r="F37" s="1">
        <v>42022</v>
      </c>
      <c r="G37" t="s">
        <v>185</v>
      </c>
      <c r="H37" s="2">
        <v>36526.505543981482</v>
      </c>
      <c r="I37">
        <v>15.25</v>
      </c>
      <c r="J37">
        <v>15.25</v>
      </c>
      <c r="K37" t="s">
        <v>196</v>
      </c>
      <c r="L37" t="s">
        <v>14</v>
      </c>
      <c r="M37" t="s">
        <v>78</v>
      </c>
      <c r="N37" t="s">
        <v>79</v>
      </c>
    </row>
    <row r="38" spans="1:14" x14ac:dyDescent="0.3">
      <c r="A38">
        <v>35</v>
      </c>
      <c r="B38">
        <v>14</v>
      </c>
      <c r="C38">
        <v>1</v>
      </c>
      <c r="D38" t="s">
        <v>44</v>
      </c>
      <c r="E38">
        <v>1</v>
      </c>
      <c r="F38" s="1">
        <v>42005</v>
      </c>
      <c r="G38" t="s">
        <v>189</v>
      </c>
      <c r="H38" s="2">
        <v>36526.551608796297</v>
      </c>
      <c r="I38">
        <v>12</v>
      </c>
      <c r="J38">
        <v>12</v>
      </c>
      <c r="K38" t="s">
        <v>198</v>
      </c>
      <c r="L38" t="s">
        <v>14</v>
      </c>
      <c r="M38" t="s">
        <v>45</v>
      </c>
      <c r="N38" t="s">
        <v>46</v>
      </c>
    </row>
    <row r="39" spans="1:14" x14ac:dyDescent="0.3">
      <c r="A39">
        <v>36</v>
      </c>
      <c r="B39">
        <v>15</v>
      </c>
      <c r="C39">
        <v>0.25</v>
      </c>
      <c r="D39" t="s">
        <v>84</v>
      </c>
      <c r="E39">
        <v>1</v>
      </c>
      <c r="F39" s="1">
        <v>42005</v>
      </c>
      <c r="G39" t="s">
        <v>189</v>
      </c>
      <c r="H39" s="2">
        <v>36526.564583333333</v>
      </c>
      <c r="I39">
        <v>12</v>
      </c>
      <c r="J39">
        <v>12</v>
      </c>
      <c r="K39" t="s">
        <v>198</v>
      </c>
      <c r="L39" t="s">
        <v>14</v>
      </c>
      <c r="M39" t="s">
        <v>85</v>
      </c>
      <c r="N39" t="s">
        <v>86</v>
      </c>
    </row>
    <row r="40" spans="1:14" x14ac:dyDescent="0.3">
      <c r="A40">
        <v>2319</v>
      </c>
      <c r="B40">
        <v>1034</v>
      </c>
      <c r="C40">
        <v>0.125</v>
      </c>
      <c r="D40" t="s">
        <v>93</v>
      </c>
      <c r="E40">
        <v>1</v>
      </c>
      <c r="F40" s="1">
        <v>42022</v>
      </c>
      <c r="G40" t="s">
        <v>185</v>
      </c>
      <c r="H40" s="2">
        <v>36526.505543981482</v>
      </c>
      <c r="I40">
        <v>12</v>
      </c>
      <c r="J40">
        <v>12</v>
      </c>
      <c r="K40" t="s">
        <v>198</v>
      </c>
      <c r="L40" t="s">
        <v>14</v>
      </c>
      <c r="M40" t="s">
        <v>94</v>
      </c>
      <c r="N40" t="s">
        <v>95</v>
      </c>
    </row>
    <row r="41" spans="1:14" x14ac:dyDescent="0.3">
      <c r="A41">
        <v>2318</v>
      </c>
      <c r="B41">
        <v>1034</v>
      </c>
      <c r="C41">
        <v>0.125</v>
      </c>
      <c r="D41" t="s">
        <v>112</v>
      </c>
      <c r="E41">
        <v>1</v>
      </c>
      <c r="F41" s="1">
        <v>42022</v>
      </c>
      <c r="G41" t="s">
        <v>185</v>
      </c>
      <c r="H41" s="2">
        <v>36526.505543981482</v>
      </c>
      <c r="I41">
        <v>20.5</v>
      </c>
      <c r="J41">
        <v>20.5</v>
      </c>
      <c r="K41" t="s">
        <v>196</v>
      </c>
      <c r="L41" t="s">
        <v>14</v>
      </c>
      <c r="M41" t="s">
        <v>94</v>
      </c>
      <c r="N41" t="s">
        <v>95</v>
      </c>
    </row>
    <row r="42" spans="1:14" x14ac:dyDescent="0.3">
      <c r="A42">
        <v>39</v>
      </c>
      <c r="B42">
        <v>15</v>
      </c>
      <c r="C42">
        <v>0.25</v>
      </c>
      <c r="D42" t="s">
        <v>44</v>
      </c>
      <c r="E42">
        <v>1</v>
      </c>
      <c r="F42" s="1">
        <v>42005</v>
      </c>
      <c r="G42" t="s">
        <v>189</v>
      </c>
      <c r="H42" s="2">
        <v>36526.564583333333</v>
      </c>
      <c r="I42">
        <v>12</v>
      </c>
      <c r="J42">
        <v>12</v>
      </c>
      <c r="K42" t="s">
        <v>198</v>
      </c>
      <c r="L42" t="s">
        <v>14</v>
      </c>
      <c r="M42" t="s">
        <v>45</v>
      </c>
      <c r="N42" t="s">
        <v>46</v>
      </c>
    </row>
    <row r="43" spans="1:14" x14ac:dyDescent="0.3">
      <c r="A43">
        <v>2313</v>
      </c>
      <c r="B43">
        <v>1031</v>
      </c>
      <c r="C43">
        <v>0.5</v>
      </c>
      <c r="D43" t="s">
        <v>142</v>
      </c>
      <c r="E43">
        <v>1</v>
      </c>
      <c r="F43" s="1">
        <v>42022</v>
      </c>
      <c r="G43" t="s">
        <v>185</v>
      </c>
      <c r="H43" s="2">
        <v>36526.485451388886</v>
      </c>
      <c r="I43">
        <v>16.5</v>
      </c>
      <c r="J43">
        <v>16.5</v>
      </c>
      <c r="K43" t="s">
        <v>196</v>
      </c>
      <c r="L43" t="s">
        <v>14</v>
      </c>
      <c r="M43" t="s">
        <v>15</v>
      </c>
      <c r="N43" t="s">
        <v>16</v>
      </c>
    </row>
    <row r="44" spans="1:14" x14ac:dyDescent="0.3">
      <c r="A44">
        <v>41</v>
      </c>
      <c r="B44">
        <v>16</v>
      </c>
      <c r="C44">
        <v>0.33333333333333331</v>
      </c>
      <c r="D44" t="s">
        <v>93</v>
      </c>
      <c r="E44">
        <v>1</v>
      </c>
      <c r="F44" s="1">
        <v>42005</v>
      </c>
      <c r="G44" t="s">
        <v>189</v>
      </c>
      <c r="H44" s="2">
        <v>36526.565358796295</v>
      </c>
      <c r="I44">
        <v>12</v>
      </c>
      <c r="J44">
        <v>12</v>
      </c>
      <c r="K44" t="s">
        <v>198</v>
      </c>
      <c r="L44" t="s">
        <v>14</v>
      </c>
      <c r="M44" t="s">
        <v>94</v>
      </c>
      <c r="N44" t="s">
        <v>95</v>
      </c>
    </row>
    <row r="45" spans="1:14" x14ac:dyDescent="0.3">
      <c r="A45">
        <v>2312</v>
      </c>
      <c r="B45">
        <v>1031</v>
      </c>
      <c r="C45">
        <v>0.5</v>
      </c>
      <c r="D45" t="s">
        <v>138</v>
      </c>
      <c r="E45">
        <v>1</v>
      </c>
      <c r="F45" s="1">
        <v>42022</v>
      </c>
      <c r="G45" t="s">
        <v>185</v>
      </c>
      <c r="H45" s="2">
        <v>36526.485451388886</v>
      </c>
      <c r="I45">
        <v>20.5</v>
      </c>
      <c r="J45">
        <v>20.5</v>
      </c>
      <c r="K45" t="s">
        <v>196</v>
      </c>
      <c r="L45" t="s">
        <v>14</v>
      </c>
      <c r="M45" t="s">
        <v>18</v>
      </c>
      <c r="N45" t="s">
        <v>19</v>
      </c>
    </row>
    <row r="46" spans="1:14" x14ac:dyDescent="0.3">
      <c r="A46">
        <v>2308</v>
      </c>
      <c r="B46">
        <v>1030</v>
      </c>
      <c r="C46">
        <v>0.25</v>
      </c>
      <c r="D46" t="s">
        <v>126</v>
      </c>
      <c r="E46">
        <v>1</v>
      </c>
      <c r="F46" s="1">
        <v>42021</v>
      </c>
      <c r="G46" t="s">
        <v>191</v>
      </c>
      <c r="H46" s="2">
        <v>36526.926377314812</v>
      </c>
      <c r="I46">
        <v>9.75</v>
      </c>
      <c r="J46">
        <v>9.75</v>
      </c>
      <c r="K46" t="s">
        <v>198</v>
      </c>
      <c r="L46" t="s">
        <v>14</v>
      </c>
      <c r="M46" t="s">
        <v>78</v>
      </c>
      <c r="N46" t="s">
        <v>79</v>
      </c>
    </row>
    <row r="47" spans="1:14" x14ac:dyDescent="0.3">
      <c r="A47">
        <v>2307</v>
      </c>
      <c r="B47">
        <v>1029</v>
      </c>
      <c r="C47">
        <v>0.5</v>
      </c>
      <c r="D47" t="s">
        <v>170</v>
      </c>
      <c r="E47">
        <v>1</v>
      </c>
      <c r="F47" s="1">
        <v>42021</v>
      </c>
      <c r="G47" t="s">
        <v>191</v>
      </c>
      <c r="H47" s="2">
        <v>36526.92114583333</v>
      </c>
      <c r="I47">
        <v>20.5</v>
      </c>
      <c r="J47">
        <v>20.5</v>
      </c>
      <c r="K47" t="s">
        <v>196</v>
      </c>
      <c r="L47" t="s">
        <v>14</v>
      </c>
      <c r="M47" t="s">
        <v>45</v>
      </c>
      <c r="N47" t="s">
        <v>46</v>
      </c>
    </row>
    <row r="48" spans="1:14" x14ac:dyDescent="0.3">
      <c r="A48">
        <v>2304</v>
      </c>
      <c r="B48">
        <v>1028</v>
      </c>
      <c r="C48">
        <v>0.5</v>
      </c>
      <c r="D48" t="s">
        <v>112</v>
      </c>
      <c r="E48">
        <v>1</v>
      </c>
      <c r="F48" s="1">
        <v>42021</v>
      </c>
      <c r="G48" t="s">
        <v>191</v>
      </c>
      <c r="H48" s="2">
        <v>36526.918576388889</v>
      </c>
      <c r="I48">
        <v>20.5</v>
      </c>
      <c r="J48">
        <v>20.5</v>
      </c>
      <c r="K48" t="s">
        <v>196</v>
      </c>
      <c r="L48" t="s">
        <v>14</v>
      </c>
      <c r="M48" t="s">
        <v>94</v>
      </c>
      <c r="N48" t="s">
        <v>95</v>
      </c>
    </row>
    <row r="49" spans="1:14" x14ac:dyDescent="0.3">
      <c r="A49">
        <v>2302</v>
      </c>
      <c r="B49">
        <v>1026</v>
      </c>
      <c r="C49">
        <v>0.5</v>
      </c>
      <c r="D49" t="s">
        <v>138</v>
      </c>
      <c r="E49">
        <v>1</v>
      </c>
      <c r="F49" s="1">
        <v>42021</v>
      </c>
      <c r="G49" t="s">
        <v>191</v>
      </c>
      <c r="H49" s="2">
        <v>36526.913252314815</v>
      </c>
      <c r="I49">
        <v>20.5</v>
      </c>
      <c r="J49">
        <v>20.5</v>
      </c>
      <c r="K49" t="s">
        <v>196</v>
      </c>
      <c r="L49" t="s">
        <v>14</v>
      </c>
      <c r="M49" t="s">
        <v>18</v>
      </c>
      <c r="N49" t="s">
        <v>19</v>
      </c>
    </row>
    <row r="50" spans="1:14" x14ac:dyDescent="0.3">
      <c r="A50">
        <v>2299</v>
      </c>
      <c r="B50">
        <v>1025</v>
      </c>
      <c r="C50">
        <v>0.33333333333333331</v>
      </c>
      <c r="D50" t="s">
        <v>77</v>
      </c>
      <c r="E50">
        <v>1</v>
      </c>
      <c r="F50" s="1">
        <v>42021</v>
      </c>
      <c r="G50" t="s">
        <v>191</v>
      </c>
      <c r="H50" s="2">
        <v>36526.90902777778</v>
      </c>
      <c r="I50">
        <v>15.25</v>
      </c>
      <c r="J50">
        <v>15.25</v>
      </c>
      <c r="K50" t="s">
        <v>196</v>
      </c>
      <c r="L50" t="s">
        <v>14</v>
      </c>
      <c r="M50" t="s">
        <v>78</v>
      </c>
      <c r="N50" t="s">
        <v>79</v>
      </c>
    </row>
    <row r="51" spans="1:14" x14ac:dyDescent="0.3">
      <c r="A51">
        <v>2298</v>
      </c>
      <c r="B51">
        <v>1025</v>
      </c>
      <c r="C51">
        <v>0.33333333333333331</v>
      </c>
      <c r="D51" t="s">
        <v>143</v>
      </c>
      <c r="E51">
        <v>1</v>
      </c>
      <c r="F51" s="1">
        <v>42021</v>
      </c>
      <c r="G51" t="s">
        <v>191</v>
      </c>
      <c r="H51" s="2">
        <v>36526.90902777778</v>
      </c>
      <c r="I51">
        <v>11</v>
      </c>
      <c r="J51">
        <v>11</v>
      </c>
      <c r="K51" t="s">
        <v>198</v>
      </c>
      <c r="L51" t="s">
        <v>14</v>
      </c>
      <c r="M51" t="s">
        <v>130</v>
      </c>
      <c r="N51" t="s">
        <v>131</v>
      </c>
    </row>
    <row r="52" spans="1:14" x14ac:dyDescent="0.3">
      <c r="A52">
        <v>2296</v>
      </c>
      <c r="B52">
        <v>1023</v>
      </c>
      <c r="C52">
        <v>1</v>
      </c>
      <c r="D52" t="s">
        <v>116</v>
      </c>
      <c r="E52">
        <v>1</v>
      </c>
      <c r="F52" s="1">
        <v>42021</v>
      </c>
      <c r="G52" t="s">
        <v>191</v>
      </c>
      <c r="H52" s="2">
        <v>36526.889097222222</v>
      </c>
      <c r="I52">
        <v>16</v>
      </c>
      <c r="J52">
        <v>16</v>
      </c>
      <c r="K52" t="s">
        <v>197</v>
      </c>
      <c r="L52" t="s">
        <v>14</v>
      </c>
      <c r="M52" t="s">
        <v>55</v>
      </c>
      <c r="N52" t="s">
        <v>56</v>
      </c>
    </row>
    <row r="53" spans="1:14" x14ac:dyDescent="0.3">
      <c r="A53">
        <v>2294</v>
      </c>
      <c r="B53">
        <v>1021</v>
      </c>
      <c r="C53">
        <v>0.25</v>
      </c>
      <c r="D53" t="s">
        <v>119</v>
      </c>
      <c r="E53">
        <v>1</v>
      </c>
      <c r="F53" s="1">
        <v>42021</v>
      </c>
      <c r="G53" t="s">
        <v>191</v>
      </c>
      <c r="H53" s="2">
        <v>36526.882997685185</v>
      </c>
      <c r="I53">
        <v>12.5</v>
      </c>
      <c r="J53">
        <v>12.5</v>
      </c>
      <c r="K53" t="s">
        <v>197</v>
      </c>
      <c r="L53" t="s">
        <v>14</v>
      </c>
      <c r="M53" t="s">
        <v>78</v>
      </c>
      <c r="N53" t="s">
        <v>79</v>
      </c>
    </row>
    <row r="54" spans="1:14" x14ac:dyDescent="0.3">
      <c r="A54">
        <v>2289</v>
      </c>
      <c r="B54">
        <v>1020</v>
      </c>
      <c r="C54">
        <v>0.25</v>
      </c>
      <c r="D54" t="s">
        <v>119</v>
      </c>
      <c r="E54">
        <v>1</v>
      </c>
      <c r="F54" s="1">
        <v>42021</v>
      </c>
      <c r="G54" t="s">
        <v>191</v>
      </c>
      <c r="H54" s="2">
        <v>36526.878009259257</v>
      </c>
      <c r="I54">
        <v>12.5</v>
      </c>
      <c r="J54">
        <v>12.5</v>
      </c>
      <c r="K54" t="s">
        <v>197</v>
      </c>
      <c r="L54" t="s">
        <v>14</v>
      </c>
      <c r="M54" t="s">
        <v>78</v>
      </c>
      <c r="N54" t="s">
        <v>79</v>
      </c>
    </row>
    <row r="55" spans="1:14" x14ac:dyDescent="0.3">
      <c r="A55">
        <v>2284</v>
      </c>
      <c r="B55">
        <v>1019</v>
      </c>
      <c r="C55">
        <v>0.33333333333333331</v>
      </c>
      <c r="D55" t="s">
        <v>132</v>
      </c>
      <c r="E55">
        <v>2</v>
      </c>
      <c r="F55" s="1">
        <v>42021</v>
      </c>
      <c r="G55" t="s">
        <v>191</v>
      </c>
      <c r="H55" s="2">
        <v>36526.868680555555</v>
      </c>
      <c r="I55">
        <v>10.5</v>
      </c>
      <c r="J55">
        <v>21</v>
      </c>
      <c r="K55" t="s">
        <v>198</v>
      </c>
      <c r="L55" t="s">
        <v>14</v>
      </c>
      <c r="M55" t="s">
        <v>15</v>
      </c>
      <c r="N55" t="s">
        <v>16</v>
      </c>
    </row>
    <row r="56" spans="1:14" x14ac:dyDescent="0.3">
      <c r="A56">
        <v>53</v>
      </c>
      <c r="B56">
        <v>18</v>
      </c>
      <c r="C56">
        <v>1</v>
      </c>
      <c r="D56" t="s">
        <v>112</v>
      </c>
      <c r="E56">
        <v>1</v>
      </c>
      <c r="F56" s="1">
        <v>42005</v>
      </c>
      <c r="G56" t="s">
        <v>189</v>
      </c>
      <c r="H56" s="2">
        <v>36526.581342592595</v>
      </c>
      <c r="I56">
        <v>20.5</v>
      </c>
      <c r="J56">
        <v>20.5</v>
      </c>
      <c r="K56" t="s">
        <v>196</v>
      </c>
      <c r="L56" t="s">
        <v>14</v>
      </c>
      <c r="M56" t="s">
        <v>94</v>
      </c>
      <c r="N56" t="s">
        <v>95</v>
      </c>
    </row>
    <row r="57" spans="1:14" x14ac:dyDescent="0.3">
      <c r="A57">
        <v>54</v>
      </c>
      <c r="B57">
        <v>19</v>
      </c>
      <c r="C57">
        <v>0.5</v>
      </c>
      <c r="D57" t="s">
        <v>54</v>
      </c>
      <c r="E57">
        <v>1</v>
      </c>
      <c r="F57" s="1">
        <v>42005</v>
      </c>
      <c r="G57" t="s">
        <v>189</v>
      </c>
      <c r="H57" s="2">
        <v>36526.582743055558</v>
      </c>
      <c r="I57">
        <v>20.5</v>
      </c>
      <c r="J57">
        <v>20.5</v>
      </c>
      <c r="K57" t="s">
        <v>196</v>
      </c>
      <c r="L57" t="s">
        <v>14</v>
      </c>
      <c r="M57" t="s">
        <v>55</v>
      </c>
      <c r="N57" t="s">
        <v>56</v>
      </c>
    </row>
    <row r="58" spans="1:14" x14ac:dyDescent="0.3">
      <c r="A58">
        <v>2283</v>
      </c>
      <c r="B58">
        <v>1018</v>
      </c>
      <c r="C58">
        <v>0.33333333333333331</v>
      </c>
      <c r="D58" t="s">
        <v>143</v>
      </c>
      <c r="E58">
        <v>1</v>
      </c>
      <c r="F58" s="1">
        <v>42021</v>
      </c>
      <c r="G58" t="s">
        <v>191</v>
      </c>
      <c r="H58" s="2">
        <v>36526.860300925924</v>
      </c>
      <c r="I58">
        <v>11</v>
      </c>
      <c r="J58">
        <v>11</v>
      </c>
      <c r="K58" t="s">
        <v>198</v>
      </c>
      <c r="L58" t="s">
        <v>14</v>
      </c>
      <c r="M58" t="s">
        <v>130</v>
      </c>
      <c r="N58" t="s">
        <v>131</v>
      </c>
    </row>
    <row r="59" spans="1:14" x14ac:dyDescent="0.3">
      <c r="A59">
        <v>56</v>
      </c>
      <c r="B59">
        <v>20</v>
      </c>
      <c r="C59">
        <v>0.5</v>
      </c>
      <c r="D59" t="s">
        <v>84</v>
      </c>
      <c r="E59">
        <v>1</v>
      </c>
      <c r="F59" s="1">
        <v>42005</v>
      </c>
      <c r="G59" t="s">
        <v>189</v>
      </c>
      <c r="H59" s="2">
        <v>36526.585509259261</v>
      </c>
      <c r="I59">
        <v>12</v>
      </c>
      <c r="J59">
        <v>12</v>
      </c>
      <c r="K59" t="s">
        <v>198</v>
      </c>
      <c r="L59" t="s">
        <v>14</v>
      </c>
      <c r="M59" t="s">
        <v>85</v>
      </c>
      <c r="N59" t="s">
        <v>86</v>
      </c>
    </row>
    <row r="60" spans="1:14" x14ac:dyDescent="0.3">
      <c r="A60">
        <v>2278</v>
      </c>
      <c r="B60">
        <v>1016</v>
      </c>
      <c r="C60">
        <v>0.33333333333333331</v>
      </c>
      <c r="D60" t="s">
        <v>12</v>
      </c>
      <c r="E60">
        <v>1</v>
      </c>
      <c r="F60" s="1">
        <v>42021</v>
      </c>
      <c r="G60" t="s">
        <v>191</v>
      </c>
      <c r="H60" s="2">
        <v>36526.822638888887</v>
      </c>
      <c r="I60">
        <v>13.25</v>
      </c>
      <c r="J60">
        <v>13.25</v>
      </c>
      <c r="K60" t="s">
        <v>197</v>
      </c>
      <c r="L60" t="s">
        <v>14</v>
      </c>
      <c r="M60" t="s">
        <v>15</v>
      </c>
      <c r="N60" t="s">
        <v>16</v>
      </c>
    </row>
    <row r="61" spans="1:14" x14ac:dyDescent="0.3">
      <c r="A61">
        <v>58</v>
      </c>
      <c r="B61">
        <v>21</v>
      </c>
      <c r="C61">
        <v>1</v>
      </c>
      <c r="D61" t="s">
        <v>54</v>
      </c>
      <c r="E61">
        <v>1</v>
      </c>
      <c r="F61" s="1">
        <v>42005</v>
      </c>
      <c r="G61" t="s">
        <v>189</v>
      </c>
      <c r="H61" s="2">
        <v>36526.593391203707</v>
      </c>
      <c r="I61">
        <v>20.5</v>
      </c>
      <c r="J61">
        <v>20.5</v>
      </c>
      <c r="K61" t="s">
        <v>196</v>
      </c>
      <c r="L61" t="s">
        <v>14</v>
      </c>
      <c r="M61" t="s">
        <v>55</v>
      </c>
      <c r="N61" t="s">
        <v>56</v>
      </c>
    </row>
    <row r="62" spans="1:14" x14ac:dyDescent="0.3">
      <c r="A62">
        <v>2273</v>
      </c>
      <c r="B62">
        <v>1014</v>
      </c>
      <c r="C62">
        <v>0.25</v>
      </c>
      <c r="D62" t="s">
        <v>126</v>
      </c>
      <c r="E62">
        <v>1</v>
      </c>
      <c r="F62" s="1">
        <v>42021</v>
      </c>
      <c r="G62" t="s">
        <v>191</v>
      </c>
      <c r="H62" s="2">
        <v>36526.818252314813</v>
      </c>
      <c r="I62">
        <v>9.75</v>
      </c>
      <c r="J62">
        <v>9.75</v>
      </c>
      <c r="K62" t="s">
        <v>198</v>
      </c>
      <c r="L62" t="s">
        <v>14</v>
      </c>
      <c r="M62" t="s">
        <v>78</v>
      </c>
      <c r="N62" t="s">
        <v>79</v>
      </c>
    </row>
    <row r="63" spans="1:14" x14ac:dyDescent="0.3">
      <c r="A63">
        <v>60</v>
      </c>
      <c r="B63">
        <v>22</v>
      </c>
      <c r="C63">
        <v>0.33333333333333331</v>
      </c>
      <c r="D63" t="s">
        <v>116</v>
      </c>
      <c r="E63">
        <v>1</v>
      </c>
      <c r="F63" s="1">
        <v>42005</v>
      </c>
      <c r="G63" t="s">
        <v>189</v>
      </c>
      <c r="H63" s="2">
        <v>36526.59474537037</v>
      </c>
      <c r="I63">
        <v>16</v>
      </c>
      <c r="J63">
        <v>16</v>
      </c>
      <c r="K63" t="s">
        <v>197</v>
      </c>
      <c r="L63" t="s">
        <v>14</v>
      </c>
      <c r="M63" t="s">
        <v>55</v>
      </c>
      <c r="N63" t="s">
        <v>56</v>
      </c>
    </row>
    <row r="64" spans="1:14" x14ac:dyDescent="0.3">
      <c r="A64">
        <v>2267</v>
      </c>
      <c r="B64">
        <v>1011</v>
      </c>
      <c r="C64">
        <v>1</v>
      </c>
      <c r="D64" t="s">
        <v>143</v>
      </c>
      <c r="E64">
        <v>1</v>
      </c>
      <c r="F64" s="1">
        <v>42021</v>
      </c>
      <c r="G64" t="s">
        <v>191</v>
      </c>
      <c r="H64" s="2">
        <v>36526.805787037039</v>
      </c>
      <c r="I64">
        <v>11</v>
      </c>
      <c r="J64">
        <v>11</v>
      </c>
      <c r="K64" t="s">
        <v>198</v>
      </c>
      <c r="L64" t="s">
        <v>14</v>
      </c>
      <c r="M64" t="s">
        <v>130</v>
      </c>
      <c r="N64" t="s">
        <v>131</v>
      </c>
    </row>
    <row r="65" spans="1:14" x14ac:dyDescent="0.3">
      <c r="A65">
        <v>2264</v>
      </c>
      <c r="B65">
        <v>1010</v>
      </c>
      <c r="C65">
        <v>0.33333333333333331</v>
      </c>
      <c r="D65" t="s">
        <v>84</v>
      </c>
      <c r="E65">
        <v>1</v>
      </c>
      <c r="F65" s="1">
        <v>42021</v>
      </c>
      <c r="G65" t="s">
        <v>191</v>
      </c>
      <c r="H65" s="2">
        <v>36526.802210648151</v>
      </c>
      <c r="I65">
        <v>12</v>
      </c>
      <c r="J65">
        <v>12</v>
      </c>
      <c r="K65" t="s">
        <v>198</v>
      </c>
      <c r="L65" t="s">
        <v>14</v>
      </c>
      <c r="M65" t="s">
        <v>85</v>
      </c>
      <c r="N65" t="s">
        <v>86</v>
      </c>
    </row>
    <row r="66" spans="1:14" x14ac:dyDescent="0.3">
      <c r="A66">
        <v>2262</v>
      </c>
      <c r="B66">
        <v>1009</v>
      </c>
      <c r="C66">
        <v>0.5</v>
      </c>
      <c r="D66" t="s">
        <v>17</v>
      </c>
      <c r="E66">
        <v>1</v>
      </c>
      <c r="F66" s="1">
        <v>42021</v>
      </c>
      <c r="G66" t="s">
        <v>191</v>
      </c>
      <c r="H66" s="2">
        <v>36526.790555555555</v>
      </c>
      <c r="I66">
        <v>16</v>
      </c>
      <c r="J66">
        <v>16</v>
      </c>
      <c r="K66" t="s">
        <v>197</v>
      </c>
      <c r="L66" t="s">
        <v>14</v>
      </c>
      <c r="M66" t="s">
        <v>18</v>
      </c>
      <c r="N66" t="s">
        <v>19</v>
      </c>
    </row>
    <row r="67" spans="1:14" x14ac:dyDescent="0.3">
      <c r="A67">
        <v>64</v>
      </c>
      <c r="B67">
        <v>24</v>
      </c>
      <c r="C67">
        <v>0.25</v>
      </c>
      <c r="D67" t="s">
        <v>116</v>
      </c>
      <c r="E67">
        <v>1</v>
      </c>
      <c r="F67" s="1">
        <v>42005</v>
      </c>
      <c r="G67" t="s">
        <v>189</v>
      </c>
      <c r="H67" s="2">
        <v>36526.599317129629</v>
      </c>
      <c r="I67">
        <v>16</v>
      </c>
      <c r="J67">
        <v>16</v>
      </c>
      <c r="K67" t="s">
        <v>197</v>
      </c>
      <c r="L67" t="s">
        <v>14</v>
      </c>
      <c r="M67" t="s">
        <v>55</v>
      </c>
      <c r="N67" t="s">
        <v>56</v>
      </c>
    </row>
    <row r="68" spans="1:14" x14ac:dyDescent="0.3">
      <c r="A68">
        <v>65</v>
      </c>
      <c r="B68">
        <v>24</v>
      </c>
      <c r="C68">
        <v>0.25</v>
      </c>
      <c r="D68" t="s">
        <v>119</v>
      </c>
      <c r="E68">
        <v>1</v>
      </c>
      <c r="F68" s="1">
        <v>42005</v>
      </c>
      <c r="G68" t="s">
        <v>189</v>
      </c>
      <c r="H68" s="2">
        <v>36526.599317129629</v>
      </c>
      <c r="I68">
        <v>12.5</v>
      </c>
      <c r="J68">
        <v>12.5</v>
      </c>
      <c r="K68" t="s">
        <v>197</v>
      </c>
      <c r="L68" t="s">
        <v>14</v>
      </c>
      <c r="M68" t="s">
        <v>78</v>
      </c>
      <c r="N68" t="s">
        <v>79</v>
      </c>
    </row>
    <row r="69" spans="1:14" x14ac:dyDescent="0.3">
      <c r="A69">
        <v>2261</v>
      </c>
      <c r="B69">
        <v>1008</v>
      </c>
      <c r="C69">
        <v>0.5</v>
      </c>
      <c r="D69" t="s">
        <v>155</v>
      </c>
      <c r="E69">
        <v>1</v>
      </c>
      <c r="F69" s="1">
        <v>42021</v>
      </c>
      <c r="G69" t="s">
        <v>191</v>
      </c>
      <c r="H69" s="2">
        <v>36526.784710648149</v>
      </c>
      <c r="I69">
        <v>16</v>
      </c>
      <c r="J69">
        <v>16</v>
      </c>
      <c r="K69" t="s">
        <v>197</v>
      </c>
      <c r="L69" t="s">
        <v>14</v>
      </c>
      <c r="M69" t="s">
        <v>45</v>
      </c>
      <c r="N69" t="s">
        <v>46</v>
      </c>
    </row>
    <row r="70" spans="1:14" x14ac:dyDescent="0.3">
      <c r="A70">
        <v>2260</v>
      </c>
      <c r="B70">
        <v>1008</v>
      </c>
      <c r="C70">
        <v>0.5</v>
      </c>
      <c r="D70" t="s">
        <v>17</v>
      </c>
      <c r="E70">
        <v>1</v>
      </c>
      <c r="F70" s="1">
        <v>42021</v>
      </c>
      <c r="G70" t="s">
        <v>191</v>
      </c>
      <c r="H70" s="2">
        <v>36526.784710648149</v>
      </c>
      <c r="I70">
        <v>16</v>
      </c>
      <c r="J70">
        <v>16</v>
      </c>
      <c r="K70" t="s">
        <v>197</v>
      </c>
      <c r="L70" t="s">
        <v>14</v>
      </c>
      <c r="M70" t="s">
        <v>18</v>
      </c>
      <c r="N70" t="s">
        <v>19</v>
      </c>
    </row>
    <row r="71" spans="1:14" x14ac:dyDescent="0.3">
      <c r="A71">
        <v>2254</v>
      </c>
      <c r="B71">
        <v>1004</v>
      </c>
      <c r="C71">
        <v>1</v>
      </c>
      <c r="D71" t="s">
        <v>140</v>
      </c>
      <c r="E71">
        <v>1</v>
      </c>
      <c r="F71" s="1">
        <v>42021</v>
      </c>
      <c r="G71" t="s">
        <v>191</v>
      </c>
      <c r="H71" s="2">
        <v>36526.738946759258</v>
      </c>
      <c r="I71">
        <v>25.5</v>
      </c>
      <c r="J71">
        <v>25.5</v>
      </c>
      <c r="K71" t="s">
        <v>199</v>
      </c>
      <c r="L71" t="s">
        <v>14</v>
      </c>
      <c r="M71" t="s">
        <v>45</v>
      </c>
      <c r="N71" t="s">
        <v>46</v>
      </c>
    </row>
    <row r="72" spans="1:14" x14ac:dyDescent="0.3">
      <c r="A72">
        <v>69</v>
      </c>
      <c r="B72">
        <v>26</v>
      </c>
      <c r="C72">
        <v>0.5</v>
      </c>
      <c r="D72" t="s">
        <v>50</v>
      </c>
      <c r="E72">
        <v>1</v>
      </c>
      <c r="F72" s="1">
        <v>42005</v>
      </c>
      <c r="G72" t="s">
        <v>189</v>
      </c>
      <c r="H72" s="2">
        <v>36526.621134259258</v>
      </c>
      <c r="I72">
        <v>12</v>
      </c>
      <c r="J72">
        <v>12</v>
      </c>
      <c r="K72" t="s">
        <v>198</v>
      </c>
      <c r="L72" t="s">
        <v>14</v>
      </c>
      <c r="M72" t="s">
        <v>18</v>
      </c>
      <c r="N72" t="s">
        <v>19</v>
      </c>
    </row>
    <row r="73" spans="1:14" x14ac:dyDescent="0.3">
      <c r="A73">
        <v>2253</v>
      </c>
      <c r="B73">
        <v>1003</v>
      </c>
      <c r="C73">
        <v>0.33333333333333331</v>
      </c>
      <c r="D73" t="s">
        <v>126</v>
      </c>
      <c r="E73">
        <v>1</v>
      </c>
      <c r="F73" s="1">
        <v>42021</v>
      </c>
      <c r="G73" t="s">
        <v>191</v>
      </c>
      <c r="H73" s="2">
        <v>36526.730046296296</v>
      </c>
      <c r="I73">
        <v>9.75</v>
      </c>
      <c r="J73">
        <v>9.75</v>
      </c>
      <c r="K73" t="s">
        <v>198</v>
      </c>
      <c r="L73" t="s">
        <v>14</v>
      </c>
      <c r="M73" t="s">
        <v>78</v>
      </c>
      <c r="N73" t="s">
        <v>79</v>
      </c>
    </row>
    <row r="74" spans="1:14" x14ac:dyDescent="0.3">
      <c r="A74">
        <v>2247</v>
      </c>
      <c r="B74">
        <v>1001</v>
      </c>
      <c r="C74">
        <v>0.33333333333333331</v>
      </c>
      <c r="D74" t="s">
        <v>77</v>
      </c>
      <c r="E74">
        <v>1</v>
      </c>
      <c r="F74" s="1">
        <v>42021</v>
      </c>
      <c r="G74" t="s">
        <v>191</v>
      </c>
      <c r="H74" s="2">
        <v>36526.727835648147</v>
      </c>
      <c r="I74">
        <v>15.25</v>
      </c>
      <c r="J74">
        <v>15.25</v>
      </c>
      <c r="K74" t="s">
        <v>196</v>
      </c>
      <c r="L74" t="s">
        <v>14</v>
      </c>
      <c r="M74" t="s">
        <v>78</v>
      </c>
      <c r="N74" t="s">
        <v>79</v>
      </c>
    </row>
    <row r="75" spans="1:14" x14ac:dyDescent="0.3">
      <c r="A75">
        <v>72</v>
      </c>
      <c r="B75">
        <v>27</v>
      </c>
      <c r="C75">
        <v>0.33333333333333331</v>
      </c>
      <c r="D75" t="s">
        <v>17</v>
      </c>
      <c r="E75">
        <v>1</v>
      </c>
      <c r="F75" s="1">
        <v>42005</v>
      </c>
      <c r="G75" t="s">
        <v>189</v>
      </c>
      <c r="H75" s="2">
        <v>36526.632835648146</v>
      </c>
      <c r="I75">
        <v>16</v>
      </c>
      <c r="J75">
        <v>16</v>
      </c>
      <c r="K75" t="s">
        <v>197</v>
      </c>
      <c r="L75" t="s">
        <v>14</v>
      </c>
      <c r="M75" t="s">
        <v>18</v>
      </c>
      <c r="N75" t="s">
        <v>19</v>
      </c>
    </row>
    <row r="76" spans="1:14" x14ac:dyDescent="0.3">
      <c r="A76">
        <v>2246</v>
      </c>
      <c r="B76">
        <v>1001</v>
      </c>
      <c r="C76">
        <v>0.33333333333333331</v>
      </c>
      <c r="D76" t="s">
        <v>84</v>
      </c>
      <c r="E76">
        <v>2</v>
      </c>
      <c r="F76" s="1">
        <v>42021</v>
      </c>
      <c r="G76" t="s">
        <v>191</v>
      </c>
      <c r="H76" s="2">
        <v>36526.727835648147</v>
      </c>
      <c r="I76">
        <v>12</v>
      </c>
      <c r="J76">
        <v>24</v>
      </c>
      <c r="K76" t="s">
        <v>198</v>
      </c>
      <c r="L76" t="s">
        <v>14</v>
      </c>
      <c r="M76" t="s">
        <v>85</v>
      </c>
      <c r="N76" t="s">
        <v>86</v>
      </c>
    </row>
    <row r="77" spans="1:14" x14ac:dyDescent="0.3">
      <c r="A77">
        <v>2242</v>
      </c>
      <c r="B77">
        <v>998</v>
      </c>
      <c r="C77">
        <v>1</v>
      </c>
      <c r="D77" t="s">
        <v>54</v>
      </c>
      <c r="E77">
        <v>1</v>
      </c>
      <c r="F77" s="1">
        <v>42021</v>
      </c>
      <c r="G77" t="s">
        <v>191</v>
      </c>
      <c r="H77" s="2">
        <v>36526.721712962964</v>
      </c>
      <c r="I77">
        <v>20.5</v>
      </c>
      <c r="J77">
        <v>20.5</v>
      </c>
      <c r="K77" t="s">
        <v>196</v>
      </c>
      <c r="L77" t="s">
        <v>14</v>
      </c>
      <c r="M77" t="s">
        <v>55</v>
      </c>
      <c r="N77" t="s">
        <v>56</v>
      </c>
    </row>
    <row r="78" spans="1:14" x14ac:dyDescent="0.3">
      <c r="A78">
        <v>2239</v>
      </c>
      <c r="B78">
        <v>996</v>
      </c>
      <c r="C78">
        <v>0.25</v>
      </c>
      <c r="D78" t="s">
        <v>112</v>
      </c>
      <c r="E78">
        <v>1</v>
      </c>
      <c r="F78" s="1">
        <v>42021</v>
      </c>
      <c r="G78" t="s">
        <v>191</v>
      </c>
      <c r="H78" s="2">
        <v>36526.716053240743</v>
      </c>
      <c r="I78">
        <v>20.5</v>
      </c>
      <c r="J78">
        <v>20.5</v>
      </c>
      <c r="K78" t="s">
        <v>196</v>
      </c>
      <c r="L78" t="s">
        <v>14</v>
      </c>
      <c r="M78" t="s">
        <v>94</v>
      </c>
      <c r="N78" t="s">
        <v>95</v>
      </c>
    </row>
    <row r="79" spans="1:14" x14ac:dyDescent="0.3">
      <c r="A79">
        <v>2238</v>
      </c>
      <c r="B79">
        <v>996</v>
      </c>
      <c r="C79">
        <v>0.25</v>
      </c>
      <c r="D79" t="s">
        <v>160</v>
      </c>
      <c r="E79">
        <v>1</v>
      </c>
      <c r="F79" s="1">
        <v>42021</v>
      </c>
      <c r="G79" t="s">
        <v>191</v>
      </c>
      <c r="H79" s="2">
        <v>36526.716053240743</v>
      </c>
      <c r="I79">
        <v>12</v>
      </c>
      <c r="J79">
        <v>12</v>
      </c>
      <c r="K79" t="s">
        <v>198</v>
      </c>
      <c r="L79" t="s">
        <v>14</v>
      </c>
      <c r="M79" t="s">
        <v>55</v>
      </c>
      <c r="N79" t="s">
        <v>56</v>
      </c>
    </row>
    <row r="80" spans="1:14" x14ac:dyDescent="0.3">
      <c r="A80">
        <v>2237</v>
      </c>
      <c r="B80">
        <v>996</v>
      </c>
      <c r="C80">
        <v>0.25</v>
      </c>
      <c r="D80" t="s">
        <v>116</v>
      </c>
      <c r="E80">
        <v>1</v>
      </c>
      <c r="F80" s="1">
        <v>42021</v>
      </c>
      <c r="G80" t="s">
        <v>191</v>
      </c>
      <c r="H80" s="2">
        <v>36526.716053240743</v>
      </c>
      <c r="I80">
        <v>16</v>
      </c>
      <c r="J80">
        <v>16</v>
      </c>
      <c r="K80" t="s">
        <v>197</v>
      </c>
      <c r="L80" t="s">
        <v>14</v>
      </c>
      <c r="M80" t="s">
        <v>55</v>
      </c>
      <c r="N80" t="s">
        <v>56</v>
      </c>
    </row>
    <row r="81" spans="1:14" x14ac:dyDescent="0.3">
      <c r="A81">
        <v>78</v>
      </c>
      <c r="B81">
        <v>31</v>
      </c>
      <c r="C81">
        <v>0.5</v>
      </c>
      <c r="D81" t="s">
        <v>126</v>
      </c>
      <c r="E81">
        <v>1</v>
      </c>
      <c r="F81" s="1">
        <v>42005</v>
      </c>
      <c r="G81" t="s">
        <v>189</v>
      </c>
      <c r="H81" s="2">
        <v>36526.659930555557</v>
      </c>
      <c r="I81">
        <v>9.75</v>
      </c>
      <c r="J81">
        <v>9.75</v>
      </c>
      <c r="K81" t="s">
        <v>198</v>
      </c>
      <c r="L81" t="s">
        <v>14</v>
      </c>
      <c r="M81" t="s">
        <v>78</v>
      </c>
      <c r="N81" t="s">
        <v>79</v>
      </c>
    </row>
    <row r="82" spans="1:14" x14ac:dyDescent="0.3">
      <c r="A82">
        <v>79</v>
      </c>
      <c r="B82">
        <v>32</v>
      </c>
      <c r="C82">
        <v>0.25</v>
      </c>
      <c r="D82" t="s">
        <v>84</v>
      </c>
      <c r="E82">
        <v>1</v>
      </c>
      <c r="F82" s="1">
        <v>42005</v>
      </c>
      <c r="G82" t="s">
        <v>189</v>
      </c>
      <c r="H82" s="2">
        <v>36526.66201388889</v>
      </c>
      <c r="I82">
        <v>12</v>
      </c>
      <c r="J82">
        <v>12</v>
      </c>
      <c r="K82" t="s">
        <v>198</v>
      </c>
      <c r="L82" t="s">
        <v>14</v>
      </c>
      <c r="M82" t="s">
        <v>85</v>
      </c>
      <c r="N82" t="s">
        <v>86</v>
      </c>
    </row>
    <row r="83" spans="1:14" x14ac:dyDescent="0.3">
      <c r="A83">
        <v>2233</v>
      </c>
      <c r="B83">
        <v>994</v>
      </c>
      <c r="C83">
        <v>0.25</v>
      </c>
      <c r="D83" t="s">
        <v>132</v>
      </c>
      <c r="E83">
        <v>1</v>
      </c>
      <c r="F83" s="1">
        <v>42021</v>
      </c>
      <c r="G83" t="s">
        <v>191</v>
      </c>
      <c r="H83" s="2">
        <v>36526.680347222224</v>
      </c>
      <c r="I83">
        <v>10.5</v>
      </c>
      <c r="J83">
        <v>10.5</v>
      </c>
      <c r="K83" t="s">
        <v>198</v>
      </c>
      <c r="L83" t="s">
        <v>14</v>
      </c>
      <c r="M83" t="s">
        <v>15</v>
      </c>
      <c r="N83" t="s">
        <v>16</v>
      </c>
    </row>
    <row r="84" spans="1:14" x14ac:dyDescent="0.3">
      <c r="A84">
        <v>81</v>
      </c>
      <c r="B84">
        <v>32</v>
      </c>
      <c r="C84">
        <v>0.25</v>
      </c>
      <c r="D84" t="s">
        <v>54</v>
      </c>
      <c r="E84">
        <v>1</v>
      </c>
      <c r="F84" s="1">
        <v>42005</v>
      </c>
      <c r="G84" t="s">
        <v>189</v>
      </c>
      <c r="H84" s="2">
        <v>36526.66201388889</v>
      </c>
      <c r="I84">
        <v>20.5</v>
      </c>
      <c r="J84">
        <v>20.5</v>
      </c>
      <c r="K84" t="s">
        <v>196</v>
      </c>
      <c r="L84" t="s">
        <v>14</v>
      </c>
      <c r="M84" t="s">
        <v>55</v>
      </c>
      <c r="N84" t="s">
        <v>56</v>
      </c>
    </row>
    <row r="85" spans="1:14" x14ac:dyDescent="0.3">
      <c r="A85">
        <v>2228</v>
      </c>
      <c r="B85">
        <v>991</v>
      </c>
      <c r="C85">
        <v>0.5</v>
      </c>
      <c r="D85" t="s">
        <v>84</v>
      </c>
      <c r="E85">
        <v>1</v>
      </c>
      <c r="F85" s="1">
        <v>42021</v>
      </c>
      <c r="G85" t="s">
        <v>191</v>
      </c>
      <c r="H85" s="2">
        <v>36526.655173611114</v>
      </c>
      <c r="I85">
        <v>12</v>
      </c>
      <c r="J85">
        <v>12</v>
      </c>
      <c r="K85" t="s">
        <v>198</v>
      </c>
      <c r="L85" t="s">
        <v>14</v>
      </c>
      <c r="M85" t="s">
        <v>85</v>
      </c>
      <c r="N85" t="s">
        <v>86</v>
      </c>
    </row>
    <row r="86" spans="1:14" x14ac:dyDescent="0.3">
      <c r="A86">
        <v>2227</v>
      </c>
      <c r="B86">
        <v>990</v>
      </c>
      <c r="C86">
        <v>1</v>
      </c>
      <c r="D86" t="s">
        <v>126</v>
      </c>
      <c r="E86">
        <v>1</v>
      </c>
      <c r="F86" s="1">
        <v>42021</v>
      </c>
      <c r="G86" t="s">
        <v>191</v>
      </c>
      <c r="H86" s="2">
        <v>36526.645949074074</v>
      </c>
      <c r="I86">
        <v>9.75</v>
      </c>
      <c r="J86">
        <v>9.75</v>
      </c>
      <c r="K86" t="s">
        <v>198</v>
      </c>
      <c r="L86" t="s">
        <v>14</v>
      </c>
      <c r="M86" t="s">
        <v>78</v>
      </c>
      <c r="N86" t="s">
        <v>79</v>
      </c>
    </row>
    <row r="87" spans="1:14" x14ac:dyDescent="0.3">
      <c r="A87">
        <v>2226</v>
      </c>
      <c r="B87">
        <v>989</v>
      </c>
      <c r="C87">
        <v>1</v>
      </c>
      <c r="D87" t="s">
        <v>132</v>
      </c>
      <c r="E87">
        <v>1</v>
      </c>
      <c r="F87" s="1">
        <v>42021</v>
      </c>
      <c r="G87" t="s">
        <v>191</v>
      </c>
      <c r="H87" s="2">
        <v>36526.630995370368</v>
      </c>
      <c r="I87">
        <v>10.5</v>
      </c>
      <c r="J87">
        <v>10.5</v>
      </c>
      <c r="K87" t="s">
        <v>198</v>
      </c>
      <c r="L87" t="s">
        <v>14</v>
      </c>
      <c r="M87" t="s">
        <v>15</v>
      </c>
      <c r="N87" t="s">
        <v>16</v>
      </c>
    </row>
    <row r="88" spans="1:14" x14ac:dyDescent="0.3">
      <c r="A88">
        <v>85</v>
      </c>
      <c r="B88">
        <v>34</v>
      </c>
      <c r="C88">
        <v>1</v>
      </c>
      <c r="D88" t="s">
        <v>44</v>
      </c>
      <c r="E88">
        <v>1</v>
      </c>
      <c r="F88" s="1">
        <v>42005</v>
      </c>
      <c r="G88" t="s">
        <v>189</v>
      </c>
      <c r="H88" s="2">
        <v>36526.681493055556</v>
      </c>
      <c r="I88">
        <v>12</v>
      </c>
      <c r="J88">
        <v>12</v>
      </c>
      <c r="K88" t="s">
        <v>198</v>
      </c>
      <c r="L88" t="s">
        <v>14</v>
      </c>
      <c r="M88" t="s">
        <v>45</v>
      </c>
      <c r="N88" t="s">
        <v>46</v>
      </c>
    </row>
    <row r="89" spans="1:14" x14ac:dyDescent="0.3">
      <c r="A89">
        <v>2218</v>
      </c>
      <c r="B89">
        <v>985</v>
      </c>
      <c r="C89">
        <v>0.33333333333333331</v>
      </c>
      <c r="D89" t="s">
        <v>12</v>
      </c>
      <c r="E89">
        <v>1</v>
      </c>
      <c r="F89" s="1">
        <v>42021</v>
      </c>
      <c r="G89" t="s">
        <v>191</v>
      </c>
      <c r="H89" s="2">
        <v>36526.607523148145</v>
      </c>
      <c r="I89">
        <v>13.25</v>
      </c>
      <c r="J89">
        <v>13.25</v>
      </c>
      <c r="K89" t="s">
        <v>197</v>
      </c>
      <c r="L89" t="s">
        <v>14</v>
      </c>
      <c r="M89" t="s">
        <v>15</v>
      </c>
      <c r="N89" t="s">
        <v>16</v>
      </c>
    </row>
    <row r="90" spans="1:14" x14ac:dyDescent="0.3">
      <c r="A90">
        <v>87</v>
      </c>
      <c r="B90">
        <v>35</v>
      </c>
      <c r="C90">
        <v>0.25</v>
      </c>
      <c r="D90" t="s">
        <v>129</v>
      </c>
      <c r="E90">
        <v>1</v>
      </c>
      <c r="F90" s="1">
        <v>42005</v>
      </c>
      <c r="G90" t="s">
        <v>189</v>
      </c>
      <c r="H90" s="2">
        <v>36526.688935185186</v>
      </c>
      <c r="I90">
        <v>17.5</v>
      </c>
      <c r="J90">
        <v>17.5</v>
      </c>
      <c r="K90" t="s">
        <v>196</v>
      </c>
      <c r="L90" t="s">
        <v>14</v>
      </c>
      <c r="M90" t="s">
        <v>130</v>
      </c>
      <c r="N90" t="s">
        <v>131</v>
      </c>
    </row>
    <row r="91" spans="1:14" x14ac:dyDescent="0.3">
      <c r="A91">
        <v>88</v>
      </c>
      <c r="B91">
        <v>35</v>
      </c>
      <c r="C91">
        <v>0.25</v>
      </c>
      <c r="D91" t="s">
        <v>119</v>
      </c>
      <c r="E91">
        <v>1</v>
      </c>
      <c r="F91" s="1">
        <v>42005</v>
      </c>
      <c r="G91" t="s">
        <v>189</v>
      </c>
      <c r="H91" s="2">
        <v>36526.688935185186</v>
      </c>
      <c r="I91">
        <v>12.5</v>
      </c>
      <c r="J91">
        <v>12.5</v>
      </c>
      <c r="K91" t="s">
        <v>197</v>
      </c>
      <c r="L91" t="s">
        <v>14</v>
      </c>
      <c r="M91" t="s">
        <v>78</v>
      </c>
      <c r="N91" t="s">
        <v>79</v>
      </c>
    </row>
    <row r="92" spans="1:14" x14ac:dyDescent="0.3">
      <c r="A92">
        <v>2217</v>
      </c>
      <c r="B92">
        <v>984</v>
      </c>
      <c r="C92">
        <v>1</v>
      </c>
      <c r="D92" t="s">
        <v>160</v>
      </c>
      <c r="E92">
        <v>1</v>
      </c>
      <c r="F92" s="1">
        <v>42021</v>
      </c>
      <c r="G92" t="s">
        <v>191</v>
      </c>
      <c r="H92" s="2">
        <v>36526.606886574074</v>
      </c>
      <c r="I92">
        <v>12</v>
      </c>
      <c r="J92">
        <v>12</v>
      </c>
      <c r="K92" t="s">
        <v>198</v>
      </c>
      <c r="L92" t="s">
        <v>14</v>
      </c>
      <c r="M92" t="s">
        <v>55</v>
      </c>
      <c r="N92" t="s">
        <v>56</v>
      </c>
    </row>
    <row r="93" spans="1:14" x14ac:dyDescent="0.3">
      <c r="A93">
        <v>2216</v>
      </c>
      <c r="B93">
        <v>983</v>
      </c>
      <c r="C93">
        <v>1</v>
      </c>
      <c r="D93" t="s">
        <v>84</v>
      </c>
      <c r="E93">
        <v>1</v>
      </c>
      <c r="F93" s="1">
        <v>42021</v>
      </c>
      <c r="G93" t="s">
        <v>191</v>
      </c>
      <c r="H93" s="2">
        <v>36526.603831018518</v>
      </c>
      <c r="I93">
        <v>12</v>
      </c>
      <c r="J93">
        <v>12</v>
      </c>
      <c r="K93" t="s">
        <v>198</v>
      </c>
      <c r="L93" t="s">
        <v>14</v>
      </c>
      <c r="M93" t="s">
        <v>85</v>
      </c>
      <c r="N93" t="s">
        <v>86</v>
      </c>
    </row>
    <row r="94" spans="1:14" x14ac:dyDescent="0.3">
      <c r="A94">
        <v>91</v>
      </c>
      <c r="B94">
        <v>36</v>
      </c>
      <c r="C94">
        <v>0.5</v>
      </c>
      <c r="D94" t="s">
        <v>17</v>
      </c>
      <c r="E94">
        <v>1</v>
      </c>
      <c r="F94" s="1">
        <v>42005</v>
      </c>
      <c r="G94" t="s">
        <v>189</v>
      </c>
      <c r="H94" s="2">
        <v>36526.704270833332</v>
      </c>
      <c r="I94">
        <v>16</v>
      </c>
      <c r="J94">
        <v>16</v>
      </c>
      <c r="K94" t="s">
        <v>197</v>
      </c>
      <c r="L94" t="s">
        <v>14</v>
      </c>
      <c r="M94" t="s">
        <v>18</v>
      </c>
      <c r="N94" t="s">
        <v>19</v>
      </c>
    </row>
    <row r="95" spans="1:14" x14ac:dyDescent="0.3">
      <c r="A95">
        <v>2214</v>
      </c>
      <c r="B95">
        <v>982</v>
      </c>
      <c r="C95">
        <v>0.25</v>
      </c>
      <c r="D95" t="s">
        <v>77</v>
      </c>
      <c r="E95">
        <v>1</v>
      </c>
      <c r="F95" s="1">
        <v>42021</v>
      </c>
      <c r="G95" t="s">
        <v>191</v>
      </c>
      <c r="H95" s="2">
        <v>36526.59233796296</v>
      </c>
      <c r="I95">
        <v>15.25</v>
      </c>
      <c r="J95">
        <v>15.25</v>
      </c>
      <c r="K95" t="s">
        <v>196</v>
      </c>
      <c r="L95" t="s">
        <v>14</v>
      </c>
      <c r="M95" t="s">
        <v>78</v>
      </c>
      <c r="N95" t="s">
        <v>79</v>
      </c>
    </row>
    <row r="96" spans="1:14" x14ac:dyDescent="0.3">
      <c r="A96">
        <v>2213</v>
      </c>
      <c r="B96">
        <v>982</v>
      </c>
      <c r="C96">
        <v>0.25</v>
      </c>
      <c r="D96" t="s">
        <v>142</v>
      </c>
      <c r="E96">
        <v>1</v>
      </c>
      <c r="F96" s="1">
        <v>42021</v>
      </c>
      <c r="G96" t="s">
        <v>191</v>
      </c>
      <c r="H96" s="2">
        <v>36526.59233796296</v>
      </c>
      <c r="I96">
        <v>16.5</v>
      </c>
      <c r="J96">
        <v>16.5</v>
      </c>
      <c r="K96" t="s">
        <v>196</v>
      </c>
      <c r="L96" t="s">
        <v>14</v>
      </c>
      <c r="M96" t="s">
        <v>15</v>
      </c>
      <c r="N96" t="s">
        <v>16</v>
      </c>
    </row>
    <row r="97" spans="1:14" x14ac:dyDescent="0.3">
      <c r="A97">
        <v>94</v>
      </c>
      <c r="B97">
        <v>38</v>
      </c>
      <c r="C97">
        <v>0.5</v>
      </c>
      <c r="D97" t="s">
        <v>132</v>
      </c>
      <c r="E97">
        <v>1</v>
      </c>
      <c r="F97" s="1">
        <v>42005</v>
      </c>
      <c r="G97" t="s">
        <v>189</v>
      </c>
      <c r="H97" s="2">
        <v>36526.710416666669</v>
      </c>
      <c r="I97">
        <v>10.5</v>
      </c>
      <c r="J97">
        <v>10.5</v>
      </c>
      <c r="K97" t="s">
        <v>198</v>
      </c>
      <c r="L97" t="s">
        <v>14</v>
      </c>
      <c r="M97" t="s">
        <v>15</v>
      </c>
      <c r="N97" t="s">
        <v>16</v>
      </c>
    </row>
    <row r="98" spans="1:14" x14ac:dyDescent="0.3">
      <c r="A98">
        <v>95</v>
      </c>
      <c r="B98">
        <v>38</v>
      </c>
      <c r="C98">
        <v>0.5</v>
      </c>
      <c r="D98" t="s">
        <v>54</v>
      </c>
      <c r="E98">
        <v>1</v>
      </c>
      <c r="F98" s="1">
        <v>42005</v>
      </c>
      <c r="G98" t="s">
        <v>189</v>
      </c>
      <c r="H98" s="2">
        <v>36526.710416666669</v>
      </c>
      <c r="I98">
        <v>20.5</v>
      </c>
      <c r="J98">
        <v>20.5</v>
      </c>
      <c r="K98" t="s">
        <v>196</v>
      </c>
      <c r="L98" t="s">
        <v>14</v>
      </c>
      <c r="M98" t="s">
        <v>55</v>
      </c>
      <c r="N98" t="s">
        <v>56</v>
      </c>
    </row>
    <row r="99" spans="1:14" x14ac:dyDescent="0.3">
      <c r="A99">
        <v>2206</v>
      </c>
      <c r="B99">
        <v>980</v>
      </c>
      <c r="C99">
        <v>0.16666666666666666</v>
      </c>
      <c r="D99" t="s">
        <v>93</v>
      </c>
      <c r="E99">
        <v>1</v>
      </c>
      <c r="F99" s="1">
        <v>42021</v>
      </c>
      <c r="G99" t="s">
        <v>191</v>
      </c>
      <c r="H99" s="2">
        <v>36526.540694444448</v>
      </c>
      <c r="I99">
        <v>12</v>
      </c>
      <c r="J99">
        <v>12</v>
      </c>
      <c r="K99" t="s">
        <v>198</v>
      </c>
      <c r="L99" t="s">
        <v>14</v>
      </c>
      <c r="M99" t="s">
        <v>94</v>
      </c>
      <c r="N99" t="s">
        <v>95</v>
      </c>
    </row>
    <row r="100" spans="1:14" x14ac:dyDescent="0.3">
      <c r="A100">
        <v>2197</v>
      </c>
      <c r="B100">
        <v>978</v>
      </c>
      <c r="C100">
        <v>9.0909090909090912E-2</v>
      </c>
      <c r="D100" t="s">
        <v>132</v>
      </c>
      <c r="E100">
        <v>1</v>
      </c>
      <c r="F100" s="1">
        <v>42021</v>
      </c>
      <c r="G100" t="s">
        <v>191</v>
      </c>
      <c r="H100" s="2">
        <v>36526.517083333332</v>
      </c>
      <c r="I100">
        <v>10.5</v>
      </c>
      <c r="J100">
        <v>10.5</v>
      </c>
      <c r="K100" t="s">
        <v>198</v>
      </c>
      <c r="L100" t="s">
        <v>14</v>
      </c>
      <c r="M100" t="s">
        <v>15</v>
      </c>
      <c r="N100" t="s">
        <v>16</v>
      </c>
    </row>
    <row r="101" spans="1:14" x14ac:dyDescent="0.3">
      <c r="A101">
        <v>2196</v>
      </c>
      <c r="B101">
        <v>978</v>
      </c>
      <c r="C101">
        <v>9.0909090909090912E-2</v>
      </c>
      <c r="D101" t="s">
        <v>142</v>
      </c>
      <c r="E101">
        <v>1</v>
      </c>
      <c r="F101" s="1">
        <v>42021</v>
      </c>
      <c r="G101" t="s">
        <v>191</v>
      </c>
      <c r="H101" s="2">
        <v>36526.517083333332</v>
      </c>
      <c r="I101">
        <v>16.5</v>
      </c>
      <c r="J101">
        <v>16.5</v>
      </c>
      <c r="K101" t="s">
        <v>196</v>
      </c>
      <c r="L101" t="s">
        <v>14</v>
      </c>
      <c r="M101" t="s">
        <v>15</v>
      </c>
      <c r="N101" t="s">
        <v>16</v>
      </c>
    </row>
    <row r="102" spans="1:14" x14ac:dyDescent="0.3">
      <c r="A102">
        <v>2194</v>
      </c>
      <c r="B102">
        <v>978</v>
      </c>
      <c r="C102">
        <v>9.0909090909090912E-2</v>
      </c>
      <c r="D102" t="s">
        <v>84</v>
      </c>
      <c r="E102">
        <v>1</v>
      </c>
      <c r="F102" s="1">
        <v>42021</v>
      </c>
      <c r="G102" t="s">
        <v>191</v>
      </c>
      <c r="H102" s="2">
        <v>36526.517083333332</v>
      </c>
      <c r="I102">
        <v>12</v>
      </c>
      <c r="J102">
        <v>12</v>
      </c>
      <c r="K102" t="s">
        <v>198</v>
      </c>
      <c r="L102" t="s">
        <v>14</v>
      </c>
      <c r="M102" t="s">
        <v>85</v>
      </c>
      <c r="N102" t="s">
        <v>86</v>
      </c>
    </row>
    <row r="103" spans="1:14" x14ac:dyDescent="0.3">
      <c r="A103">
        <v>2191</v>
      </c>
      <c r="B103">
        <v>977</v>
      </c>
      <c r="C103">
        <v>0.5</v>
      </c>
      <c r="D103" t="s">
        <v>148</v>
      </c>
      <c r="E103">
        <v>1</v>
      </c>
      <c r="F103" s="1">
        <v>42021</v>
      </c>
      <c r="G103" t="s">
        <v>191</v>
      </c>
      <c r="H103" s="2">
        <v>36526.50136574074</v>
      </c>
      <c r="I103">
        <v>14.5</v>
      </c>
      <c r="J103">
        <v>14.5</v>
      </c>
      <c r="K103" t="s">
        <v>197</v>
      </c>
      <c r="L103" t="s">
        <v>14</v>
      </c>
      <c r="M103" t="s">
        <v>130</v>
      </c>
      <c r="N103" t="s">
        <v>131</v>
      </c>
    </row>
    <row r="104" spans="1:14" x14ac:dyDescent="0.3">
      <c r="A104">
        <v>101</v>
      </c>
      <c r="B104">
        <v>42</v>
      </c>
      <c r="C104">
        <v>0.25</v>
      </c>
      <c r="D104" t="s">
        <v>84</v>
      </c>
      <c r="E104">
        <v>1</v>
      </c>
      <c r="F104" s="1">
        <v>42005</v>
      </c>
      <c r="G104" t="s">
        <v>189</v>
      </c>
      <c r="H104" s="2">
        <v>36526.727881944447</v>
      </c>
      <c r="I104">
        <v>12</v>
      </c>
      <c r="J104">
        <v>12</v>
      </c>
      <c r="K104" t="s">
        <v>198</v>
      </c>
      <c r="L104" t="s">
        <v>14</v>
      </c>
      <c r="M104" t="s">
        <v>85</v>
      </c>
      <c r="N104" t="s">
        <v>86</v>
      </c>
    </row>
    <row r="105" spans="1:14" x14ac:dyDescent="0.3">
      <c r="A105">
        <v>2190</v>
      </c>
      <c r="B105">
        <v>976</v>
      </c>
      <c r="C105">
        <v>1</v>
      </c>
      <c r="D105" t="s">
        <v>77</v>
      </c>
      <c r="E105">
        <v>1</v>
      </c>
      <c r="F105" s="1">
        <v>42021</v>
      </c>
      <c r="G105" t="s">
        <v>191</v>
      </c>
      <c r="H105" s="2">
        <v>36526.495358796295</v>
      </c>
      <c r="I105">
        <v>15.25</v>
      </c>
      <c r="J105">
        <v>15.25</v>
      </c>
      <c r="K105" t="s">
        <v>196</v>
      </c>
      <c r="L105" t="s">
        <v>14</v>
      </c>
      <c r="M105" t="s">
        <v>78</v>
      </c>
      <c r="N105" t="s">
        <v>79</v>
      </c>
    </row>
    <row r="106" spans="1:14" x14ac:dyDescent="0.3">
      <c r="A106">
        <v>2187</v>
      </c>
      <c r="B106">
        <v>974</v>
      </c>
      <c r="C106">
        <v>1</v>
      </c>
      <c r="D106" t="s">
        <v>50</v>
      </c>
      <c r="E106">
        <v>1</v>
      </c>
      <c r="F106" s="1">
        <v>42020</v>
      </c>
      <c r="G106" t="s">
        <v>190</v>
      </c>
      <c r="H106" s="2">
        <v>36526.921446759261</v>
      </c>
      <c r="I106">
        <v>12</v>
      </c>
      <c r="J106">
        <v>12</v>
      </c>
      <c r="K106" t="s">
        <v>198</v>
      </c>
      <c r="L106" t="s">
        <v>14</v>
      </c>
      <c r="M106" t="s">
        <v>18</v>
      </c>
      <c r="N106" t="s">
        <v>19</v>
      </c>
    </row>
    <row r="107" spans="1:14" x14ac:dyDescent="0.3">
      <c r="A107">
        <v>2185</v>
      </c>
      <c r="B107">
        <v>972</v>
      </c>
      <c r="C107">
        <v>0.5</v>
      </c>
      <c r="D107" t="s">
        <v>126</v>
      </c>
      <c r="E107">
        <v>1</v>
      </c>
      <c r="F107" s="1">
        <v>42020</v>
      </c>
      <c r="G107" t="s">
        <v>190</v>
      </c>
      <c r="H107" s="2">
        <v>36526.918854166666</v>
      </c>
      <c r="I107">
        <v>9.75</v>
      </c>
      <c r="J107">
        <v>9.75</v>
      </c>
      <c r="K107" t="s">
        <v>198</v>
      </c>
      <c r="L107" t="s">
        <v>14</v>
      </c>
      <c r="M107" t="s">
        <v>78</v>
      </c>
      <c r="N107" t="s">
        <v>79</v>
      </c>
    </row>
    <row r="108" spans="1:14" x14ac:dyDescent="0.3">
      <c r="A108">
        <v>2184</v>
      </c>
      <c r="B108">
        <v>972</v>
      </c>
      <c r="C108">
        <v>0.5</v>
      </c>
      <c r="D108" t="s">
        <v>77</v>
      </c>
      <c r="E108">
        <v>1</v>
      </c>
      <c r="F108" s="1">
        <v>42020</v>
      </c>
      <c r="G108" t="s">
        <v>190</v>
      </c>
      <c r="H108" s="2">
        <v>36526.918854166666</v>
      </c>
      <c r="I108">
        <v>15.25</v>
      </c>
      <c r="J108">
        <v>15.25</v>
      </c>
      <c r="K108" t="s">
        <v>196</v>
      </c>
      <c r="L108" t="s">
        <v>14</v>
      </c>
      <c r="M108" t="s">
        <v>78</v>
      </c>
      <c r="N108" t="s">
        <v>79</v>
      </c>
    </row>
    <row r="109" spans="1:14" x14ac:dyDescent="0.3">
      <c r="A109">
        <v>2181</v>
      </c>
      <c r="B109">
        <v>971</v>
      </c>
      <c r="C109">
        <v>0.25</v>
      </c>
      <c r="D109" t="s">
        <v>17</v>
      </c>
      <c r="E109">
        <v>1</v>
      </c>
      <c r="F109" s="1">
        <v>42020</v>
      </c>
      <c r="G109" t="s">
        <v>190</v>
      </c>
      <c r="H109" s="2">
        <v>36526.907175925924</v>
      </c>
      <c r="I109">
        <v>16</v>
      </c>
      <c r="J109">
        <v>16</v>
      </c>
      <c r="K109" t="s">
        <v>197</v>
      </c>
      <c r="L109" t="s">
        <v>14</v>
      </c>
      <c r="M109" t="s">
        <v>18</v>
      </c>
      <c r="N109" t="s">
        <v>19</v>
      </c>
    </row>
    <row r="110" spans="1:14" x14ac:dyDescent="0.3">
      <c r="A110">
        <v>2178</v>
      </c>
      <c r="B110">
        <v>970</v>
      </c>
      <c r="C110">
        <v>0.5</v>
      </c>
      <c r="D110" t="s">
        <v>17</v>
      </c>
      <c r="E110">
        <v>1</v>
      </c>
      <c r="F110" s="1">
        <v>42020</v>
      </c>
      <c r="G110" t="s">
        <v>190</v>
      </c>
      <c r="H110" s="2">
        <v>36526.905960648146</v>
      </c>
      <c r="I110">
        <v>16</v>
      </c>
      <c r="J110">
        <v>16</v>
      </c>
      <c r="K110" t="s">
        <v>197</v>
      </c>
      <c r="L110" t="s">
        <v>14</v>
      </c>
      <c r="M110" t="s">
        <v>18</v>
      </c>
      <c r="N110" t="s">
        <v>19</v>
      </c>
    </row>
    <row r="111" spans="1:14" x14ac:dyDescent="0.3">
      <c r="A111">
        <v>2176</v>
      </c>
      <c r="B111">
        <v>968</v>
      </c>
      <c r="C111">
        <v>0.5</v>
      </c>
      <c r="D111" t="s">
        <v>160</v>
      </c>
      <c r="E111">
        <v>1</v>
      </c>
      <c r="F111" s="1">
        <v>42020</v>
      </c>
      <c r="G111" t="s">
        <v>190</v>
      </c>
      <c r="H111" s="2">
        <v>36526.890983796293</v>
      </c>
      <c r="I111">
        <v>12</v>
      </c>
      <c r="J111">
        <v>12</v>
      </c>
      <c r="K111" t="s">
        <v>198</v>
      </c>
      <c r="L111" t="s">
        <v>14</v>
      </c>
      <c r="M111" t="s">
        <v>55</v>
      </c>
      <c r="N111" t="s">
        <v>56</v>
      </c>
    </row>
    <row r="112" spans="1:14" x14ac:dyDescent="0.3">
      <c r="A112">
        <v>2175</v>
      </c>
      <c r="B112">
        <v>968</v>
      </c>
      <c r="C112">
        <v>0.5</v>
      </c>
      <c r="D112" t="s">
        <v>132</v>
      </c>
      <c r="E112">
        <v>1</v>
      </c>
      <c r="F112" s="1">
        <v>42020</v>
      </c>
      <c r="G112" t="s">
        <v>190</v>
      </c>
      <c r="H112" s="2">
        <v>36526.890983796293</v>
      </c>
      <c r="I112">
        <v>10.5</v>
      </c>
      <c r="J112">
        <v>10.5</v>
      </c>
      <c r="K112" t="s">
        <v>198</v>
      </c>
      <c r="L112" t="s">
        <v>14</v>
      </c>
      <c r="M112" t="s">
        <v>15</v>
      </c>
      <c r="N112" t="s">
        <v>16</v>
      </c>
    </row>
    <row r="113" spans="1:14" x14ac:dyDescent="0.3">
      <c r="A113">
        <v>110</v>
      </c>
      <c r="B113">
        <v>45</v>
      </c>
      <c r="C113">
        <v>0.33333333333333331</v>
      </c>
      <c r="D113" t="s">
        <v>132</v>
      </c>
      <c r="E113">
        <v>1</v>
      </c>
      <c r="F113" s="1">
        <v>42005</v>
      </c>
      <c r="G113" t="s">
        <v>189</v>
      </c>
      <c r="H113" s="2">
        <v>36526.747083333335</v>
      </c>
      <c r="I113">
        <v>10.5</v>
      </c>
      <c r="J113">
        <v>10.5</v>
      </c>
      <c r="K113" t="s">
        <v>198</v>
      </c>
      <c r="L113" t="s">
        <v>14</v>
      </c>
      <c r="M113" t="s">
        <v>15</v>
      </c>
      <c r="N113" t="s">
        <v>16</v>
      </c>
    </row>
    <row r="114" spans="1:14" x14ac:dyDescent="0.3">
      <c r="A114">
        <v>2166</v>
      </c>
      <c r="B114">
        <v>964</v>
      </c>
      <c r="C114">
        <v>0.5</v>
      </c>
      <c r="D114" t="s">
        <v>84</v>
      </c>
      <c r="E114">
        <v>1</v>
      </c>
      <c r="F114" s="1">
        <v>42020</v>
      </c>
      <c r="G114" t="s">
        <v>190</v>
      </c>
      <c r="H114" s="2">
        <v>36526.850428240738</v>
      </c>
      <c r="I114">
        <v>12</v>
      </c>
      <c r="J114">
        <v>12</v>
      </c>
      <c r="K114" t="s">
        <v>198</v>
      </c>
      <c r="L114" t="s">
        <v>14</v>
      </c>
      <c r="M114" t="s">
        <v>85</v>
      </c>
      <c r="N114" t="s">
        <v>86</v>
      </c>
    </row>
    <row r="115" spans="1:14" x14ac:dyDescent="0.3">
      <c r="A115">
        <v>2162</v>
      </c>
      <c r="B115">
        <v>962</v>
      </c>
      <c r="C115">
        <v>0.5</v>
      </c>
      <c r="D115" t="s">
        <v>129</v>
      </c>
      <c r="E115">
        <v>1</v>
      </c>
      <c r="F115" s="1">
        <v>42020</v>
      </c>
      <c r="G115" t="s">
        <v>190</v>
      </c>
      <c r="H115" s="2">
        <v>36526.830057870371</v>
      </c>
      <c r="I115">
        <v>17.5</v>
      </c>
      <c r="J115">
        <v>17.5</v>
      </c>
      <c r="K115" t="s">
        <v>196</v>
      </c>
      <c r="L115" t="s">
        <v>14</v>
      </c>
      <c r="M115" t="s">
        <v>130</v>
      </c>
      <c r="N115" t="s">
        <v>131</v>
      </c>
    </row>
    <row r="116" spans="1:14" x14ac:dyDescent="0.3">
      <c r="A116">
        <v>113</v>
      </c>
      <c r="B116">
        <v>46</v>
      </c>
      <c r="C116">
        <v>0.33333333333333331</v>
      </c>
      <c r="D116" t="s">
        <v>138</v>
      </c>
      <c r="E116">
        <v>1</v>
      </c>
      <c r="F116" s="1">
        <v>42005</v>
      </c>
      <c r="G116" t="s">
        <v>189</v>
      </c>
      <c r="H116" s="2">
        <v>36526.767951388887</v>
      </c>
      <c r="I116">
        <v>20.5</v>
      </c>
      <c r="J116">
        <v>20.5</v>
      </c>
      <c r="K116" t="s">
        <v>196</v>
      </c>
      <c r="L116" t="s">
        <v>14</v>
      </c>
      <c r="M116" t="s">
        <v>18</v>
      </c>
      <c r="N116" t="s">
        <v>19</v>
      </c>
    </row>
    <row r="117" spans="1:14" x14ac:dyDescent="0.3">
      <c r="A117">
        <v>2161</v>
      </c>
      <c r="B117">
        <v>962</v>
      </c>
      <c r="C117">
        <v>0.5</v>
      </c>
      <c r="D117" t="s">
        <v>84</v>
      </c>
      <c r="E117">
        <v>1</v>
      </c>
      <c r="F117" s="1">
        <v>42020</v>
      </c>
      <c r="G117" t="s">
        <v>190</v>
      </c>
      <c r="H117" s="2">
        <v>36526.830057870371</v>
      </c>
      <c r="I117">
        <v>12</v>
      </c>
      <c r="J117">
        <v>12</v>
      </c>
      <c r="K117" t="s">
        <v>198</v>
      </c>
      <c r="L117" t="s">
        <v>14</v>
      </c>
      <c r="M117" t="s">
        <v>85</v>
      </c>
      <c r="N117" t="s">
        <v>86</v>
      </c>
    </row>
    <row r="118" spans="1:14" x14ac:dyDescent="0.3">
      <c r="A118">
        <v>2160</v>
      </c>
      <c r="B118">
        <v>961</v>
      </c>
      <c r="C118">
        <v>0.5</v>
      </c>
      <c r="D118" t="s">
        <v>54</v>
      </c>
      <c r="E118">
        <v>1</v>
      </c>
      <c r="F118" s="1">
        <v>42020</v>
      </c>
      <c r="G118" t="s">
        <v>190</v>
      </c>
      <c r="H118" s="2">
        <v>36526.821064814816</v>
      </c>
      <c r="I118">
        <v>20.5</v>
      </c>
      <c r="J118">
        <v>20.5</v>
      </c>
      <c r="K118" t="s">
        <v>196</v>
      </c>
      <c r="L118" t="s">
        <v>14</v>
      </c>
      <c r="M118" t="s">
        <v>55</v>
      </c>
      <c r="N118" t="s">
        <v>56</v>
      </c>
    </row>
    <row r="119" spans="1:14" x14ac:dyDescent="0.3">
      <c r="A119">
        <v>2155</v>
      </c>
      <c r="B119">
        <v>958</v>
      </c>
      <c r="C119">
        <v>1</v>
      </c>
      <c r="D119" t="s">
        <v>77</v>
      </c>
      <c r="E119">
        <v>1</v>
      </c>
      <c r="F119" s="1">
        <v>42020</v>
      </c>
      <c r="G119" t="s">
        <v>190</v>
      </c>
      <c r="H119" s="2">
        <v>36526.814965277779</v>
      </c>
      <c r="I119">
        <v>15.25</v>
      </c>
      <c r="J119">
        <v>15.25</v>
      </c>
      <c r="K119" t="s">
        <v>196</v>
      </c>
      <c r="L119" t="s">
        <v>14</v>
      </c>
      <c r="M119" t="s">
        <v>78</v>
      </c>
      <c r="N119" t="s">
        <v>79</v>
      </c>
    </row>
    <row r="120" spans="1:14" x14ac:dyDescent="0.3">
      <c r="A120">
        <v>2148</v>
      </c>
      <c r="B120">
        <v>955</v>
      </c>
      <c r="C120">
        <v>0.33333333333333331</v>
      </c>
      <c r="D120" t="s">
        <v>112</v>
      </c>
      <c r="E120">
        <v>1</v>
      </c>
      <c r="F120" s="1">
        <v>42020</v>
      </c>
      <c r="G120" t="s">
        <v>190</v>
      </c>
      <c r="H120" s="2">
        <v>36526.808518518519</v>
      </c>
      <c r="I120">
        <v>20.5</v>
      </c>
      <c r="J120">
        <v>20.5</v>
      </c>
      <c r="K120" t="s">
        <v>196</v>
      </c>
      <c r="L120" t="s">
        <v>14</v>
      </c>
      <c r="M120" t="s">
        <v>94</v>
      </c>
      <c r="N120" t="s">
        <v>95</v>
      </c>
    </row>
    <row r="121" spans="1:14" x14ac:dyDescent="0.3">
      <c r="A121">
        <v>2138</v>
      </c>
      <c r="B121">
        <v>952</v>
      </c>
      <c r="C121">
        <v>0.25</v>
      </c>
      <c r="D121" t="s">
        <v>84</v>
      </c>
      <c r="E121">
        <v>1</v>
      </c>
      <c r="F121" s="1">
        <v>42020</v>
      </c>
      <c r="G121" t="s">
        <v>190</v>
      </c>
      <c r="H121" s="2">
        <v>36526.795543981483</v>
      </c>
      <c r="I121">
        <v>12</v>
      </c>
      <c r="J121">
        <v>12</v>
      </c>
      <c r="K121" t="s">
        <v>198</v>
      </c>
      <c r="L121" t="s">
        <v>14</v>
      </c>
      <c r="M121" t="s">
        <v>85</v>
      </c>
      <c r="N121" t="s">
        <v>86</v>
      </c>
    </row>
    <row r="122" spans="1:14" x14ac:dyDescent="0.3">
      <c r="A122">
        <v>2131</v>
      </c>
      <c r="B122">
        <v>948</v>
      </c>
      <c r="C122">
        <v>0.25</v>
      </c>
      <c r="D122" t="s">
        <v>77</v>
      </c>
      <c r="E122">
        <v>1</v>
      </c>
      <c r="F122" s="1">
        <v>42020</v>
      </c>
      <c r="G122" t="s">
        <v>190</v>
      </c>
      <c r="H122" s="2">
        <v>36526.779363425929</v>
      </c>
      <c r="I122">
        <v>15.25</v>
      </c>
      <c r="J122">
        <v>15.25</v>
      </c>
      <c r="K122" t="s">
        <v>196</v>
      </c>
      <c r="L122" t="s">
        <v>14</v>
      </c>
      <c r="M122" t="s">
        <v>78</v>
      </c>
      <c r="N122" t="s">
        <v>79</v>
      </c>
    </row>
    <row r="123" spans="1:14" x14ac:dyDescent="0.3">
      <c r="A123">
        <v>2130</v>
      </c>
      <c r="B123">
        <v>948</v>
      </c>
      <c r="C123">
        <v>0.25</v>
      </c>
      <c r="D123" t="s">
        <v>143</v>
      </c>
      <c r="E123">
        <v>1</v>
      </c>
      <c r="F123" s="1">
        <v>42020</v>
      </c>
      <c r="G123" t="s">
        <v>190</v>
      </c>
      <c r="H123" s="2">
        <v>36526.779363425929</v>
      </c>
      <c r="I123">
        <v>11</v>
      </c>
      <c r="J123">
        <v>11</v>
      </c>
      <c r="K123" t="s">
        <v>198</v>
      </c>
      <c r="L123" t="s">
        <v>14</v>
      </c>
      <c r="M123" t="s">
        <v>130</v>
      </c>
      <c r="N123" t="s">
        <v>131</v>
      </c>
    </row>
    <row r="124" spans="1:14" x14ac:dyDescent="0.3">
      <c r="A124">
        <v>2129</v>
      </c>
      <c r="B124">
        <v>947</v>
      </c>
      <c r="C124">
        <v>0.33333333333333331</v>
      </c>
      <c r="D124" t="s">
        <v>140</v>
      </c>
      <c r="E124">
        <v>1</v>
      </c>
      <c r="F124" s="1">
        <v>42020</v>
      </c>
      <c r="G124" t="s">
        <v>190</v>
      </c>
      <c r="H124" s="2">
        <v>36526.759201388886</v>
      </c>
      <c r="I124">
        <v>25.5</v>
      </c>
      <c r="J124">
        <v>25.5</v>
      </c>
      <c r="K124" t="s">
        <v>199</v>
      </c>
      <c r="L124" t="s">
        <v>14</v>
      </c>
      <c r="M124" t="s">
        <v>45</v>
      </c>
      <c r="N124" t="s">
        <v>46</v>
      </c>
    </row>
    <row r="125" spans="1:14" x14ac:dyDescent="0.3">
      <c r="A125">
        <v>122</v>
      </c>
      <c r="B125">
        <v>50</v>
      </c>
      <c r="C125">
        <v>1</v>
      </c>
      <c r="D125" t="s">
        <v>140</v>
      </c>
      <c r="E125">
        <v>1</v>
      </c>
      <c r="F125" s="1">
        <v>42005</v>
      </c>
      <c r="G125" t="s">
        <v>189</v>
      </c>
      <c r="H125" s="2">
        <v>36526.778483796297</v>
      </c>
      <c r="I125">
        <v>25.5</v>
      </c>
      <c r="J125">
        <v>25.5</v>
      </c>
      <c r="K125" t="s">
        <v>199</v>
      </c>
      <c r="L125" t="s">
        <v>14</v>
      </c>
      <c r="M125" t="s">
        <v>45</v>
      </c>
      <c r="N125" t="s">
        <v>46</v>
      </c>
    </row>
    <row r="126" spans="1:14" x14ac:dyDescent="0.3">
      <c r="A126">
        <v>2128</v>
      </c>
      <c r="B126">
        <v>947</v>
      </c>
      <c r="C126">
        <v>0.33333333333333331</v>
      </c>
      <c r="D126" t="s">
        <v>77</v>
      </c>
      <c r="E126">
        <v>1</v>
      </c>
      <c r="F126" s="1">
        <v>42020</v>
      </c>
      <c r="G126" t="s">
        <v>190</v>
      </c>
      <c r="H126" s="2">
        <v>36526.759201388886</v>
      </c>
      <c r="I126">
        <v>15.25</v>
      </c>
      <c r="J126">
        <v>15.25</v>
      </c>
      <c r="K126" t="s">
        <v>196</v>
      </c>
      <c r="L126" t="s">
        <v>14</v>
      </c>
      <c r="M126" t="s">
        <v>78</v>
      </c>
      <c r="N126" t="s">
        <v>79</v>
      </c>
    </row>
    <row r="127" spans="1:14" x14ac:dyDescent="0.3">
      <c r="A127">
        <v>124</v>
      </c>
      <c r="B127">
        <v>51</v>
      </c>
      <c r="C127">
        <v>0.5</v>
      </c>
      <c r="D127" t="s">
        <v>129</v>
      </c>
      <c r="E127">
        <v>1</v>
      </c>
      <c r="F127" s="1">
        <v>42005</v>
      </c>
      <c r="G127" t="s">
        <v>189</v>
      </c>
      <c r="H127" s="2">
        <v>36526.78365740741</v>
      </c>
      <c r="I127">
        <v>17.5</v>
      </c>
      <c r="J127">
        <v>17.5</v>
      </c>
      <c r="K127" t="s">
        <v>196</v>
      </c>
      <c r="L127" t="s">
        <v>14</v>
      </c>
      <c r="M127" t="s">
        <v>130</v>
      </c>
      <c r="N127" t="s">
        <v>131</v>
      </c>
    </row>
    <row r="128" spans="1:14" x14ac:dyDescent="0.3">
      <c r="A128">
        <v>125</v>
      </c>
      <c r="B128">
        <v>52</v>
      </c>
      <c r="C128">
        <v>0.33333333333333331</v>
      </c>
      <c r="D128" t="s">
        <v>142</v>
      </c>
      <c r="E128">
        <v>1</v>
      </c>
      <c r="F128" s="1">
        <v>42005</v>
      </c>
      <c r="G128" t="s">
        <v>189</v>
      </c>
      <c r="H128" s="2">
        <v>36526.786828703705</v>
      </c>
      <c r="I128">
        <v>16.5</v>
      </c>
      <c r="J128">
        <v>16.5</v>
      </c>
      <c r="K128" t="s">
        <v>196</v>
      </c>
      <c r="L128" t="s">
        <v>14</v>
      </c>
      <c r="M128" t="s">
        <v>15</v>
      </c>
      <c r="N128" t="s">
        <v>16</v>
      </c>
    </row>
    <row r="129" spans="1:14" x14ac:dyDescent="0.3">
      <c r="A129">
        <v>2124</v>
      </c>
      <c r="B129">
        <v>946</v>
      </c>
      <c r="C129">
        <v>0.25</v>
      </c>
      <c r="D129" t="s">
        <v>126</v>
      </c>
      <c r="E129">
        <v>1</v>
      </c>
      <c r="F129" s="1">
        <v>42020</v>
      </c>
      <c r="G129" t="s">
        <v>190</v>
      </c>
      <c r="H129" s="2">
        <v>36526.750555555554</v>
      </c>
      <c r="I129">
        <v>9.75</v>
      </c>
      <c r="J129">
        <v>9.75</v>
      </c>
      <c r="K129" t="s">
        <v>198</v>
      </c>
      <c r="L129" t="s">
        <v>14</v>
      </c>
      <c r="M129" t="s">
        <v>78</v>
      </c>
      <c r="N129" t="s">
        <v>79</v>
      </c>
    </row>
    <row r="130" spans="1:14" x14ac:dyDescent="0.3">
      <c r="A130">
        <v>2122</v>
      </c>
      <c r="B130">
        <v>945</v>
      </c>
      <c r="C130">
        <v>0.25</v>
      </c>
      <c r="D130" t="s">
        <v>132</v>
      </c>
      <c r="E130">
        <v>1</v>
      </c>
      <c r="F130" s="1">
        <v>42020</v>
      </c>
      <c r="G130" t="s">
        <v>190</v>
      </c>
      <c r="H130" s="2">
        <v>36526.749050925922</v>
      </c>
      <c r="I130">
        <v>10.5</v>
      </c>
      <c r="J130">
        <v>10.5</v>
      </c>
      <c r="K130" t="s">
        <v>198</v>
      </c>
      <c r="L130" t="s">
        <v>14</v>
      </c>
      <c r="M130" t="s">
        <v>15</v>
      </c>
      <c r="N130" t="s">
        <v>16</v>
      </c>
    </row>
    <row r="131" spans="1:14" x14ac:dyDescent="0.3">
      <c r="A131">
        <v>128</v>
      </c>
      <c r="B131">
        <v>53</v>
      </c>
      <c r="C131">
        <v>0.5</v>
      </c>
      <c r="D131" t="s">
        <v>143</v>
      </c>
      <c r="E131">
        <v>1</v>
      </c>
      <c r="F131" s="1">
        <v>42005</v>
      </c>
      <c r="G131" t="s">
        <v>189</v>
      </c>
      <c r="H131" s="2">
        <v>36526.78769675926</v>
      </c>
      <c r="I131">
        <v>11</v>
      </c>
      <c r="J131">
        <v>11</v>
      </c>
      <c r="K131" t="s">
        <v>198</v>
      </c>
      <c r="L131" t="s">
        <v>14</v>
      </c>
      <c r="M131" t="s">
        <v>130</v>
      </c>
      <c r="N131" t="s">
        <v>131</v>
      </c>
    </row>
    <row r="132" spans="1:14" x14ac:dyDescent="0.3">
      <c r="A132">
        <v>2118</v>
      </c>
      <c r="B132">
        <v>944</v>
      </c>
      <c r="C132">
        <v>1</v>
      </c>
      <c r="D132" t="s">
        <v>17</v>
      </c>
      <c r="E132">
        <v>1</v>
      </c>
      <c r="F132" s="1">
        <v>42020</v>
      </c>
      <c r="G132" t="s">
        <v>190</v>
      </c>
      <c r="H132" s="2">
        <v>36526.746215277781</v>
      </c>
      <c r="I132">
        <v>16</v>
      </c>
      <c r="J132">
        <v>16</v>
      </c>
      <c r="K132" t="s">
        <v>197</v>
      </c>
      <c r="L132" t="s">
        <v>14</v>
      </c>
      <c r="M132" t="s">
        <v>18</v>
      </c>
      <c r="N132" t="s">
        <v>19</v>
      </c>
    </row>
    <row r="133" spans="1:14" x14ac:dyDescent="0.3">
      <c r="A133">
        <v>2114</v>
      </c>
      <c r="B133">
        <v>941</v>
      </c>
      <c r="C133">
        <v>0.5</v>
      </c>
      <c r="D133" t="s">
        <v>54</v>
      </c>
      <c r="E133">
        <v>1</v>
      </c>
      <c r="F133" s="1">
        <v>42020</v>
      </c>
      <c r="G133" t="s">
        <v>190</v>
      </c>
      <c r="H133" s="2">
        <v>36526.714675925927</v>
      </c>
      <c r="I133">
        <v>20.5</v>
      </c>
      <c r="J133">
        <v>20.5</v>
      </c>
      <c r="K133" t="s">
        <v>196</v>
      </c>
      <c r="L133" t="s">
        <v>14</v>
      </c>
      <c r="M133" t="s">
        <v>55</v>
      </c>
      <c r="N133" t="s">
        <v>56</v>
      </c>
    </row>
    <row r="134" spans="1:14" x14ac:dyDescent="0.3">
      <c r="A134">
        <v>2111</v>
      </c>
      <c r="B134">
        <v>940</v>
      </c>
      <c r="C134">
        <v>0.33333333333333331</v>
      </c>
      <c r="D134" t="s">
        <v>148</v>
      </c>
      <c r="E134">
        <v>1</v>
      </c>
      <c r="F134" s="1">
        <v>42020</v>
      </c>
      <c r="G134" t="s">
        <v>190</v>
      </c>
      <c r="H134" s="2">
        <v>36526.711898148147</v>
      </c>
      <c r="I134">
        <v>14.5</v>
      </c>
      <c r="J134">
        <v>14.5</v>
      </c>
      <c r="K134" t="s">
        <v>197</v>
      </c>
      <c r="L134" t="s">
        <v>14</v>
      </c>
      <c r="M134" t="s">
        <v>130</v>
      </c>
      <c r="N134" t="s">
        <v>131</v>
      </c>
    </row>
    <row r="135" spans="1:14" x14ac:dyDescent="0.3">
      <c r="A135">
        <v>2110</v>
      </c>
      <c r="B135">
        <v>940</v>
      </c>
      <c r="C135">
        <v>0.33333333333333331</v>
      </c>
      <c r="D135" t="s">
        <v>112</v>
      </c>
      <c r="E135">
        <v>1</v>
      </c>
      <c r="F135" s="1">
        <v>42020</v>
      </c>
      <c r="G135" t="s">
        <v>190</v>
      </c>
      <c r="H135" s="2">
        <v>36526.711898148147</v>
      </c>
      <c r="I135">
        <v>20.5</v>
      </c>
      <c r="J135">
        <v>20.5</v>
      </c>
      <c r="K135" t="s">
        <v>196</v>
      </c>
      <c r="L135" t="s">
        <v>14</v>
      </c>
      <c r="M135" t="s">
        <v>94</v>
      </c>
      <c r="N135" t="s">
        <v>95</v>
      </c>
    </row>
    <row r="136" spans="1:14" x14ac:dyDescent="0.3">
      <c r="A136">
        <v>2102</v>
      </c>
      <c r="B136">
        <v>935</v>
      </c>
      <c r="C136">
        <v>0.25</v>
      </c>
      <c r="D136" t="s">
        <v>155</v>
      </c>
      <c r="E136">
        <v>1</v>
      </c>
      <c r="F136" s="1">
        <v>42020</v>
      </c>
      <c r="G136" t="s">
        <v>190</v>
      </c>
      <c r="H136" s="2">
        <v>36526.677071759259</v>
      </c>
      <c r="I136">
        <v>16</v>
      </c>
      <c r="J136">
        <v>16</v>
      </c>
      <c r="K136" t="s">
        <v>197</v>
      </c>
      <c r="L136" t="s">
        <v>14</v>
      </c>
      <c r="M136" t="s">
        <v>45</v>
      </c>
      <c r="N136" t="s">
        <v>46</v>
      </c>
    </row>
    <row r="137" spans="1:14" x14ac:dyDescent="0.3">
      <c r="A137">
        <v>134</v>
      </c>
      <c r="B137">
        <v>56</v>
      </c>
      <c r="C137">
        <v>0.33333333333333331</v>
      </c>
      <c r="D137" t="s">
        <v>17</v>
      </c>
      <c r="E137">
        <v>1</v>
      </c>
      <c r="F137" s="1">
        <v>42005</v>
      </c>
      <c r="G137" t="s">
        <v>189</v>
      </c>
      <c r="H137" s="2">
        <v>36526.796527777777</v>
      </c>
      <c r="I137">
        <v>16</v>
      </c>
      <c r="J137">
        <v>16</v>
      </c>
      <c r="K137" t="s">
        <v>197</v>
      </c>
      <c r="L137" t="s">
        <v>14</v>
      </c>
      <c r="M137" t="s">
        <v>18</v>
      </c>
      <c r="N137" t="s">
        <v>19</v>
      </c>
    </row>
    <row r="138" spans="1:14" x14ac:dyDescent="0.3">
      <c r="A138">
        <v>2099</v>
      </c>
      <c r="B138">
        <v>935</v>
      </c>
      <c r="C138">
        <v>0.25</v>
      </c>
      <c r="D138" t="s">
        <v>84</v>
      </c>
      <c r="E138">
        <v>1</v>
      </c>
      <c r="F138" s="1">
        <v>42020</v>
      </c>
      <c r="G138" t="s">
        <v>190</v>
      </c>
      <c r="H138" s="2">
        <v>36526.677071759259</v>
      </c>
      <c r="I138">
        <v>12</v>
      </c>
      <c r="J138">
        <v>12</v>
      </c>
      <c r="K138" t="s">
        <v>198</v>
      </c>
      <c r="L138" t="s">
        <v>14</v>
      </c>
      <c r="M138" t="s">
        <v>85</v>
      </c>
      <c r="N138" t="s">
        <v>86</v>
      </c>
    </row>
    <row r="139" spans="1:14" x14ac:dyDescent="0.3">
      <c r="A139">
        <v>2091</v>
      </c>
      <c r="B139">
        <v>930</v>
      </c>
      <c r="C139">
        <v>0.33333333333333331</v>
      </c>
      <c r="D139" t="s">
        <v>143</v>
      </c>
      <c r="E139">
        <v>1</v>
      </c>
      <c r="F139" s="1">
        <v>42020</v>
      </c>
      <c r="G139" t="s">
        <v>190</v>
      </c>
      <c r="H139" s="2">
        <v>36526.625127314815</v>
      </c>
      <c r="I139">
        <v>11</v>
      </c>
      <c r="J139">
        <v>11</v>
      </c>
      <c r="K139" t="s">
        <v>198</v>
      </c>
      <c r="L139" t="s">
        <v>14</v>
      </c>
      <c r="M139" t="s">
        <v>130</v>
      </c>
      <c r="N139" t="s">
        <v>131</v>
      </c>
    </row>
    <row r="140" spans="1:14" x14ac:dyDescent="0.3">
      <c r="A140">
        <v>137</v>
      </c>
      <c r="B140">
        <v>57</v>
      </c>
      <c r="C140">
        <v>1</v>
      </c>
      <c r="D140" t="s">
        <v>17</v>
      </c>
      <c r="E140">
        <v>1</v>
      </c>
      <c r="F140" s="1">
        <v>42005</v>
      </c>
      <c r="G140" t="s">
        <v>189</v>
      </c>
      <c r="H140" s="2">
        <v>36526.799201388887</v>
      </c>
      <c r="I140">
        <v>16</v>
      </c>
      <c r="J140">
        <v>16</v>
      </c>
      <c r="K140" t="s">
        <v>197</v>
      </c>
      <c r="L140" t="s">
        <v>14</v>
      </c>
      <c r="M140" t="s">
        <v>18</v>
      </c>
      <c r="N140" t="s">
        <v>19</v>
      </c>
    </row>
    <row r="141" spans="1:14" x14ac:dyDescent="0.3">
      <c r="A141">
        <v>2090</v>
      </c>
      <c r="B141">
        <v>930</v>
      </c>
      <c r="C141">
        <v>0.33333333333333331</v>
      </c>
      <c r="D141" t="s">
        <v>112</v>
      </c>
      <c r="E141">
        <v>1</v>
      </c>
      <c r="F141" s="1">
        <v>42020</v>
      </c>
      <c r="G141" t="s">
        <v>190</v>
      </c>
      <c r="H141" s="2">
        <v>36526.625127314815</v>
      </c>
      <c r="I141">
        <v>20.5</v>
      </c>
      <c r="J141">
        <v>20.5</v>
      </c>
      <c r="K141" t="s">
        <v>196</v>
      </c>
      <c r="L141" t="s">
        <v>14</v>
      </c>
      <c r="M141" t="s">
        <v>94</v>
      </c>
      <c r="N141" t="s">
        <v>95</v>
      </c>
    </row>
    <row r="142" spans="1:14" x14ac:dyDescent="0.3">
      <c r="A142">
        <v>139</v>
      </c>
      <c r="B142">
        <v>58</v>
      </c>
      <c r="C142">
        <v>0.5</v>
      </c>
      <c r="D142" t="s">
        <v>119</v>
      </c>
      <c r="E142">
        <v>1</v>
      </c>
      <c r="F142" s="1">
        <v>42005</v>
      </c>
      <c r="G142" t="s">
        <v>189</v>
      </c>
      <c r="H142" s="2">
        <v>36526.812962962962</v>
      </c>
      <c r="I142">
        <v>12.5</v>
      </c>
      <c r="J142">
        <v>12.5</v>
      </c>
      <c r="K142" t="s">
        <v>197</v>
      </c>
      <c r="L142" t="s">
        <v>14</v>
      </c>
      <c r="M142" t="s">
        <v>78</v>
      </c>
      <c r="N142" t="s">
        <v>79</v>
      </c>
    </row>
    <row r="143" spans="1:14" x14ac:dyDescent="0.3">
      <c r="A143">
        <v>2089</v>
      </c>
      <c r="B143">
        <v>930</v>
      </c>
      <c r="C143">
        <v>0.33333333333333331</v>
      </c>
      <c r="D143" t="s">
        <v>160</v>
      </c>
      <c r="E143">
        <v>1</v>
      </c>
      <c r="F143" s="1">
        <v>42020</v>
      </c>
      <c r="G143" t="s">
        <v>190</v>
      </c>
      <c r="H143" s="2">
        <v>36526.625127314815</v>
      </c>
      <c r="I143">
        <v>12</v>
      </c>
      <c r="J143">
        <v>12</v>
      </c>
      <c r="K143" t="s">
        <v>198</v>
      </c>
      <c r="L143" t="s">
        <v>14</v>
      </c>
      <c r="M143" t="s">
        <v>55</v>
      </c>
      <c r="N143" t="s">
        <v>56</v>
      </c>
    </row>
    <row r="144" spans="1:14" x14ac:dyDescent="0.3">
      <c r="A144">
        <v>141</v>
      </c>
      <c r="B144">
        <v>59</v>
      </c>
      <c r="C144">
        <v>0.33333333333333331</v>
      </c>
      <c r="D144" t="s">
        <v>143</v>
      </c>
      <c r="E144">
        <v>1</v>
      </c>
      <c r="F144" s="1">
        <v>42005</v>
      </c>
      <c r="G144" t="s">
        <v>189</v>
      </c>
      <c r="H144" s="2">
        <v>36526.819537037038</v>
      </c>
      <c r="I144">
        <v>11</v>
      </c>
      <c r="J144">
        <v>11</v>
      </c>
      <c r="K144" t="s">
        <v>198</v>
      </c>
      <c r="L144" t="s">
        <v>14</v>
      </c>
      <c r="M144" t="s">
        <v>130</v>
      </c>
      <c r="N144" t="s">
        <v>131</v>
      </c>
    </row>
    <row r="145" spans="1:14" x14ac:dyDescent="0.3">
      <c r="A145">
        <v>142</v>
      </c>
      <c r="B145">
        <v>59</v>
      </c>
      <c r="C145">
        <v>0.33333333333333331</v>
      </c>
      <c r="D145" t="s">
        <v>77</v>
      </c>
      <c r="E145">
        <v>1</v>
      </c>
      <c r="F145" s="1">
        <v>42005</v>
      </c>
      <c r="G145" t="s">
        <v>189</v>
      </c>
      <c r="H145" s="2">
        <v>36526.819537037038</v>
      </c>
      <c r="I145">
        <v>15.25</v>
      </c>
      <c r="J145">
        <v>15.25</v>
      </c>
      <c r="K145" t="s">
        <v>196</v>
      </c>
      <c r="L145" t="s">
        <v>14</v>
      </c>
      <c r="M145" t="s">
        <v>78</v>
      </c>
      <c r="N145" t="s">
        <v>79</v>
      </c>
    </row>
    <row r="146" spans="1:14" x14ac:dyDescent="0.3">
      <c r="A146">
        <v>2084</v>
      </c>
      <c r="B146">
        <v>927</v>
      </c>
      <c r="C146">
        <v>0.1111111111111111</v>
      </c>
      <c r="D146" t="s">
        <v>163</v>
      </c>
      <c r="E146">
        <v>1</v>
      </c>
      <c r="F146" s="1">
        <v>42020</v>
      </c>
      <c r="G146" t="s">
        <v>190</v>
      </c>
      <c r="H146" s="2">
        <v>36526.582881944443</v>
      </c>
      <c r="I146">
        <v>16</v>
      </c>
      <c r="J146">
        <v>16</v>
      </c>
      <c r="K146" t="s">
        <v>197</v>
      </c>
      <c r="L146" t="s">
        <v>14</v>
      </c>
      <c r="M146" t="s">
        <v>94</v>
      </c>
      <c r="N146" t="s">
        <v>95</v>
      </c>
    </row>
    <row r="147" spans="1:14" x14ac:dyDescent="0.3">
      <c r="A147">
        <v>2082</v>
      </c>
      <c r="B147">
        <v>927</v>
      </c>
      <c r="C147">
        <v>0.1111111111111111</v>
      </c>
      <c r="D147" t="s">
        <v>160</v>
      </c>
      <c r="E147">
        <v>1</v>
      </c>
      <c r="F147" s="1">
        <v>42020</v>
      </c>
      <c r="G147" t="s">
        <v>190</v>
      </c>
      <c r="H147" s="2">
        <v>36526.582881944443</v>
      </c>
      <c r="I147">
        <v>12</v>
      </c>
      <c r="J147">
        <v>12</v>
      </c>
      <c r="K147" t="s">
        <v>198</v>
      </c>
      <c r="L147" t="s">
        <v>14</v>
      </c>
      <c r="M147" t="s">
        <v>55</v>
      </c>
      <c r="N147" t="s">
        <v>56</v>
      </c>
    </row>
    <row r="148" spans="1:14" x14ac:dyDescent="0.3">
      <c r="A148">
        <v>2081</v>
      </c>
      <c r="B148">
        <v>927</v>
      </c>
      <c r="C148">
        <v>0.1111111111111111</v>
      </c>
      <c r="D148" t="s">
        <v>132</v>
      </c>
      <c r="E148">
        <v>1</v>
      </c>
      <c r="F148" s="1">
        <v>42020</v>
      </c>
      <c r="G148" t="s">
        <v>190</v>
      </c>
      <c r="H148" s="2">
        <v>36526.582881944443</v>
      </c>
      <c r="I148">
        <v>10.5</v>
      </c>
      <c r="J148">
        <v>10.5</v>
      </c>
      <c r="K148" t="s">
        <v>198</v>
      </c>
      <c r="L148" t="s">
        <v>14</v>
      </c>
      <c r="M148" t="s">
        <v>15</v>
      </c>
      <c r="N148" t="s">
        <v>16</v>
      </c>
    </row>
    <row r="149" spans="1:14" x14ac:dyDescent="0.3">
      <c r="A149">
        <v>2079</v>
      </c>
      <c r="B149">
        <v>927</v>
      </c>
      <c r="C149">
        <v>0.1111111111111111</v>
      </c>
      <c r="D149" t="s">
        <v>17</v>
      </c>
      <c r="E149">
        <v>1</v>
      </c>
      <c r="F149" s="1">
        <v>42020</v>
      </c>
      <c r="G149" t="s">
        <v>190</v>
      </c>
      <c r="H149" s="2">
        <v>36526.582881944443</v>
      </c>
      <c r="I149">
        <v>16</v>
      </c>
      <c r="J149">
        <v>16</v>
      </c>
      <c r="K149" t="s">
        <v>197</v>
      </c>
      <c r="L149" t="s">
        <v>14</v>
      </c>
      <c r="M149" t="s">
        <v>18</v>
      </c>
      <c r="N149" t="s">
        <v>19</v>
      </c>
    </row>
    <row r="150" spans="1:14" x14ac:dyDescent="0.3">
      <c r="A150">
        <v>2074</v>
      </c>
      <c r="B150">
        <v>926</v>
      </c>
      <c r="C150">
        <v>0.25</v>
      </c>
      <c r="D150" t="s">
        <v>77</v>
      </c>
      <c r="E150">
        <v>1</v>
      </c>
      <c r="F150" s="1">
        <v>42020</v>
      </c>
      <c r="G150" t="s">
        <v>190</v>
      </c>
      <c r="H150" s="2">
        <v>36526.577523148146</v>
      </c>
      <c r="I150">
        <v>15.25</v>
      </c>
      <c r="J150">
        <v>15.25</v>
      </c>
      <c r="K150" t="s">
        <v>196</v>
      </c>
      <c r="L150" t="s">
        <v>14</v>
      </c>
      <c r="M150" t="s">
        <v>78</v>
      </c>
      <c r="N150" t="s">
        <v>79</v>
      </c>
    </row>
    <row r="151" spans="1:14" x14ac:dyDescent="0.3">
      <c r="A151">
        <v>2073</v>
      </c>
      <c r="B151">
        <v>926</v>
      </c>
      <c r="C151">
        <v>0.25</v>
      </c>
      <c r="D151" t="s">
        <v>17</v>
      </c>
      <c r="E151">
        <v>1</v>
      </c>
      <c r="F151" s="1">
        <v>42020</v>
      </c>
      <c r="G151" t="s">
        <v>190</v>
      </c>
      <c r="H151" s="2">
        <v>36526.577523148146</v>
      </c>
      <c r="I151">
        <v>16</v>
      </c>
      <c r="J151">
        <v>16</v>
      </c>
      <c r="K151" t="s">
        <v>197</v>
      </c>
      <c r="L151" t="s">
        <v>14</v>
      </c>
      <c r="M151" t="s">
        <v>18</v>
      </c>
      <c r="N151" t="s">
        <v>19</v>
      </c>
    </row>
    <row r="152" spans="1:14" x14ac:dyDescent="0.3">
      <c r="A152">
        <v>149</v>
      </c>
      <c r="B152">
        <v>63</v>
      </c>
      <c r="C152">
        <v>1</v>
      </c>
      <c r="D152" t="s">
        <v>148</v>
      </c>
      <c r="E152">
        <v>1</v>
      </c>
      <c r="F152" s="1">
        <v>42005</v>
      </c>
      <c r="G152" t="s">
        <v>189</v>
      </c>
      <c r="H152" s="2">
        <v>36526.86923611111</v>
      </c>
      <c r="I152">
        <v>14.5</v>
      </c>
      <c r="J152">
        <v>14.5</v>
      </c>
      <c r="K152" t="s">
        <v>197</v>
      </c>
      <c r="L152" t="s">
        <v>14</v>
      </c>
      <c r="M152" t="s">
        <v>130</v>
      </c>
      <c r="N152" t="s">
        <v>131</v>
      </c>
    </row>
    <row r="153" spans="1:14" x14ac:dyDescent="0.3">
      <c r="A153">
        <v>150</v>
      </c>
      <c r="B153">
        <v>64</v>
      </c>
      <c r="C153">
        <v>1</v>
      </c>
      <c r="D153" t="s">
        <v>84</v>
      </c>
      <c r="E153">
        <v>1</v>
      </c>
      <c r="F153" s="1">
        <v>42005</v>
      </c>
      <c r="G153" t="s">
        <v>189</v>
      </c>
      <c r="H153" s="2">
        <v>36526.869537037041</v>
      </c>
      <c r="I153">
        <v>12</v>
      </c>
      <c r="J153">
        <v>12</v>
      </c>
      <c r="K153" t="s">
        <v>198</v>
      </c>
      <c r="L153" t="s">
        <v>14</v>
      </c>
      <c r="M153" t="s">
        <v>85</v>
      </c>
      <c r="N153" t="s">
        <v>86</v>
      </c>
    </row>
    <row r="154" spans="1:14" x14ac:dyDescent="0.3">
      <c r="A154">
        <v>151</v>
      </c>
      <c r="B154">
        <v>65</v>
      </c>
      <c r="C154">
        <v>0.25</v>
      </c>
      <c r="D154" t="s">
        <v>143</v>
      </c>
      <c r="E154">
        <v>1</v>
      </c>
      <c r="F154" s="1">
        <v>42005</v>
      </c>
      <c r="G154" t="s">
        <v>189</v>
      </c>
      <c r="H154" s="2">
        <v>36526.886111111111</v>
      </c>
      <c r="I154">
        <v>11</v>
      </c>
      <c r="J154">
        <v>11</v>
      </c>
      <c r="K154" t="s">
        <v>198</v>
      </c>
      <c r="L154" t="s">
        <v>14</v>
      </c>
      <c r="M154" t="s">
        <v>130</v>
      </c>
      <c r="N154" t="s">
        <v>131</v>
      </c>
    </row>
    <row r="155" spans="1:14" x14ac:dyDescent="0.3">
      <c r="A155">
        <v>2070</v>
      </c>
      <c r="B155">
        <v>924</v>
      </c>
      <c r="C155">
        <v>0.5</v>
      </c>
      <c r="D155" t="s">
        <v>77</v>
      </c>
      <c r="E155">
        <v>1</v>
      </c>
      <c r="F155" s="1">
        <v>42020</v>
      </c>
      <c r="G155" t="s">
        <v>190</v>
      </c>
      <c r="H155" s="2">
        <v>36526.561076388891</v>
      </c>
      <c r="I155">
        <v>15.25</v>
      </c>
      <c r="J155">
        <v>15.25</v>
      </c>
      <c r="K155" t="s">
        <v>196</v>
      </c>
      <c r="L155" t="s">
        <v>14</v>
      </c>
      <c r="M155" t="s">
        <v>78</v>
      </c>
      <c r="N155" t="s">
        <v>79</v>
      </c>
    </row>
    <row r="156" spans="1:14" x14ac:dyDescent="0.3">
      <c r="A156">
        <v>2066</v>
      </c>
      <c r="B156">
        <v>922</v>
      </c>
      <c r="C156">
        <v>0.33333333333333331</v>
      </c>
      <c r="D156" t="s">
        <v>119</v>
      </c>
      <c r="E156">
        <v>1</v>
      </c>
      <c r="F156" s="1">
        <v>42020</v>
      </c>
      <c r="G156" t="s">
        <v>190</v>
      </c>
      <c r="H156" s="2">
        <v>36526.555358796293</v>
      </c>
      <c r="I156">
        <v>12.5</v>
      </c>
      <c r="J156">
        <v>12.5</v>
      </c>
      <c r="K156" t="s">
        <v>197</v>
      </c>
      <c r="L156" t="s">
        <v>14</v>
      </c>
      <c r="M156" t="s">
        <v>78</v>
      </c>
      <c r="N156" t="s">
        <v>79</v>
      </c>
    </row>
    <row r="157" spans="1:14" x14ac:dyDescent="0.3">
      <c r="A157">
        <v>2062</v>
      </c>
      <c r="B157">
        <v>920</v>
      </c>
      <c r="C157">
        <v>0.5</v>
      </c>
      <c r="D157" t="s">
        <v>17</v>
      </c>
      <c r="E157">
        <v>1</v>
      </c>
      <c r="F157" s="1">
        <v>42020</v>
      </c>
      <c r="G157" t="s">
        <v>190</v>
      </c>
      <c r="H157" s="2">
        <v>36526.553414351853</v>
      </c>
      <c r="I157">
        <v>16</v>
      </c>
      <c r="J157">
        <v>16</v>
      </c>
      <c r="K157" t="s">
        <v>197</v>
      </c>
      <c r="L157" t="s">
        <v>14</v>
      </c>
      <c r="M157" t="s">
        <v>18</v>
      </c>
      <c r="N157" t="s">
        <v>19</v>
      </c>
    </row>
    <row r="158" spans="1:14" x14ac:dyDescent="0.3">
      <c r="A158">
        <v>155</v>
      </c>
      <c r="B158">
        <v>66</v>
      </c>
      <c r="C158">
        <v>0.5</v>
      </c>
      <c r="D158" t="s">
        <v>17</v>
      </c>
      <c r="E158">
        <v>1</v>
      </c>
      <c r="F158" s="1">
        <v>42005</v>
      </c>
      <c r="G158" t="s">
        <v>189</v>
      </c>
      <c r="H158" s="2">
        <v>36526.908275462964</v>
      </c>
      <c r="I158">
        <v>16</v>
      </c>
      <c r="J158">
        <v>16</v>
      </c>
      <c r="K158" t="s">
        <v>197</v>
      </c>
      <c r="L158" t="s">
        <v>14</v>
      </c>
      <c r="M158" t="s">
        <v>18</v>
      </c>
      <c r="N158" t="s">
        <v>19</v>
      </c>
    </row>
    <row r="159" spans="1:14" x14ac:dyDescent="0.3">
      <c r="A159">
        <v>156</v>
      </c>
      <c r="B159">
        <v>66</v>
      </c>
      <c r="C159">
        <v>0.5</v>
      </c>
      <c r="D159" t="s">
        <v>116</v>
      </c>
      <c r="E159">
        <v>1</v>
      </c>
      <c r="F159" s="1">
        <v>42005</v>
      </c>
      <c r="G159" t="s">
        <v>189</v>
      </c>
      <c r="H159" s="2">
        <v>36526.908275462964</v>
      </c>
      <c r="I159">
        <v>16</v>
      </c>
      <c r="J159">
        <v>16</v>
      </c>
      <c r="K159" t="s">
        <v>197</v>
      </c>
      <c r="L159" t="s">
        <v>14</v>
      </c>
      <c r="M159" t="s">
        <v>55</v>
      </c>
      <c r="N159" t="s">
        <v>56</v>
      </c>
    </row>
    <row r="160" spans="1:14" x14ac:dyDescent="0.3">
      <c r="A160">
        <v>2060</v>
      </c>
      <c r="B160">
        <v>919</v>
      </c>
      <c r="C160">
        <v>1</v>
      </c>
      <c r="D160" t="s">
        <v>112</v>
      </c>
      <c r="E160">
        <v>1</v>
      </c>
      <c r="F160" s="1">
        <v>42020</v>
      </c>
      <c r="G160" t="s">
        <v>190</v>
      </c>
      <c r="H160" s="2">
        <v>36526.549479166664</v>
      </c>
      <c r="I160">
        <v>20.5</v>
      </c>
      <c r="J160">
        <v>20.5</v>
      </c>
      <c r="K160" t="s">
        <v>196</v>
      </c>
      <c r="L160" t="s">
        <v>14</v>
      </c>
      <c r="M160" t="s">
        <v>94</v>
      </c>
      <c r="N160" t="s">
        <v>95</v>
      </c>
    </row>
    <row r="161" spans="1:14" x14ac:dyDescent="0.3">
      <c r="A161">
        <v>158</v>
      </c>
      <c r="B161">
        <v>68</v>
      </c>
      <c r="C161">
        <v>0.33333333333333331</v>
      </c>
      <c r="D161" t="s">
        <v>17</v>
      </c>
      <c r="E161">
        <v>1</v>
      </c>
      <c r="F161" s="1">
        <v>42005</v>
      </c>
      <c r="G161" t="s">
        <v>189</v>
      </c>
      <c r="H161" s="2">
        <v>36526.921898148146</v>
      </c>
      <c r="I161">
        <v>16</v>
      </c>
      <c r="J161">
        <v>16</v>
      </c>
      <c r="K161" t="s">
        <v>197</v>
      </c>
      <c r="L161" t="s">
        <v>14</v>
      </c>
      <c r="M161" t="s">
        <v>18</v>
      </c>
      <c r="N161" t="s">
        <v>19</v>
      </c>
    </row>
    <row r="162" spans="1:14" x14ac:dyDescent="0.3">
      <c r="A162">
        <v>2057</v>
      </c>
      <c r="B162">
        <v>916</v>
      </c>
      <c r="C162">
        <v>0.25</v>
      </c>
      <c r="D162" t="s">
        <v>140</v>
      </c>
      <c r="E162">
        <v>1</v>
      </c>
      <c r="F162" s="1">
        <v>42020</v>
      </c>
      <c r="G162" t="s">
        <v>190</v>
      </c>
      <c r="H162" s="2">
        <v>36526.520937499998</v>
      </c>
      <c r="I162">
        <v>25.5</v>
      </c>
      <c r="J162">
        <v>25.5</v>
      </c>
      <c r="K162" t="s">
        <v>199</v>
      </c>
      <c r="L162" t="s">
        <v>14</v>
      </c>
      <c r="M162" t="s">
        <v>45</v>
      </c>
      <c r="N162" t="s">
        <v>46</v>
      </c>
    </row>
    <row r="163" spans="1:14" x14ac:dyDescent="0.3">
      <c r="A163">
        <v>2056</v>
      </c>
      <c r="B163">
        <v>916</v>
      </c>
      <c r="C163">
        <v>0.25</v>
      </c>
      <c r="D163" t="s">
        <v>77</v>
      </c>
      <c r="E163">
        <v>1</v>
      </c>
      <c r="F163" s="1">
        <v>42020</v>
      </c>
      <c r="G163" t="s">
        <v>190</v>
      </c>
      <c r="H163" s="2">
        <v>36526.520937499998</v>
      </c>
      <c r="I163">
        <v>15.25</v>
      </c>
      <c r="J163">
        <v>15.25</v>
      </c>
      <c r="K163" t="s">
        <v>196</v>
      </c>
      <c r="L163" t="s">
        <v>14</v>
      </c>
      <c r="M163" t="s">
        <v>78</v>
      </c>
      <c r="N163" t="s">
        <v>79</v>
      </c>
    </row>
    <row r="164" spans="1:14" x14ac:dyDescent="0.3">
      <c r="A164">
        <v>2051</v>
      </c>
      <c r="B164">
        <v>915</v>
      </c>
      <c r="C164">
        <v>0.125</v>
      </c>
      <c r="D164" t="s">
        <v>119</v>
      </c>
      <c r="E164">
        <v>1</v>
      </c>
      <c r="F164" s="1">
        <v>42020</v>
      </c>
      <c r="G164" t="s">
        <v>190</v>
      </c>
      <c r="H164" s="2">
        <v>36526.514143518521</v>
      </c>
      <c r="I164">
        <v>12.5</v>
      </c>
      <c r="J164">
        <v>12.5</v>
      </c>
      <c r="K164" t="s">
        <v>197</v>
      </c>
      <c r="L164" t="s">
        <v>14</v>
      </c>
      <c r="M164" t="s">
        <v>78</v>
      </c>
      <c r="N164" t="s">
        <v>79</v>
      </c>
    </row>
    <row r="165" spans="1:14" x14ac:dyDescent="0.3">
      <c r="A165">
        <v>2050</v>
      </c>
      <c r="B165">
        <v>915</v>
      </c>
      <c r="C165">
        <v>0.125</v>
      </c>
      <c r="D165" t="s">
        <v>77</v>
      </c>
      <c r="E165">
        <v>1</v>
      </c>
      <c r="F165" s="1">
        <v>42020</v>
      </c>
      <c r="G165" t="s">
        <v>190</v>
      </c>
      <c r="H165" s="2">
        <v>36526.514143518521</v>
      </c>
      <c r="I165">
        <v>15.25</v>
      </c>
      <c r="J165">
        <v>15.25</v>
      </c>
      <c r="K165" t="s">
        <v>196</v>
      </c>
      <c r="L165" t="s">
        <v>14</v>
      </c>
      <c r="M165" t="s">
        <v>78</v>
      </c>
      <c r="N165" t="s">
        <v>79</v>
      </c>
    </row>
    <row r="166" spans="1:14" x14ac:dyDescent="0.3">
      <c r="A166">
        <v>2049</v>
      </c>
      <c r="B166">
        <v>915</v>
      </c>
      <c r="C166">
        <v>0.125</v>
      </c>
      <c r="D166" t="s">
        <v>163</v>
      </c>
      <c r="E166">
        <v>1</v>
      </c>
      <c r="F166" s="1">
        <v>42020</v>
      </c>
      <c r="G166" t="s">
        <v>190</v>
      </c>
      <c r="H166" s="2">
        <v>36526.514143518521</v>
      </c>
      <c r="I166">
        <v>16</v>
      </c>
      <c r="J166">
        <v>16</v>
      </c>
      <c r="K166" t="s">
        <v>197</v>
      </c>
      <c r="L166" t="s">
        <v>14</v>
      </c>
      <c r="M166" t="s">
        <v>94</v>
      </c>
      <c r="N166" t="s">
        <v>95</v>
      </c>
    </row>
    <row r="167" spans="1:14" x14ac:dyDescent="0.3">
      <c r="A167">
        <v>2043</v>
      </c>
      <c r="B167">
        <v>912</v>
      </c>
      <c r="C167">
        <v>1</v>
      </c>
      <c r="D167" t="s">
        <v>148</v>
      </c>
      <c r="E167">
        <v>1</v>
      </c>
      <c r="F167" s="1">
        <v>42020</v>
      </c>
      <c r="G167" t="s">
        <v>190</v>
      </c>
      <c r="H167" s="2">
        <v>36526.485972222225</v>
      </c>
      <c r="I167">
        <v>14.5</v>
      </c>
      <c r="J167">
        <v>14.5</v>
      </c>
      <c r="K167" t="s">
        <v>197</v>
      </c>
      <c r="L167" t="s">
        <v>14</v>
      </c>
      <c r="M167" t="s">
        <v>130</v>
      </c>
      <c r="N167" t="s">
        <v>131</v>
      </c>
    </row>
    <row r="168" spans="1:14" x14ac:dyDescent="0.3">
      <c r="A168">
        <v>2038</v>
      </c>
      <c r="B168">
        <v>910</v>
      </c>
      <c r="C168">
        <v>0.33333333333333331</v>
      </c>
      <c r="D168" t="s">
        <v>160</v>
      </c>
      <c r="E168">
        <v>1</v>
      </c>
      <c r="F168" s="1">
        <v>42020</v>
      </c>
      <c r="G168" t="s">
        <v>190</v>
      </c>
      <c r="H168" s="2">
        <v>36526.476157407407</v>
      </c>
      <c r="I168">
        <v>12</v>
      </c>
      <c r="J168">
        <v>12</v>
      </c>
      <c r="K168" t="s">
        <v>198</v>
      </c>
      <c r="L168" t="s">
        <v>14</v>
      </c>
      <c r="M168" t="s">
        <v>55</v>
      </c>
      <c r="N168" t="s">
        <v>56</v>
      </c>
    </row>
    <row r="169" spans="1:14" x14ac:dyDescent="0.3">
      <c r="A169">
        <v>2033</v>
      </c>
      <c r="B169">
        <v>908</v>
      </c>
      <c r="C169">
        <v>0.5</v>
      </c>
      <c r="D169" t="s">
        <v>119</v>
      </c>
      <c r="E169">
        <v>1</v>
      </c>
      <c r="F169" s="1">
        <v>42019</v>
      </c>
      <c r="G169" t="s">
        <v>189</v>
      </c>
      <c r="H169" s="2">
        <v>36526.904537037037</v>
      </c>
      <c r="I169">
        <v>12.5</v>
      </c>
      <c r="J169">
        <v>12.5</v>
      </c>
      <c r="K169" t="s">
        <v>197</v>
      </c>
      <c r="L169" t="s">
        <v>14</v>
      </c>
      <c r="M169" t="s">
        <v>78</v>
      </c>
      <c r="N169" t="s">
        <v>79</v>
      </c>
    </row>
    <row r="170" spans="1:14" x14ac:dyDescent="0.3">
      <c r="A170">
        <v>2026</v>
      </c>
      <c r="B170">
        <v>904</v>
      </c>
      <c r="C170">
        <v>0.5</v>
      </c>
      <c r="D170" t="s">
        <v>143</v>
      </c>
      <c r="E170">
        <v>1</v>
      </c>
      <c r="F170" s="1">
        <v>42019</v>
      </c>
      <c r="G170" t="s">
        <v>189</v>
      </c>
      <c r="H170" s="2">
        <v>36526.838206018518</v>
      </c>
      <c r="I170">
        <v>11</v>
      </c>
      <c r="J170">
        <v>11</v>
      </c>
      <c r="K170" t="s">
        <v>198</v>
      </c>
      <c r="L170" t="s">
        <v>14</v>
      </c>
      <c r="M170" t="s">
        <v>130</v>
      </c>
      <c r="N170" t="s">
        <v>131</v>
      </c>
    </row>
    <row r="171" spans="1:14" x14ac:dyDescent="0.3">
      <c r="A171">
        <v>2022</v>
      </c>
      <c r="B171">
        <v>903</v>
      </c>
      <c r="C171">
        <v>0.33333333333333331</v>
      </c>
      <c r="D171" t="s">
        <v>138</v>
      </c>
      <c r="E171">
        <v>1</v>
      </c>
      <c r="F171" s="1">
        <v>42019</v>
      </c>
      <c r="G171" t="s">
        <v>189</v>
      </c>
      <c r="H171" s="2">
        <v>36526.810671296298</v>
      </c>
      <c r="I171">
        <v>20.5</v>
      </c>
      <c r="J171">
        <v>20.5</v>
      </c>
      <c r="K171" t="s">
        <v>196</v>
      </c>
      <c r="L171" t="s">
        <v>14</v>
      </c>
      <c r="M171" t="s">
        <v>18</v>
      </c>
      <c r="N171" t="s">
        <v>19</v>
      </c>
    </row>
    <row r="172" spans="1:14" x14ac:dyDescent="0.3">
      <c r="A172">
        <v>2020</v>
      </c>
      <c r="B172">
        <v>901</v>
      </c>
      <c r="C172">
        <v>1</v>
      </c>
      <c r="D172" t="s">
        <v>84</v>
      </c>
      <c r="E172">
        <v>1</v>
      </c>
      <c r="F172" s="1">
        <v>42019</v>
      </c>
      <c r="G172" t="s">
        <v>189</v>
      </c>
      <c r="H172" s="2">
        <v>36526.802905092591</v>
      </c>
      <c r="I172">
        <v>12</v>
      </c>
      <c r="J172">
        <v>12</v>
      </c>
      <c r="K172" t="s">
        <v>198</v>
      </c>
      <c r="L172" t="s">
        <v>14</v>
      </c>
      <c r="M172" t="s">
        <v>85</v>
      </c>
      <c r="N172" t="s">
        <v>86</v>
      </c>
    </row>
    <row r="173" spans="1:14" x14ac:dyDescent="0.3">
      <c r="A173">
        <v>2019</v>
      </c>
      <c r="B173">
        <v>900</v>
      </c>
      <c r="C173">
        <v>0.5</v>
      </c>
      <c r="D173" t="s">
        <v>126</v>
      </c>
      <c r="E173">
        <v>1</v>
      </c>
      <c r="F173" s="1">
        <v>42019</v>
      </c>
      <c r="G173" t="s">
        <v>189</v>
      </c>
      <c r="H173" s="2">
        <v>36526.798506944448</v>
      </c>
      <c r="I173">
        <v>9.75</v>
      </c>
      <c r="J173">
        <v>9.75</v>
      </c>
      <c r="K173" t="s">
        <v>198</v>
      </c>
      <c r="L173" t="s">
        <v>14</v>
      </c>
      <c r="M173" t="s">
        <v>78</v>
      </c>
      <c r="N173" t="s">
        <v>79</v>
      </c>
    </row>
    <row r="174" spans="1:14" x14ac:dyDescent="0.3">
      <c r="A174">
        <v>2018</v>
      </c>
      <c r="B174">
        <v>900</v>
      </c>
      <c r="C174">
        <v>0.5</v>
      </c>
      <c r="D174" t="s">
        <v>77</v>
      </c>
      <c r="E174">
        <v>1</v>
      </c>
      <c r="F174" s="1">
        <v>42019</v>
      </c>
      <c r="G174" t="s">
        <v>189</v>
      </c>
      <c r="H174" s="2">
        <v>36526.798506944448</v>
      </c>
      <c r="I174">
        <v>15.25</v>
      </c>
      <c r="J174">
        <v>15.25</v>
      </c>
      <c r="K174" t="s">
        <v>196</v>
      </c>
      <c r="L174" t="s">
        <v>14</v>
      </c>
      <c r="M174" t="s">
        <v>78</v>
      </c>
      <c r="N174" t="s">
        <v>79</v>
      </c>
    </row>
    <row r="175" spans="1:14" x14ac:dyDescent="0.3">
      <c r="A175">
        <v>2017</v>
      </c>
      <c r="B175">
        <v>899</v>
      </c>
      <c r="C175">
        <v>0.5</v>
      </c>
      <c r="D175" t="s">
        <v>140</v>
      </c>
      <c r="E175">
        <v>1</v>
      </c>
      <c r="F175" s="1">
        <v>42019</v>
      </c>
      <c r="G175" t="s">
        <v>189</v>
      </c>
      <c r="H175" s="2">
        <v>36526.795995370368</v>
      </c>
      <c r="I175">
        <v>25.5</v>
      </c>
      <c r="J175">
        <v>25.5</v>
      </c>
      <c r="K175" t="s">
        <v>199</v>
      </c>
      <c r="L175" t="s">
        <v>14</v>
      </c>
      <c r="M175" t="s">
        <v>45</v>
      </c>
      <c r="N175" t="s">
        <v>46</v>
      </c>
    </row>
    <row r="176" spans="1:14" x14ac:dyDescent="0.3">
      <c r="A176">
        <v>173</v>
      </c>
      <c r="B176">
        <v>75</v>
      </c>
      <c r="C176">
        <v>0.33333333333333331</v>
      </c>
      <c r="D176" t="s">
        <v>112</v>
      </c>
      <c r="E176">
        <v>1</v>
      </c>
      <c r="F176" s="1">
        <v>42006</v>
      </c>
      <c r="G176" t="s">
        <v>190</v>
      </c>
      <c r="H176" s="2">
        <v>36526.507118055553</v>
      </c>
      <c r="I176">
        <v>20.5</v>
      </c>
      <c r="J176">
        <v>20.5</v>
      </c>
      <c r="K176" t="s">
        <v>196</v>
      </c>
      <c r="L176" t="s">
        <v>14</v>
      </c>
      <c r="M176" t="s">
        <v>94</v>
      </c>
      <c r="N176" t="s">
        <v>95</v>
      </c>
    </row>
    <row r="177" spans="1:14" x14ac:dyDescent="0.3">
      <c r="A177">
        <v>174</v>
      </c>
      <c r="B177">
        <v>76</v>
      </c>
      <c r="C177">
        <v>0.25</v>
      </c>
      <c r="D177" t="s">
        <v>84</v>
      </c>
      <c r="E177">
        <v>1</v>
      </c>
      <c r="F177" s="1">
        <v>42006</v>
      </c>
      <c r="G177" t="s">
        <v>190</v>
      </c>
      <c r="H177" s="2">
        <v>36526.514780092592</v>
      </c>
      <c r="I177">
        <v>12</v>
      </c>
      <c r="J177">
        <v>12</v>
      </c>
      <c r="K177" t="s">
        <v>198</v>
      </c>
      <c r="L177" t="s">
        <v>14</v>
      </c>
      <c r="M177" t="s">
        <v>85</v>
      </c>
      <c r="N177" t="s">
        <v>86</v>
      </c>
    </row>
    <row r="178" spans="1:14" x14ac:dyDescent="0.3">
      <c r="A178">
        <v>175</v>
      </c>
      <c r="B178">
        <v>76</v>
      </c>
      <c r="C178">
        <v>0.25</v>
      </c>
      <c r="D178" t="s">
        <v>142</v>
      </c>
      <c r="E178">
        <v>1</v>
      </c>
      <c r="F178" s="1">
        <v>42006</v>
      </c>
      <c r="G178" t="s">
        <v>190</v>
      </c>
      <c r="H178" s="2">
        <v>36526.514780092592</v>
      </c>
      <c r="I178">
        <v>16.5</v>
      </c>
      <c r="J178">
        <v>16.5</v>
      </c>
      <c r="K178" t="s">
        <v>196</v>
      </c>
      <c r="L178" t="s">
        <v>14</v>
      </c>
      <c r="M178" t="s">
        <v>15</v>
      </c>
      <c r="N178" t="s">
        <v>16</v>
      </c>
    </row>
    <row r="179" spans="1:14" x14ac:dyDescent="0.3">
      <c r="A179">
        <v>2015</v>
      </c>
      <c r="B179">
        <v>898</v>
      </c>
      <c r="C179">
        <v>1</v>
      </c>
      <c r="D179" t="s">
        <v>50</v>
      </c>
      <c r="E179">
        <v>1</v>
      </c>
      <c r="F179" s="1">
        <v>42019</v>
      </c>
      <c r="G179" t="s">
        <v>189</v>
      </c>
      <c r="H179" s="2">
        <v>36526.789456018516</v>
      </c>
      <c r="I179">
        <v>12</v>
      </c>
      <c r="J179">
        <v>12</v>
      </c>
      <c r="K179" t="s">
        <v>198</v>
      </c>
      <c r="L179" t="s">
        <v>14</v>
      </c>
      <c r="M179" t="s">
        <v>18</v>
      </c>
      <c r="N179" t="s">
        <v>19</v>
      </c>
    </row>
    <row r="180" spans="1:14" x14ac:dyDescent="0.3">
      <c r="A180">
        <v>2012</v>
      </c>
      <c r="B180">
        <v>897</v>
      </c>
      <c r="C180">
        <v>0.33333333333333331</v>
      </c>
      <c r="D180" t="s">
        <v>54</v>
      </c>
      <c r="E180">
        <v>1</v>
      </c>
      <c r="F180" s="1">
        <v>42019</v>
      </c>
      <c r="G180" t="s">
        <v>189</v>
      </c>
      <c r="H180" s="2">
        <v>36526.786886574075</v>
      </c>
      <c r="I180">
        <v>20.5</v>
      </c>
      <c r="J180">
        <v>20.5</v>
      </c>
      <c r="K180" t="s">
        <v>196</v>
      </c>
      <c r="L180" t="s">
        <v>14</v>
      </c>
      <c r="M180" t="s">
        <v>55</v>
      </c>
      <c r="N180" t="s">
        <v>56</v>
      </c>
    </row>
    <row r="181" spans="1:14" x14ac:dyDescent="0.3">
      <c r="A181">
        <v>2009</v>
      </c>
      <c r="B181">
        <v>895</v>
      </c>
      <c r="C181">
        <v>0.33333333333333331</v>
      </c>
      <c r="D181" t="s">
        <v>126</v>
      </c>
      <c r="E181">
        <v>1</v>
      </c>
      <c r="F181" s="1">
        <v>42019</v>
      </c>
      <c r="G181" t="s">
        <v>189</v>
      </c>
      <c r="H181" s="2">
        <v>36526.762627314813</v>
      </c>
      <c r="I181">
        <v>9.75</v>
      </c>
      <c r="J181">
        <v>9.75</v>
      </c>
      <c r="K181" t="s">
        <v>198</v>
      </c>
      <c r="L181" t="s">
        <v>14</v>
      </c>
      <c r="M181" t="s">
        <v>78</v>
      </c>
      <c r="N181" t="s">
        <v>79</v>
      </c>
    </row>
    <row r="182" spans="1:14" x14ac:dyDescent="0.3">
      <c r="A182">
        <v>179</v>
      </c>
      <c r="B182">
        <v>77</v>
      </c>
      <c r="C182">
        <v>0.5</v>
      </c>
      <c r="D182" t="s">
        <v>12</v>
      </c>
      <c r="E182">
        <v>1</v>
      </c>
      <c r="F182" s="1">
        <v>42006</v>
      </c>
      <c r="G182" t="s">
        <v>190</v>
      </c>
      <c r="H182" s="2">
        <v>36526.515810185185</v>
      </c>
      <c r="I182">
        <v>13.25</v>
      </c>
      <c r="J182">
        <v>13.25</v>
      </c>
      <c r="K182" t="s">
        <v>197</v>
      </c>
      <c r="L182" t="s">
        <v>14</v>
      </c>
      <c r="M182" t="s">
        <v>15</v>
      </c>
      <c r="N182" t="s">
        <v>16</v>
      </c>
    </row>
    <row r="183" spans="1:14" x14ac:dyDescent="0.3">
      <c r="A183">
        <v>180</v>
      </c>
      <c r="B183">
        <v>78</v>
      </c>
      <c r="C183">
        <v>0.16666666666666666</v>
      </c>
      <c r="D183" t="s">
        <v>84</v>
      </c>
      <c r="E183">
        <v>1</v>
      </c>
      <c r="F183" s="1">
        <v>42006</v>
      </c>
      <c r="G183" t="s">
        <v>190</v>
      </c>
      <c r="H183" s="2">
        <v>36526.519606481481</v>
      </c>
      <c r="I183">
        <v>12</v>
      </c>
      <c r="J183">
        <v>12</v>
      </c>
      <c r="K183" t="s">
        <v>198</v>
      </c>
      <c r="L183" t="s">
        <v>14</v>
      </c>
      <c r="M183" t="s">
        <v>85</v>
      </c>
      <c r="N183" t="s">
        <v>86</v>
      </c>
    </row>
    <row r="184" spans="1:14" x14ac:dyDescent="0.3">
      <c r="A184">
        <v>181</v>
      </c>
      <c r="B184">
        <v>78</v>
      </c>
      <c r="C184">
        <v>0.16666666666666666</v>
      </c>
      <c r="D184" t="s">
        <v>50</v>
      </c>
      <c r="E184">
        <v>1</v>
      </c>
      <c r="F184" s="1">
        <v>42006</v>
      </c>
      <c r="G184" t="s">
        <v>190</v>
      </c>
      <c r="H184" s="2">
        <v>36526.519606481481</v>
      </c>
      <c r="I184">
        <v>12</v>
      </c>
      <c r="J184">
        <v>12</v>
      </c>
      <c r="K184" t="s">
        <v>198</v>
      </c>
      <c r="L184" t="s">
        <v>14</v>
      </c>
      <c r="M184" t="s">
        <v>18</v>
      </c>
      <c r="N184" t="s">
        <v>19</v>
      </c>
    </row>
    <row r="185" spans="1:14" x14ac:dyDescent="0.3">
      <c r="A185">
        <v>2008</v>
      </c>
      <c r="B185">
        <v>895</v>
      </c>
      <c r="C185">
        <v>0.33333333333333331</v>
      </c>
      <c r="D185" t="s">
        <v>142</v>
      </c>
      <c r="E185">
        <v>1</v>
      </c>
      <c r="F185" s="1">
        <v>42019</v>
      </c>
      <c r="G185" t="s">
        <v>189</v>
      </c>
      <c r="H185" s="2">
        <v>36526.762627314813</v>
      </c>
      <c r="I185">
        <v>16.5</v>
      </c>
      <c r="J185">
        <v>16.5</v>
      </c>
      <c r="K185" t="s">
        <v>196</v>
      </c>
      <c r="L185" t="s">
        <v>14</v>
      </c>
      <c r="M185" t="s">
        <v>15</v>
      </c>
      <c r="N185" t="s">
        <v>16</v>
      </c>
    </row>
    <row r="186" spans="1:14" x14ac:dyDescent="0.3">
      <c r="A186">
        <v>183</v>
      </c>
      <c r="B186">
        <v>78</v>
      </c>
      <c r="C186">
        <v>0.16666666666666666</v>
      </c>
      <c r="D186" t="s">
        <v>116</v>
      </c>
      <c r="E186">
        <v>1</v>
      </c>
      <c r="F186" s="1">
        <v>42006</v>
      </c>
      <c r="G186" t="s">
        <v>190</v>
      </c>
      <c r="H186" s="2">
        <v>36526.519606481481</v>
      </c>
      <c r="I186">
        <v>16</v>
      </c>
      <c r="J186">
        <v>16</v>
      </c>
      <c r="K186" t="s">
        <v>197</v>
      </c>
      <c r="L186" t="s">
        <v>14</v>
      </c>
      <c r="M186" t="s">
        <v>55</v>
      </c>
      <c r="N186" t="s">
        <v>56</v>
      </c>
    </row>
    <row r="187" spans="1:14" x14ac:dyDescent="0.3">
      <c r="A187">
        <v>2006</v>
      </c>
      <c r="B187">
        <v>894</v>
      </c>
      <c r="C187">
        <v>1</v>
      </c>
      <c r="D187" t="s">
        <v>93</v>
      </c>
      <c r="E187">
        <v>1</v>
      </c>
      <c r="F187" s="1">
        <v>42019</v>
      </c>
      <c r="G187" t="s">
        <v>189</v>
      </c>
      <c r="H187" s="2">
        <v>36526.762106481481</v>
      </c>
      <c r="I187">
        <v>12</v>
      </c>
      <c r="J187">
        <v>12</v>
      </c>
      <c r="K187" t="s">
        <v>198</v>
      </c>
      <c r="L187" t="s">
        <v>14</v>
      </c>
      <c r="M187" t="s">
        <v>94</v>
      </c>
      <c r="N187" t="s">
        <v>95</v>
      </c>
    </row>
    <row r="188" spans="1:14" x14ac:dyDescent="0.3">
      <c r="A188">
        <v>1996</v>
      </c>
      <c r="B188">
        <v>887</v>
      </c>
      <c r="C188">
        <v>0.5</v>
      </c>
      <c r="D188" t="s">
        <v>77</v>
      </c>
      <c r="E188">
        <v>1</v>
      </c>
      <c r="F188" s="1">
        <v>42019</v>
      </c>
      <c r="G188" t="s">
        <v>189</v>
      </c>
      <c r="H188" s="2">
        <v>36526.718032407407</v>
      </c>
      <c r="I188">
        <v>15.25</v>
      </c>
      <c r="J188">
        <v>15.25</v>
      </c>
      <c r="K188" t="s">
        <v>196</v>
      </c>
      <c r="L188" t="s">
        <v>14</v>
      </c>
      <c r="M188" t="s">
        <v>78</v>
      </c>
      <c r="N188" t="s">
        <v>79</v>
      </c>
    </row>
    <row r="189" spans="1:14" x14ac:dyDescent="0.3">
      <c r="A189">
        <v>186</v>
      </c>
      <c r="B189">
        <v>79</v>
      </c>
      <c r="C189">
        <v>0.33333333333333331</v>
      </c>
      <c r="D189" t="s">
        <v>54</v>
      </c>
      <c r="E189">
        <v>1</v>
      </c>
      <c r="F189" s="1">
        <v>42006</v>
      </c>
      <c r="G189" t="s">
        <v>190</v>
      </c>
      <c r="H189" s="2">
        <v>36526.520266203705</v>
      </c>
      <c r="I189">
        <v>20.5</v>
      </c>
      <c r="J189">
        <v>20.5</v>
      </c>
      <c r="K189" t="s">
        <v>196</v>
      </c>
      <c r="L189" t="s">
        <v>14</v>
      </c>
      <c r="M189" t="s">
        <v>55</v>
      </c>
      <c r="N189" t="s">
        <v>56</v>
      </c>
    </row>
    <row r="190" spans="1:14" x14ac:dyDescent="0.3">
      <c r="A190">
        <v>187</v>
      </c>
      <c r="B190">
        <v>79</v>
      </c>
      <c r="C190">
        <v>0.33333333333333331</v>
      </c>
      <c r="D190" t="s">
        <v>143</v>
      </c>
      <c r="E190">
        <v>1</v>
      </c>
      <c r="F190" s="1">
        <v>42006</v>
      </c>
      <c r="G190" t="s">
        <v>190</v>
      </c>
      <c r="H190" s="2">
        <v>36526.520266203705</v>
      </c>
      <c r="I190">
        <v>11</v>
      </c>
      <c r="J190">
        <v>11</v>
      </c>
      <c r="K190" t="s">
        <v>198</v>
      </c>
      <c r="L190" t="s">
        <v>14</v>
      </c>
      <c r="M190" t="s">
        <v>130</v>
      </c>
      <c r="N190" t="s">
        <v>131</v>
      </c>
    </row>
    <row r="191" spans="1:14" x14ac:dyDescent="0.3">
      <c r="A191">
        <v>1992</v>
      </c>
      <c r="B191">
        <v>885</v>
      </c>
      <c r="C191">
        <v>0.25</v>
      </c>
      <c r="D191" t="s">
        <v>140</v>
      </c>
      <c r="E191">
        <v>1</v>
      </c>
      <c r="F191" s="1">
        <v>42019</v>
      </c>
      <c r="G191" t="s">
        <v>189</v>
      </c>
      <c r="H191" s="2">
        <v>36526.706886574073</v>
      </c>
      <c r="I191">
        <v>25.5</v>
      </c>
      <c r="J191">
        <v>25.5</v>
      </c>
      <c r="K191" t="s">
        <v>199</v>
      </c>
      <c r="L191" t="s">
        <v>14</v>
      </c>
      <c r="M191" t="s">
        <v>45</v>
      </c>
      <c r="N191" t="s">
        <v>46</v>
      </c>
    </row>
    <row r="192" spans="1:14" x14ac:dyDescent="0.3">
      <c r="A192">
        <v>189</v>
      </c>
      <c r="B192">
        <v>80</v>
      </c>
      <c r="C192">
        <v>0.5</v>
      </c>
      <c r="D192" t="s">
        <v>126</v>
      </c>
      <c r="E192">
        <v>1</v>
      </c>
      <c r="F192" s="1">
        <v>42006</v>
      </c>
      <c r="G192" t="s">
        <v>190</v>
      </c>
      <c r="H192" s="2">
        <v>36526.524745370371</v>
      </c>
      <c r="I192">
        <v>9.75</v>
      </c>
      <c r="J192">
        <v>9.75</v>
      </c>
      <c r="K192" t="s">
        <v>198</v>
      </c>
      <c r="L192" t="s">
        <v>14</v>
      </c>
      <c r="M192" t="s">
        <v>78</v>
      </c>
      <c r="N192" t="s">
        <v>79</v>
      </c>
    </row>
    <row r="193" spans="1:14" x14ac:dyDescent="0.3">
      <c r="A193">
        <v>1988</v>
      </c>
      <c r="B193">
        <v>884</v>
      </c>
      <c r="C193">
        <v>1</v>
      </c>
      <c r="D193" t="s">
        <v>132</v>
      </c>
      <c r="E193">
        <v>1</v>
      </c>
      <c r="F193" s="1">
        <v>42019</v>
      </c>
      <c r="G193" t="s">
        <v>189</v>
      </c>
      <c r="H193" s="2">
        <v>36526.706423611111</v>
      </c>
      <c r="I193">
        <v>10.5</v>
      </c>
      <c r="J193">
        <v>10.5</v>
      </c>
      <c r="K193" t="s">
        <v>198</v>
      </c>
      <c r="L193" t="s">
        <v>14</v>
      </c>
      <c r="M193" t="s">
        <v>15</v>
      </c>
      <c r="N193" t="s">
        <v>16</v>
      </c>
    </row>
    <row r="194" spans="1:14" x14ac:dyDescent="0.3">
      <c r="A194">
        <v>1986</v>
      </c>
      <c r="B194">
        <v>883</v>
      </c>
      <c r="C194">
        <v>0.25</v>
      </c>
      <c r="D194" t="s">
        <v>132</v>
      </c>
      <c r="E194">
        <v>1</v>
      </c>
      <c r="F194" s="1">
        <v>42019</v>
      </c>
      <c r="G194" t="s">
        <v>189</v>
      </c>
      <c r="H194" s="2">
        <v>36526.705613425926</v>
      </c>
      <c r="I194">
        <v>10.5</v>
      </c>
      <c r="J194">
        <v>10.5</v>
      </c>
      <c r="K194" t="s">
        <v>198</v>
      </c>
      <c r="L194" t="s">
        <v>14</v>
      </c>
      <c r="M194" t="s">
        <v>15</v>
      </c>
      <c r="N194" t="s">
        <v>16</v>
      </c>
    </row>
    <row r="195" spans="1:14" x14ac:dyDescent="0.3">
      <c r="A195">
        <v>192</v>
      </c>
      <c r="B195">
        <v>82</v>
      </c>
      <c r="C195">
        <v>0.25</v>
      </c>
      <c r="D195" t="s">
        <v>84</v>
      </c>
      <c r="E195">
        <v>1</v>
      </c>
      <c r="F195" s="1">
        <v>42006</v>
      </c>
      <c r="G195" t="s">
        <v>190</v>
      </c>
      <c r="H195" s="2">
        <v>36526.531840277778</v>
      </c>
      <c r="I195">
        <v>12</v>
      </c>
      <c r="J195">
        <v>12</v>
      </c>
      <c r="K195" t="s">
        <v>198</v>
      </c>
      <c r="L195" t="s">
        <v>14</v>
      </c>
      <c r="M195" t="s">
        <v>85</v>
      </c>
      <c r="N195" t="s">
        <v>86</v>
      </c>
    </row>
    <row r="196" spans="1:14" x14ac:dyDescent="0.3">
      <c r="A196">
        <v>1985</v>
      </c>
      <c r="B196">
        <v>883</v>
      </c>
      <c r="C196">
        <v>0.25</v>
      </c>
      <c r="D196" t="s">
        <v>50</v>
      </c>
      <c r="E196">
        <v>1</v>
      </c>
      <c r="F196" s="1">
        <v>42019</v>
      </c>
      <c r="G196" t="s">
        <v>189</v>
      </c>
      <c r="H196" s="2">
        <v>36526.705613425926</v>
      </c>
      <c r="I196">
        <v>12</v>
      </c>
      <c r="J196">
        <v>12</v>
      </c>
      <c r="K196" t="s">
        <v>198</v>
      </c>
      <c r="L196" t="s">
        <v>14</v>
      </c>
      <c r="M196" t="s">
        <v>18</v>
      </c>
      <c r="N196" t="s">
        <v>19</v>
      </c>
    </row>
    <row r="197" spans="1:14" x14ac:dyDescent="0.3">
      <c r="A197">
        <v>1978</v>
      </c>
      <c r="B197">
        <v>880</v>
      </c>
      <c r="C197">
        <v>0.5</v>
      </c>
      <c r="D197" t="s">
        <v>126</v>
      </c>
      <c r="E197">
        <v>1</v>
      </c>
      <c r="F197" s="1">
        <v>42019</v>
      </c>
      <c r="G197" t="s">
        <v>189</v>
      </c>
      <c r="H197" s="2">
        <v>36526.680162037039</v>
      </c>
      <c r="I197">
        <v>9.75</v>
      </c>
      <c r="J197">
        <v>9.75</v>
      </c>
      <c r="K197" t="s">
        <v>198</v>
      </c>
      <c r="L197" t="s">
        <v>14</v>
      </c>
      <c r="M197" t="s">
        <v>78</v>
      </c>
      <c r="N197" t="s">
        <v>79</v>
      </c>
    </row>
    <row r="198" spans="1:14" x14ac:dyDescent="0.3">
      <c r="A198">
        <v>1977</v>
      </c>
      <c r="B198">
        <v>880</v>
      </c>
      <c r="C198">
        <v>0.5</v>
      </c>
      <c r="D198" t="s">
        <v>77</v>
      </c>
      <c r="E198">
        <v>1</v>
      </c>
      <c r="F198" s="1">
        <v>42019</v>
      </c>
      <c r="G198" t="s">
        <v>189</v>
      </c>
      <c r="H198" s="2">
        <v>36526.680162037039</v>
      </c>
      <c r="I198">
        <v>15.25</v>
      </c>
      <c r="J198">
        <v>15.25</v>
      </c>
      <c r="K198" t="s">
        <v>196</v>
      </c>
      <c r="L198" t="s">
        <v>14</v>
      </c>
      <c r="M198" t="s">
        <v>78</v>
      </c>
      <c r="N198" t="s">
        <v>79</v>
      </c>
    </row>
    <row r="199" spans="1:14" x14ac:dyDescent="0.3">
      <c r="A199">
        <v>1969</v>
      </c>
      <c r="B199">
        <v>876</v>
      </c>
      <c r="C199">
        <v>0.33333333333333331</v>
      </c>
      <c r="D199" t="s">
        <v>132</v>
      </c>
      <c r="E199">
        <v>1</v>
      </c>
      <c r="F199" s="1">
        <v>42019</v>
      </c>
      <c r="G199" t="s">
        <v>189</v>
      </c>
      <c r="H199" s="2">
        <v>36526.643784722219</v>
      </c>
      <c r="I199">
        <v>10.5</v>
      </c>
      <c r="J199">
        <v>10.5</v>
      </c>
      <c r="K199" t="s">
        <v>198</v>
      </c>
      <c r="L199" t="s">
        <v>14</v>
      </c>
      <c r="M199" t="s">
        <v>15</v>
      </c>
      <c r="N199" t="s">
        <v>16</v>
      </c>
    </row>
    <row r="200" spans="1:14" x14ac:dyDescent="0.3">
      <c r="A200">
        <v>197</v>
      </c>
      <c r="B200">
        <v>84</v>
      </c>
      <c r="C200">
        <v>1</v>
      </c>
      <c r="D200" t="s">
        <v>77</v>
      </c>
      <c r="E200">
        <v>1</v>
      </c>
      <c r="F200" s="1">
        <v>42006</v>
      </c>
      <c r="G200" t="s">
        <v>190</v>
      </c>
      <c r="H200" s="2">
        <v>36526.551168981481</v>
      </c>
      <c r="I200">
        <v>15.25</v>
      </c>
      <c r="J200">
        <v>15.25</v>
      </c>
      <c r="K200" t="s">
        <v>196</v>
      </c>
      <c r="L200" t="s">
        <v>14</v>
      </c>
      <c r="M200" t="s">
        <v>78</v>
      </c>
      <c r="N200" t="s">
        <v>79</v>
      </c>
    </row>
    <row r="201" spans="1:14" x14ac:dyDescent="0.3">
      <c r="A201">
        <v>198</v>
      </c>
      <c r="B201">
        <v>85</v>
      </c>
      <c r="C201">
        <v>0.25</v>
      </c>
      <c r="D201" t="s">
        <v>17</v>
      </c>
      <c r="E201">
        <v>1</v>
      </c>
      <c r="F201" s="1">
        <v>42006</v>
      </c>
      <c r="G201" t="s">
        <v>190</v>
      </c>
      <c r="H201" s="2">
        <v>36526.565844907411</v>
      </c>
      <c r="I201">
        <v>16</v>
      </c>
      <c r="J201">
        <v>16</v>
      </c>
      <c r="K201" t="s">
        <v>197</v>
      </c>
      <c r="L201" t="s">
        <v>14</v>
      </c>
      <c r="M201" t="s">
        <v>18</v>
      </c>
      <c r="N201" t="s">
        <v>19</v>
      </c>
    </row>
    <row r="202" spans="1:14" x14ac:dyDescent="0.3">
      <c r="A202">
        <v>199</v>
      </c>
      <c r="B202">
        <v>85</v>
      </c>
      <c r="C202">
        <v>0.25</v>
      </c>
      <c r="D202" t="s">
        <v>50</v>
      </c>
      <c r="E202">
        <v>1</v>
      </c>
      <c r="F202" s="1">
        <v>42006</v>
      </c>
      <c r="G202" t="s">
        <v>190</v>
      </c>
      <c r="H202" s="2">
        <v>36526.565844907411</v>
      </c>
      <c r="I202">
        <v>12</v>
      </c>
      <c r="J202">
        <v>12</v>
      </c>
      <c r="K202" t="s">
        <v>198</v>
      </c>
      <c r="L202" t="s">
        <v>14</v>
      </c>
      <c r="M202" t="s">
        <v>18</v>
      </c>
      <c r="N202" t="s">
        <v>19</v>
      </c>
    </row>
    <row r="203" spans="1:14" x14ac:dyDescent="0.3">
      <c r="A203">
        <v>1966</v>
      </c>
      <c r="B203">
        <v>874</v>
      </c>
      <c r="C203">
        <v>0.5</v>
      </c>
      <c r="D203" t="s">
        <v>143</v>
      </c>
      <c r="E203">
        <v>1</v>
      </c>
      <c r="F203" s="1">
        <v>42019</v>
      </c>
      <c r="G203" t="s">
        <v>189</v>
      </c>
      <c r="H203" s="2">
        <v>36526.639305555553</v>
      </c>
      <c r="I203">
        <v>11</v>
      </c>
      <c r="J203">
        <v>11</v>
      </c>
      <c r="K203" t="s">
        <v>198</v>
      </c>
      <c r="L203" t="s">
        <v>14</v>
      </c>
      <c r="M203" t="s">
        <v>130</v>
      </c>
      <c r="N203" t="s">
        <v>131</v>
      </c>
    </row>
    <row r="204" spans="1:14" x14ac:dyDescent="0.3">
      <c r="A204">
        <v>201</v>
      </c>
      <c r="B204">
        <v>85</v>
      </c>
      <c r="C204">
        <v>0.25</v>
      </c>
      <c r="D204" t="s">
        <v>155</v>
      </c>
      <c r="E204">
        <v>1</v>
      </c>
      <c r="F204" s="1">
        <v>42006</v>
      </c>
      <c r="G204" t="s">
        <v>190</v>
      </c>
      <c r="H204" s="2">
        <v>36526.565844907411</v>
      </c>
      <c r="I204">
        <v>16</v>
      </c>
      <c r="J204">
        <v>16</v>
      </c>
      <c r="K204" t="s">
        <v>197</v>
      </c>
      <c r="L204" t="s">
        <v>14</v>
      </c>
      <c r="M204" t="s">
        <v>45</v>
      </c>
      <c r="N204" t="s">
        <v>46</v>
      </c>
    </row>
    <row r="205" spans="1:14" x14ac:dyDescent="0.3">
      <c r="A205">
        <v>202</v>
      </c>
      <c r="B205">
        <v>86</v>
      </c>
      <c r="C205">
        <v>1</v>
      </c>
      <c r="D205" t="s">
        <v>142</v>
      </c>
      <c r="E205">
        <v>1</v>
      </c>
      <c r="F205" s="1">
        <v>42006</v>
      </c>
      <c r="G205" t="s">
        <v>190</v>
      </c>
      <c r="H205" s="2">
        <v>36526.569803240738</v>
      </c>
      <c r="I205">
        <v>16.5</v>
      </c>
      <c r="J205">
        <v>16.5</v>
      </c>
      <c r="K205" t="s">
        <v>196</v>
      </c>
      <c r="L205" t="s">
        <v>14</v>
      </c>
      <c r="M205" t="s">
        <v>15</v>
      </c>
      <c r="N205" t="s">
        <v>16</v>
      </c>
    </row>
    <row r="206" spans="1:14" x14ac:dyDescent="0.3">
      <c r="A206">
        <v>203</v>
      </c>
      <c r="B206">
        <v>87</v>
      </c>
      <c r="C206">
        <v>0.25</v>
      </c>
      <c r="D206" t="s">
        <v>116</v>
      </c>
      <c r="E206">
        <v>1</v>
      </c>
      <c r="F206" s="1">
        <v>42006</v>
      </c>
      <c r="G206" t="s">
        <v>190</v>
      </c>
      <c r="H206" s="2">
        <v>36526.584050925929</v>
      </c>
      <c r="I206">
        <v>16</v>
      </c>
      <c r="J206">
        <v>16</v>
      </c>
      <c r="K206" t="s">
        <v>197</v>
      </c>
      <c r="L206" t="s">
        <v>14</v>
      </c>
      <c r="M206" t="s">
        <v>55</v>
      </c>
      <c r="N206" t="s">
        <v>56</v>
      </c>
    </row>
    <row r="207" spans="1:14" x14ac:dyDescent="0.3">
      <c r="A207">
        <v>1965</v>
      </c>
      <c r="B207">
        <v>873</v>
      </c>
      <c r="C207">
        <v>1</v>
      </c>
      <c r="D207" t="s">
        <v>119</v>
      </c>
      <c r="E207">
        <v>1</v>
      </c>
      <c r="F207" s="1">
        <v>42019</v>
      </c>
      <c r="G207" t="s">
        <v>189</v>
      </c>
      <c r="H207" s="2">
        <v>36526.629340277781</v>
      </c>
      <c r="I207">
        <v>12.5</v>
      </c>
      <c r="J207">
        <v>12.5</v>
      </c>
      <c r="K207" t="s">
        <v>197</v>
      </c>
      <c r="L207" t="s">
        <v>14</v>
      </c>
      <c r="M207" t="s">
        <v>78</v>
      </c>
      <c r="N207" t="s">
        <v>79</v>
      </c>
    </row>
    <row r="208" spans="1:14" x14ac:dyDescent="0.3">
      <c r="A208">
        <v>1957</v>
      </c>
      <c r="B208">
        <v>867</v>
      </c>
      <c r="C208">
        <v>0.5</v>
      </c>
      <c r="D208" t="s">
        <v>132</v>
      </c>
      <c r="E208">
        <v>1</v>
      </c>
      <c r="F208" s="1">
        <v>42019</v>
      </c>
      <c r="G208" t="s">
        <v>189</v>
      </c>
      <c r="H208" s="2">
        <v>36526.596851851849</v>
      </c>
      <c r="I208">
        <v>10.5</v>
      </c>
      <c r="J208">
        <v>10.5</v>
      </c>
      <c r="K208" t="s">
        <v>198</v>
      </c>
      <c r="L208" t="s">
        <v>14</v>
      </c>
      <c r="M208" t="s">
        <v>15</v>
      </c>
      <c r="N208" t="s">
        <v>16</v>
      </c>
    </row>
    <row r="209" spans="1:14" x14ac:dyDescent="0.3">
      <c r="A209">
        <v>1956</v>
      </c>
      <c r="B209">
        <v>867</v>
      </c>
      <c r="C209">
        <v>0.5</v>
      </c>
      <c r="D209" t="s">
        <v>142</v>
      </c>
      <c r="E209">
        <v>1</v>
      </c>
      <c r="F209" s="1">
        <v>42019</v>
      </c>
      <c r="G209" t="s">
        <v>189</v>
      </c>
      <c r="H209" s="2">
        <v>36526.596851851849</v>
      </c>
      <c r="I209">
        <v>16.5</v>
      </c>
      <c r="J209">
        <v>16.5</v>
      </c>
      <c r="K209" t="s">
        <v>196</v>
      </c>
      <c r="L209" t="s">
        <v>14</v>
      </c>
      <c r="M209" t="s">
        <v>15</v>
      </c>
      <c r="N209" t="s">
        <v>16</v>
      </c>
    </row>
    <row r="210" spans="1:14" x14ac:dyDescent="0.3">
      <c r="A210">
        <v>1954</v>
      </c>
      <c r="B210">
        <v>865</v>
      </c>
      <c r="C210">
        <v>1</v>
      </c>
      <c r="D210" t="s">
        <v>50</v>
      </c>
      <c r="E210">
        <v>1</v>
      </c>
      <c r="F210" s="1">
        <v>42019</v>
      </c>
      <c r="G210" t="s">
        <v>189</v>
      </c>
      <c r="H210" s="2">
        <v>36526.590277777781</v>
      </c>
      <c r="I210">
        <v>12</v>
      </c>
      <c r="J210">
        <v>12</v>
      </c>
      <c r="K210" t="s">
        <v>198</v>
      </c>
      <c r="L210" t="s">
        <v>14</v>
      </c>
      <c r="M210" t="s">
        <v>18</v>
      </c>
      <c r="N210" t="s">
        <v>19</v>
      </c>
    </row>
    <row r="211" spans="1:14" x14ac:dyDescent="0.3">
      <c r="A211">
        <v>1952</v>
      </c>
      <c r="B211">
        <v>864</v>
      </c>
      <c r="C211">
        <v>0.1111111111111111</v>
      </c>
      <c r="D211" t="s">
        <v>155</v>
      </c>
      <c r="E211">
        <v>1</v>
      </c>
      <c r="F211" s="1">
        <v>42019</v>
      </c>
      <c r="G211" t="s">
        <v>189</v>
      </c>
      <c r="H211" s="2">
        <v>36526.586377314816</v>
      </c>
      <c r="I211">
        <v>16</v>
      </c>
      <c r="J211">
        <v>16</v>
      </c>
      <c r="K211" t="s">
        <v>197</v>
      </c>
      <c r="L211" t="s">
        <v>14</v>
      </c>
      <c r="M211" t="s">
        <v>45</v>
      </c>
      <c r="N211" t="s">
        <v>46</v>
      </c>
    </row>
    <row r="212" spans="1:14" x14ac:dyDescent="0.3">
      <c r="A212">
        <v>1946</v>
      </c>
      <c r="B212">
        <v>864</v>
      </c>
      <c r="C212">
        <v>0.1111111111111111</v>
      </c>
      <c r="D212" t="s">
        <v>132</v>
      </c>
      <c r="E212">
        <v>1</v>
      </c>
      <c r="F212" s="1">
        <v>42019</v>
      </c>
      <c r="G212" t="s">
        <v>189</v>
      </c>
      <c r="H212" s="2">
        <v>36526.586377314816</v>
      </c>
      <c r="I212">
        <v>10.5</v>
      </c>
      <c r="J212">
        <v>10.5</v>
      </c>
      <c r="K212" t="s">
        <v>198</v>
      </c>
      <c r="L212" t="s">
        <v>14</v>
      </c>
      <c r="M212" t="s">
        <v>15</v>
      </c>
      <c r="N212" t="s">
        <v>16</v>
      </c>
    </row>
    <row r="213" spans="1:14" x14ac:dyDescent="0.3">
      <c r="A213">
        <v>1945</v>
      </c>
      <c r="B213">
        <v>864</v>
      </c>
      <c r="C213">
        <v>0.1111111111111111</v>
      </c>
      <c r="D213" t="s">
        <v>84</v>
      </c>
      <c r="E213">
        <v>1</v>
      </c>
      <c r="F213" s="1">
        <v>42019</v>
      </c>
      <c r="G213" t="s">
        <v>189</v>
      </c>
      <c r="H213" s="2">
        <v>36526.586377314816</v>
      </c>
      <c r="I213">
        <v>12</v>
      </c>
      <c r="J213">
        <v>12</v>
      </c>
      <c r="K213" t="s">
        <v>198</v>
      </c>
      <c r="L213" t="s">
        <v>14</v>
      </c>
      <c r="M213" t="s">
        <v>85</v>
      </c>
      <c r="N213" t="s">
        <v>86</v>
      </c>
    </row>
    <row r="214" spans="1:14" x14ac:dyDescent="0.3">
      <c r="A214">
        <v>1939</v>
      </c>
      <c r="B214">
        <v>859</v>
      </c>
      <c r="C214">
        <v>0.25</v>
      </c>
      <c r="D214" t="s">
        <v>170</v>
      </c>
      <c r="E214">
        <v>1</v>
      </c>
      <c r="F214" s="1">
        <v>42019</v>
      </c>
      <c r="G214" t="s">
        <v>189</v>
      </c>
      <c r="H214" s="2">
        <v>36526.545289351852</v>
      </c>
      <c r="I214">
        <v>20.5</v>
      </c>
      <c r="J214">
        <v>20.5</v>
      </c>
      <c r="K214" t="s">
        <v>196</v>
      </c>
      <c r="L214" t="s">
        <v>14</v>
      </c>
      <c r="M214" t="s">
        <v>45</v>
      </c>
      <c r="N214" t="s">
        <v>46</v>
      </c>
    </row>
    <row r="215" spans="1:14" x14ac:dyDescent="0.3">
      <c r="A215">
        <v>1936</v>
      </c>
      <c r="B215">
        <v>859</v>
      </c>
      <c r="C215">
        <v>0.25</v>
      </c>
      <c r="D215" t="s">
        <v>84</v>
      </c>
      <c r="E215">
        <v>1</v>
      </c>
      <c r="F215" s="1">
        <v>42019</v>
      </c>
      <c r="G215" t="s">
        <v>189</v>
      </c>
      <c r="H215" s="2">
        <v>36526.545289351852</v>
      </c>
      <c r="I215">
        <v>12</v>
      </c>
      <c r="J215">
        <v>12</v>
      </c>
      <c r="K215" t="s">
        <v>198</v>
      </c>
      <c r="L215" t="s">
        <v>14</v>
      </c>
      <c r="M215" t="s">
        <v>85</v>
      </c>
      <c r="N215" t="s">
        <v>86</v>
      </c>
    </row>
    <row r="216" spans="1:14" x14ac:dyDescent="0.3">
      <c r="A216">
        <v>1932</v>
      </c>
      <c r="B216">
        <v>857</v>
      </c>
      <c r="C216">
        <v>1</v>
      </c>
      <c r="D216" t="s">
        <v>93</v>
      </c>
      <c r="E216">
        <v>1</v>
      </c>
      <c r="F216" s="1">
        <v>42019</v>
      </c>
      <c r="G216" t="s">
        <v>189</v>
      </c>
      <c r="H216" s="2">
        <v>36526.542974537035</v>
      </c>
      <c r="I216">
        <v>12</v>
      </c>
      <c r="J216">
        <v>12</v>
      </c>
      <c r="K216" t="s">
        <v>198</v>
      </c>
      <c r="L216" t="s">
        <v>14</v>
      </c>
      <c r="M216" t="s">
        <v>94</v>
      </c>
      <c r="N216" t="s">
        <v>95</v>
      </c>
    </row>
    <row r="217" spans="1:14" x14ac:dyDescent="0.3">
      <c r="A217">
        <v>214</v>
      </c>
      <c r="B217">
        <v>91</v>
      </c>
      <c r="C217">
        <v>0.33333333333333331</v>
      </c>
      <c r="D217" t="s">
        <v>126</v>
      </c>
      <c r="E217">
        <v>1</v>
      </c>
      <c r="F217" s="1">
        <v>42006</v>
      </c>
      <c r="G217" t="s">
        <v>190</v>
      </c>
      <c r="H217" s="2">
        <v>36526.63521990741</v>
      </c>
      <c r="I217">
        <v>9.75</v>
      </c>
      <c r="J217">
        <v>9.75</v>
      </c>
      <c r="K217" t="s">
        <v>198</v>
      </c>
      <c r="L217" t="s">
        <v>14</v>
      </c>
      <c r="M217" t="s">
        <v>78</v>
      </c>
      <c r="N217" t="s">
        <v>79</v>
      </c>
    </row>
    <row r="218" spans="1:14" x14ac:dyDescent="0.3">
      <c r="A218">
        <v>1924</v>
      </c>
      <c r="B218">
        <v>854</v>
      </c>
      <c r="C218">
        <v>0.5</v>
      </c>
      <c r="D218" t="s">
        <v>126</v>
      </c>
      <c r="E218">
        <v>1</v>
      </c>
      <c r="F218" s="1">
        <v>42019</v>
      </c>
      <c r="G218" t="s">
        <v>189</v>
      </c>
      <c r="H218" s="2">
        <v>36526.535636574074</v>
      </c>
      <c r="I218">
        <v>9.75</v>
      </c>
      <c r="J218">
        <v>9.75</v>
      </c>
      <c r="K218" t="s">
        <v>198</v>
      </c>
      <c r="L218" t="s">
        <v>14</v>
      </c>
      <c r="M218" t="s">
        <v>78</v>
      </c>
      <c r="N218" t="s">
        <v>79</v>
      </c>
    </row>
    <row r="219" spans="1:14" x14ac:dyDescent="0.3">
      <c r="A219">
        <v>1923</v>
      </c>
      <c r="B219">
        <v>853</v>
      </c>
      <c r="C219">
        <v>1</v>
      </c>
      <c r="D219" t="s">
        <v>119</v>
      </c>
      <c r="E219">
        <v>1</v>
      </c>
      <c r="F219" s="1">
        <v>42019</v>
      </c>
      <c r="G219" t="s">
        <v>189</v>
      </c>
      <c r="H219" s="2">
        <v>36526.525451388887</v>
      </c>
      <c r="I219">
        <v>12.5</v>
      </c>
      <c r="J219">
        <v>12.5</v>
      </c>
      <c r="K219" t="s">
        <v>197</v>
      </c>
      <c r="L219" t="s">
        <v>14</v>
      </c>
      <c r="M219" t="s">
        <v>78</v>
      </c>
      <c r="N219" t="s">
        <v>79</v>
      </c>
    </row>
    <row r="220" spans="1:14" x14ac:dyDescent="0.3">
      <c r="A220">
        <v>1914</v>
      </c>
      <c r="B220">
        <v>849</v>
      </c>
      <c r="C220">
        <v>0.25</v>
      </c>
      <c r="D220" t="s">
        <v>17</v>
      </c>
      <c r="E220">
        <v>1</v>
      </c>
      <c r="F220" s="1">
        <v>42019</v>
      </c>
      <c r="G220" t="s">
        <v>189</v>
      </c>
      <c r="H220" s="2">
        <v>36526.505902777775</v>
      </c>
      <c r="I220">
        <v>16</v>
      </c>
      <c r="J220">
        <v>16</v>
      </c>
      <c r="K220" t="s">
        <v>197</v>
      </c>
      <c r="L220" t="s">
        <v>14</v>
      </c>
      <c r="M220" t="s">
        <v>18</v>
      </c>
      <c r="N220" t="s">
        <v>19</v>
      </c>
    </row>
    <row r="221" spans="1:14" x14ac:dyDescent="0.3">
      <c r="A221">
        <v>1913</v>
      </c>
      <c r="B221">
        <v>848</v>
      </c>
      <c r="C221">
        <v>1</v>
      </c>
      <c r="D221" t="s">
        <v>84</v>
      </c>
      <c r="E221">
        <v>1</v>
      </c>
      <c r="F221" s="1">
        <v>42019</v>
      </c>
      <c r="G221" t="s">
        <v>189</v>
      </c>
      <c r="H221" s="2">
        <v>36526.497754629629</v>
      </c>
      <c r="I221">
        <v>12</v>
      </c>
      <c r="J221">
        <v>12</v>
      </c>
      <c r="K221" t="s">
        <v>198</v>
      </c>
      <c r="L221" t="s">
        <v>14</v>
      </c>
      <c r="M221" t="s">
        <v>85</v>
      </c>
      <c r="N221" t="s">
        <v>86</v>
      </c>
    </row>
    <row r="222" spans="1:14" x14ac:dyDescent="0.3">
      <c r="A222">
        <v>219</v>
      </c>
      <c r="B222">
        <v>92</v>
      </c>
      <c r="C222">
        <v>0.1111111111111111</v>
      </c>
      <c r="D222" t="s">
        <v>119</v>
      </c>
      <c r="E222">
        <v>1</v>
      </c>
      <c r="F222" s="1">
        <v>42006</v>
      </c>
      <c r="G222" t="s">
        <v>190</v>
      </c>
      <c r="H222" s="2">
        <v>36526.636828703704</v>
      </c>
      <c r="I222">
        <v>12.5</v>
      </c>
      <c r="J222">
        <v>12.5</v>
      </c>
      <c r="K222" t="s">
        <v>197</v>
      </c>
      <c r="L222" t="s">
        <v>14</v>
      </c>
      <c r="M222" t="s">
        <v>78</v>
      </c>
      <c r="N222" t="s">
        <v>79</v>
      </c>
    </row>
    <row r="223" spans="1:14" x14ac:dyDescent="0.3">
      <c r="A223">
        <v>1912</v>
      </c>
      <c r="B223">
        <v>847</v>
      </c>
      <c r="C223">
        <v>1</v>
      </c>
      <c r="D223" t="s">
        <v>119</v>
      </c>
      <c r="E223">
        <v>1</v>
      </c>
      <c r="F223" s="1">
        <v>42019</v>
      </c>
      <c r="G223" t="s">
        <v>189</v>
      </c>
      <c r="H223" s="2">
        <v>36526.4840625</v>
      </c>
      <c r="I223">
        <v>12.5</v>
      </c>
      <c r="J223">
        <v>12.5</v>
      </c>
      <c r="K223" t="s">
        <v>197</v>
      </c>
      <c r="L223" t="s">
        <v>14</v>
      </c>
      <c r="M223" t="s">
        <v>78</v>
      </c>
      <c r="N223" t="s">
        <v>79</v>
      </c>
    </row>
    <row r="224" spans="1:14" x14ac:dyDescent="0.3">
      <c r="A224">
        <v>1906</v>
      </c>
      <c r="B224">
        <v>845</v>
      </c>
      <c r="C224">
        <v>0.25</v>
      </c>
      <c r="D224" t="s">
        <v>138</v>
      </c>
      <c r="E224">
        <v>1</v>
      </c>
      <c r="F224" s="1">
        <v>42018</v>
      </c>
      <c r="G224" t="s">
        <v>188</v>
      </c>
      <c r="H224" s="2">
        <v>36526.904814814814</v>
      </c>
      <c r="I224">
        <v>20.5</v>
      </c>
      <c r="J224">
        <v>20.5</v>
      </c>
      <c r="K224" t="s">
        <v>196</v>
      </c>
      <c r="L224" t="s">
        <v>14</v>
      </c>
      <c r="M224" t="s">
        <v>18</v>
      </c>
      <c r="N224" t="s">
        <v>19</v>
      </c>
    </row>
    <row r="225" spans="1:14" x14ac:dyDescent="0.3">
      <c r="A225">
        <v>1893</v>
      </c>
      <c r="B225">
        <v>836</v>
      </c>
      <c r="C225">
        <v>0.25</v>
      </c>
      <c r="D225" t="s">
        <v>140</v>
      </c>
      <c r="E225">
        <v>1</v>
      </c>
      <c r="F225" s="1">
        <v>42018</v>
      </c>
      <c r="G225" t="s">
        <v>188</v>
      </c>
      <c r="H225" s="2">
        <v>36526.83898148148</v>
      </c>
      <c r="I225">
        <v>25.5</v>
      </c>
      <c r="J225">
        <v>25.5</v>
      </c>
      <c r="K225" t="s">
        <v>199</v>
      </c>
      <c r="L225" t="s">
        <v>14</v>
      </c>
      <c r="M225" t="s">
        <v>45</v>
      </c>
      <c r="N225" t="s">
        <v>46</v>
      </c>
    </row>
    <row r="226" spans="1:14" x14ac:dyDescent="0.3">
      <c r="A226">
        <v>223</v>
      </c>
      <c r="B226">
        <v>92</v>
      </c>
      <c r="C226">
        <v>0.1111111111111111</v>
      </c>
      <c r="D226" t="s">
        <v>155</v>
      </c>
      <c r="E226">
        <v>2</v>
      </c>
      <c r="F226" s="1">
        <v>42006</v>
      </c>
      <c r="G226" t="s">
        <v>190</v>
      </c>
      <c r="H226" s="2">
        <v>36526.636828703704</v>
      </c>
      <c r="I226">
        <v>16</v>
      </c>
      <c r="J226">
        <v>32</v>
      </c>
      <c r="K226" t="s">
        <v>197</v>
      </c>
      <c r="L226" t="s">
        <v>14</v>
      </c>
      <c r="M226" t="s">
        <v>45</v>
      </c>
      <c r="N226" t="s">
        <v>46</v>
      </c>
    </row>
    <row r="227" spans="1:14" x14ac:dyDescent="0.3">
      <c r="A227">
        <v>1892</v>
      </c>
      <c r="B227">
        <v>836</v>
      </c>
      <c r="C227">
        <v>0.25</v>
      </c>
      <c r="D227" t="s">
        <v>132</v>
      </c>
      <c r="E227">
        <v>1</v>
      </c>
      <c r="F227" s="1">
        <v>42018</v>
      </c>
      <c r="G227" t="s">
        <v>188</v>
      </c>
      <c r="H227" s="2">
        <v>36526.83898148148</v>
      </c>
      <c r="I227">
        <v>10.5</v>
      </c>
      <c r="J227">
        <v>10.5</v>
      </c>
      <c r="K227" t="s">
        <v>198</v>
      </c>
      <c r="L227" t="s">
        <v>14</v>
      </c>
      <c r="M227" t="s">
        <v>15</v>
      </c>
      <c r="N227" t="s">
        <v>16</v>
      </c>
    </row>
    <row r="228" spans="1:14" x14ac:dyDescent="0.3">
      <c r="A228">
        <v>225</v>
      </c>
      <c r="B228">
        <v>94</v>
      </c>
      <c r="C228">
        <v>0.5</v>
      </c>
      <c r="D228" t="s">
        <v>116</v>
      </c>
      <c r="E228">
        <v>1</v>
      </c>
      <c r="F228" s="1">
        <v>42006</v>
      </c>
      <c r="G228" t="s">
        <v>190</v>
      </c>
      <c r="H228" s="2">
        <v>36526.678657407407</v>
      </c>
      <c r="I228">
        <v>16</v>
      </c>
      <c r="J228">
        <v>16</v>
      </c>
      <c r="K228" t="s">
        <v>197</v>
      </c>
      <c r="L228" t="s">
        <v>14</v>
      </c>
      <c r="M228" t="s">
        <v>55</v>
      </c>
      <c r="N228" t="s">
        <v>56</v>
      </c>
    </row>
    <row r="229" spans="1:14" x14ac:dyDescent="0.3">
      <c r="A229">
        <v>1888</v>
      </c>
      <c r="B229">
        <v>835</v>
      </c>
      <c r="C229">
        <v>0.25</v>
      </c>
      <c r="D229" t="s">
        <v>119</v>
      </c>
      <c r="E229">
        <v>1</v>
      </c>
      <c r="F229" s="1">
        <v>42018</v>
      </c>
      <c r="G229" t="s">
        <v>188</v>
      </c>
      <c r="H229" s="2">
        <v>36526.830567129633</v>
      </c>
      <c r="I229">
        <v>12.5</v>
      </c>
      <c r="J229">
        <v>12.5</v>
      </c>
      <c r="K229" t="s">
        <v>197</v>
      </c>
      <c r="L229" t="s">
        <v>14</v>
      </c>
      <c r="M229" t="s">
        <v>78</v>
      </c>
      <c r="N229" t="s">
        <v>79</v>
      </c>
    </row>
    <row r="230" spans="1:14" x14ac:dyDescent="0.3">
      <c r="A230">
        <v>227</v>
      </c>
      <c r="B230">
        <v>95</v>
      </c>
      <c r="C230">
        <v>0.5</v>
      </c>
      <c r="D230" t="s">
        <v>93</v>
      </c>
      <c r="E230">
        <v>1</v>
      </c>
      <c r="F230" s="1">
        <v>42006</v>
      </c>
      <c r="G230" t="s">
        <v>190</v>
      </c>
      <c r="H230" s="2">
        <v>36526.679212962961</v>
      </c>
      <c r="I230">
        <v>12</v>
      </c>
      <c r="J230">
        <v>12</v>
      </c>
      <c r="K230" t="s">
        <v>198</v>
      </c>
      <c r="L230" t="s">
        <v>14</v>
      </c>
      <c r="M230" t="s">
        <v>94</v>
      </c>
      <c r="N230" t="s">
        <v>95</v>
      </c>
    </row>
    <row r="231" spans="1:14" x14ac:dyDescent="0.3">
      <c r="A231">
        <v>1883</v>
      </c>
      <c r="B231">
        <v>834</v>
      </c>
      <c r="C231">
        <v>0.25</v>
      </c>
      <c r="D231" t="s">
        <v>126</v>
      </c>
      <c r="E231">
        <v>1</v>
      </c>
      <c r="F231" s="1">
        <v>42018</v>
      </c>
      <c r="G231" t="s">
        <v>188</v>
      </c>
      <c r="H231" s="2">
        <v>36526.809212962966</v>
      </c>
      <c r="I231">
        <v>9.75</v>
      </c>
      <c r="J231">
        <v>9.75</v>
      </c>
      <c r="K231" t="s">
        <v>198</v>
      </c>
      <c r="L231" t="s">
        <v>14</v>
      </c>
      <c r="M231" t="s">
        <v>78</v>
      </c>
      <c r="N231" t="s">
        <v>79</v>
      </c>
    </row>
    <row r="232" spans="1:14" x14ac:dyDescent="0.3">
      <c r="A232">
        <v>229</v>
      </c>
      <c r="B232">
        <v>96</v>
      </c>
      <c r="C232">
        <v>1</v>
      </c>
      <c r="D232" t="s">
        <v>93</v>
      </c>
      <c r="E232">
        <v>1</v>
      </c>
      <c r="F232" s="1">
        <v>42006</v>
      </c>
      <c r="G232" t="s">
        <v>190</v>
      </c>
      <c r="H232" s="2">
        <v>36526.681481481479</v>
      </c>
      <c r="I232">
        <v>12</v>
      </c>
      <c r="J232">
        <v>12</v>
      </c>
      <c r="K232" t="s">
        <v>198</v>
      </c>
      <c r="L232" t="s">
        <v>14</v>
      </c>
      <c r="M232" t="s">
        <v>94</v>
      </c>
      <c r="N232" t="s">
        <v>95</v>
      </c>
    </row>
    <row r="233" spans="1:14" x14ac:dyDescent="0.3">
      <c r="A233">
        <v>230</v>
      </c>
      <c r="B233">
        <v>97</v>
      </c>
      <c r="C233">
        <v>1</v>
      </c>
      <c r="D233" t="s">
        <v>84</v>
      </c>
      <c r="E233">
        <v>1</v>
      </c>
      <c r="F233" s="1">
        <v>42006</v>
      </c>
      <c r="G233" t="s">
        <v>190</v>
      </c>
      <c r="H233" s="2">
        <v>36526.698298611111</v>
      </c>
      <c r="I233">
        <v>12</v>
      </c>
      <c r="J233">
        <v>12</v>
      </c>
      <c r="K233" t="s">
        <v>198</v>
      </c>
      <c r="L233" t="s">
        <v>14</v>
      </c>
      <c r="M233" t="s">
        <v>85</v>
      </c>
      <c r="N233" t="s">
        <v>86</v>
      </c>
    </row>
    <row r="234" spans="1:14" x14ac:dyDescent="0.3">
      <c r="A234">
        <v>231</v>
      </c>
      <c r="B234">
        <v>98</v>
      </c>
      <c r="C234">
        <v>0.5</v>
      </c>
      <c r="D234" t="s">
        <v>138</v>
      </c>
      <c r="E234">
        <v>1</v>
      </c>
      <c r="F234" s="1">
        <v>42006</v>
      </c>
      <c r="G234" t="s">
        <v>190</v>
      </c>
      <c r="H234" s="2">
        <v>36526.721041666664</v>
      </c>
      <c r="I234">
        <v>20.5</v>
      </c>
      <c r="J234">
        <v>20.5</v>
      </c>
      <c r="K234" t="s">
        <v>196</v>
      </c>
      <c r="L234" t="s">
        <v>14</v>
      </c>
      <c r="M234" t="s">
        <v>18</v>
      </c>
      <c r="N234" t="s">
        <v>19</v>
      </c>
    </row>
    <row r="235" spans="1:14" x14ac:dyDescent="0.3">
      <c r="A235">
        <v>232</v>
      </c>
      <c r="B235">
        <v>98</v>
      </c>
      <c r="C235">
        <v>0.5</v>
      </c>
      <c r="D235" t="s">
        <v>112</v>
      </c>
      <c r="E235">
        <v>1</v>
      </c>
      <c r="F235" s="1">
        <v>42006</v>
      </c>
      <c r="G235" t="s">
        <v>190</v>
      </c>
      <c r="H235" s="2">
        <v>36526.721041666664</v>
      </c>
      <c r="I235">
        <v>20.5</v>
      </c>
      <c r="J235">
        <v>20.5</v>
      </c>
      <c r="K235" t="s">
        <v>196</v>
      </c>
      <c r="L235" t="s">
        <v>14</v>
      </c>
      <c r="M235" t="s">
        <v>94</v>
      </c>
      <c r="N235" t="s">
        <v>95</v>
      </c>
    </row>
    <row r="236" spans="1:14" x14ac:dyDescent="0.3">
      <c r="A236">
        <v>1881</v>
      </c>
      <c r="B236">
        <v>833</v>
      </c>
      <c r="C236">
        <v>0.5</v>
      </c>
      <c r="D236" t="s">
        <v>93</v>
      </c>
      <c r="E236">
        <v>1</v>
      </c>
      <c r="F236" s="1">
        <v>42018</v>
      </c>
      <c r="G236" t="s">
        <v>188</v>
      </c>
      <c r="H236" s="2">
        <v>36526.797048611108</v>
      </c>
      <c r="I236">
        <v>12</v>
      </c>
      <c r="J236">
        <v>12</v>
      </c>
      <c r="K236" t="s">
        <v>198</v>
      </c>
      <c r="L236" t="s">
        <v>14</v>
      </c>
      <c r="M236" t="s">
        <v>94</v>
      </c>
      <c r="N236" t="s">
        <v>95</v>
      </c>
    </row>
    <row r="237" spans="1:14" x14ac:dyDescent="0.3">
      <c r="A237">
        <v>234</v>
      </c>
      <c r="B237">
        <v>100</v>
      </c>
      <c r="C237">
        <v>1</v>
      </c>
      <c r="D237" t="s">
        <v>142</v>
      </c>
      <c r="E237">
        <v>1</v>
      </c>
      <c r="F237" s="1">
        <v>42006</v>
      </c>
      <c r="G237" t="s">
        <v>190</v>
      </c>
      <c r="H237" s="2">
        <v>36526.740474537037</v>
      </c>
      <c r="I237">
        <v>16.5</v>
      </c>
      <c r="J237">
        <v>16.5</v>
      </c>
      <c r="K237" t="s">
        <v>196</v>
      </c>
      <c r="L237" t="s">
        <v>14</v>
      </c>
      <c r="M237" t="s">
        <v>15</v>
      </c>
      <c r="N237" t="s">
        <v>16</v>
      </c>
    </row>
    <row r="238" spans="1:14" x14ac:dyDescent="0.3">
      <c r="A238">
        <v>1880</v>
      </c>
      <c r="B238">
        <v>833</v>
      </c>
      <c r="C238">
        <v>0.5</v>
      </c>
      <c r="D238" t="s">
        <v>84</v>
      </c>
      <c r="E238">
        <v>1</v>
      </c>
      <c r="F238" s="1">
        <v>42018</v>
      </c>
      <c r="G238" t="s">
        <v>188</v>
      </c>
      <c r="H238" s="2">
        <v>36526.797048611108</v>
      </c>
      <c r="I238">
        <v>12</v>
      </c>
      <c r="J238">
        <v>12</v>
      </c>
      <c r="K238" t="s">
        <v>198</v>
      </c>
      <c r="L238" t="s">
        <v>14</v>
      </c>
      <c r="M238" t="s">
        <v>85</v>
      </c>
      <c r="N238" t="s">
        <v>86</v>
      </c>
    </row>
    <row r="239" spans="1:14" x14ac:dyDescent="0.3">
      <c r="A239">
        <v>236</v>
      </c>
      <c r="B239">
        <v>101</v>
      </c>
      <c r="C239">
        <v>0.25</v>
      </c>
      <c r="D239" t="s">
        <v>77</v>
      </c>
      <c r="E239">
        <v>1</v>
      </c>
      <c r="F239" s="1">
        <v>42006</v>
      </c>
      <c r="G239" t="s">
        <v>190</v>
      </c>
      <c r="H239" s="2">
        <v>36526.744131944448</v>
      </c>
      <c r="I239">
        <v>15.25</v>
      </c>
      <c r="J239">
        <v>15.25</v>
      </c>
      <c r="K239" t="s">
        <v>196</v>
      </c>
      <c r="L239" t="s">
        <v>14</v>
      </c>
      <c r="M239" t="s">
        <v>78</v>
      </c>
      <c r="N239" t="s">
        <v>79</v>
      </c>
    </row>
    <row r="240" spans="1:14" x14ac:dyDescent="0.3">
      <c r="A240">
        <v>1879</v>
      </c>
      <c r="B240">
        <v>832</v>
      </c>
      <c r="C240">
        <v>1</v>
      </c>
      <c r="D240" t="s">
        <v>142</v>
      </c>
      <c r="E240">
        <v>1</v>
      </c>
      <c r="F240" s="1">
        <v>42018</v>
      </c>
      <c r="G240" t="s">
        <v>188</v>
      </c>
      <c r="H240" s="2">
        <v>36526.782708333332</v>
      </c>
      <c r="I240">
        <v>16.5</v>
      </c>
      <c r="J240">
        <v>16.5</v>
      </c>
      <c r="K240" t="s">
        <v>196</v>
      </c>
      <c r="L240" t="s">
        <v>14</v>
      </c>
      <c r="M240" t="s">
        <v>15</v>
      </c>
      <c r="N240" t="s">
        <v>16</v>
      </c>
    </row>
    <row r="241" spans="1:14" x14ac:dyDescent="0.3">
      <c r="A241">
        <v>1878</v>
      </c>
      <c r="B241">
        <v>831</v>
      </c>
      <c r="C241">
        <v>0.25</v>
      </c>
      <c r="D241" t="s">
        <v>17</v>
      </c>
      <c r="E241">
        <v>1</v>
      </c>
      <c r="F241" s="1">
        <v>42018</v>
      </c>
      <c r="G241" t="s">
        <v>188</v>
      </c>
      <c r="H241" s="2">
        <v>36526.776620370372</v>
      </c>
      <c r="I241">
        <v>16</v>
      </c>
      <c r="J241">
        <v>16</v>
      </c>
      <c r="K241" t="s">
        <v>197</v>
      </c>
      <c r="L241" t="s">
        <v>14</v>
      </c>
      <c r="M241" t="s">
        <v>18</v>
      </c>
      <c r="N241" t="s">
        <v>19</v>
      </c>
    </row>
    <row r="242" spans="1:14" x14ac:dyDescent="0.3">
      <c r="A242">
        <v>1874</v>
      </c>
      <c r="B242">
        <v>830</v>
      </c>
      <c r="C242">
        <v>0.33333333333333331</v>
      </c>
      <c r="D242" t="s">
        <v>119</v>
      </c>
      <c r="E242">
        <v>1</v>
      </c>
      <c r="F242" s="1">
        <v>42018</v>
      </c>
      <c r="G242" t="s">
        <v>188</v>
      </c>
      <c r="H242" s="2">
        <v>36526.776585648149</v>
      </c>
      <c r="I242">
        <v>12.5</v>
      </c>
      <c r="J242">
        <v>12.5</v>
      </c>
      <c r="K242" t="s">
        <v>197</v>
      </c>
      <c r="L242" t="s">
        <v>14</v>
      </c>
      <c r="M242" t="s">
        <v>78</v>
      </c>
      <c r="N242" t="s">
        <v>79</v>
      </c>
    </row>
    <row r="243" spans="1:14" x14ac:dyDescent="0.3">
      <c r="A243">
        <v>1872</v>
      </c>
      <c r="B243">
        <v>830</v>
      </c>
      <c r="C243">
        <v>0.33333333333333331</v>
      </c>
      <c r="D243" t="s">
        <v>12</v>
      </c>
      <c r="E243">
        <v>1</v>
      </c>
      <c r="F243" s="1">
        <v>42018</v>
      </c>
      <c r="G243" t="s">
        <v>188</v>
      </c>
      <c r="H243" s="2">
        <v>36526.776585648149</v>
      </c>
      <c r="I243">
        <v>13.25</v>
      </c>
      <c r="J243">
        <v>13.25</v>
      </c>
      <c r="K243" t="s">
        <v>197</v>
      </c>
      <c r="L243" t="s">
        <v>14</v>
      </c>
      <c r="M243" t="s">
        <v>15</v>
      </c>
      <c r="N243" t="s">
        <v>16</v>
      </c>
    </row>
    <row r="244" spans="1:14" x14ac:dyDescent="0.3">
      <c r="A244">
        <v>1868</v>
      </c>
      <c r="B244">
        <v>829</v>
      </c>
      <c r="C244">
        <v>0.25</v>
      </c>
      <c r="D244" t="s">
        <v>163</v>
      </c>
      <c r="E244">
        <v>1</v>
      </c>
      <c r="F244" s="1">
        <v>42018</v>
      </c>
      <c r="G244" t="s">
        <v>188</v>
      </c>
      <c r="H244" s="2">
        <v>36526.769236111111</v>
      </c>
      <c r="I244">
        <v>16</v>
      </c>
      <c r="J244">
        <v>16</v>
      </c>
      <c r="K244" t="s">
        <v>197</v>
      </c>
      <c r="L244" t="s">
        <v>14</v>
      </c>
      <c r="M244" t="s">
        <v>94</v>
      </c>
      <c r="N244" t="s">
        <v>95</v>
      </c>
    </row>
    <row r="245" spans="1:14" x14ac:dyDescent="0.3">
      <c r="A245">
        <v>1865</v>
      </c>
      <c r="B245">
        <v>827</v>
      </c>
      <c r="C245">
        <v>0.5</v>
      </c>
      <c r="D245" t="s">
        <v>112</v>
      </c>
      <c r="E245">
        <v>1</v>
      </c>
      <c r="F245" s="1">
        <v>42018</v>
      </c>
      <c r="G245" t="s">
        <v>188</v>
      </c>
      <c r="H245" s="2">
        <v>36526.756805555553</v>
      </c>
      <c r="I245">
        <v>20.5</v>
      </c>
      <c r="J245">
        <v>20.5</v>
      </c>
      <c r="K245" t="s">
        <v>196</v>
      </c>
      <c r="L245" t="s">
        <v>14</v>
      </c>
      <c r="M245" t="s">
        <v>94</v>
      </c>
      <c r="N245" t="s">
        <v>95</v>
      </c>
    </row>
    <row r="246" spans="1:14" x14ac:dyDescent="0.3">
      <c r="A246">
        <v>1863</v>
      </c>
      <c r="B246">
        <v>826</v>
      </c>
      <c r="C246">
        <v>0.33333333333333331</v>
      </c>
      <c r="D246" t="s">
        <v>77</v>
      </c>
      <c r="E246">
        <v>1</v>
      </c>
      <c r="F246" s="1">
        <v>42018</v>
      </c>
      <c r="G246" t="s">
        <v>188</v>
      </c>
      <c r="H246" s="2">
        <v>36526.754328703704</v>
      </c>
      <c r="I246">
        <v>15.25</v>
      </c>
      <c r="J246">
        <v>15.25</v>
      </c>
      <c r="K246" t="s">
        <v>196</v>
      </c>
      <c r="L246" t="s">
        <v>14</v>
      </c>
      <c r="M246" t="s">
        <v>78</v>
      </c>
      <c r="N246" t="s">
        <v>79</v>
      </c>
    </row>
    <row r="247" spans="1:14" x14ac:dyDescent="0.3">
      <c r="A247">
        <v>1856</v>
      </c>
      <c r="B247">
        <v>824</v>
      </c>
      <c r="C247">
        <v>0.25</v>
      </c>
      <c r="D247" t="s">
        <v>138</v>
      </c>
      <c r="E247">
        <v>1</v>
      </c>
      <c r="F247" s="1">
        <v>42018</v>
      </c>
      <c r="G247" t="s">
        <v>188</v>
      </c>
      <c r="H247" s="2">
        <v>36526.745613425926</v>
      </c>
      <c r="I247">
        <v>20.5</v>
      </c>
      <c r="J247">
        <v>20.5</v>
      </c>
      <c r="K247" t="s">
        <v>196</v>
      </c>
      <c r="L247" t="s">
        <v>14</v>
      </c>
      <c r="M247" t="s">
        <v>18</v>
      </c>
      <c r="N247" t="s">
        <v>19</v>
      </c>
    </row>
    <row r="248" spans="1:14" x14ac:dyDescent="0.3">
      <c r="A248">
        <v>1854</v>
      </c>
      <c r="B248">
        <v>823</v>
      </c>
      <c r="C248">
        <v>0.33333333333333331</v>
      </c>
      <c r="D248" t="s">
        <v>170</v>
      </c>
      <c r="E248">
        <v>1</v>
      </c>
      <c r="F248" s="1">
        <v>42018</v>
      </c>
      <c r="G248" t="s">
        <v>188</v>
      </c>
      <c r="H248" s="2">
        <v>36526.737696759257</v>
      </c>
      <c r="I248">
        <v>20.5</v>
      </c>
      <c r="J248">
        <v>20.5</v>
      </c>
      <c r="K248" t="s">
        <v>196</v>
      </c>
      <c r="L248" t="s">
        <v>14</v>
      </c>
      <c r="M248" t="s">
        <v>45</v>
      </c>
      <c r="N248" t="s">
        <v>46</v>
      </c>
    </row>
    <row r="249" spans="1:14" x14ac:dyDescent="0.3">
      <c r="A249">
        <v>246</v>
      </c>
      <c r="B249">
        <v>105</v>
      </c>
      <c r="C249">
        <v>0.33333333333333331</v>
      </c>
      <c r="D249" t="s">
        <v>132</v>
      </c>
      <c r="E249">
        <v>2</v>
      </c>
      <c r="F249" s="1">
        <v>42006</v>
      </c>
      <c r="G249" t="s">
        <v>190</v>
      </c>
      <c r="H249" s="2">
        <v>36526.758344907408</v>
      </c>
      <c r="I249">
        <v>10.5</v>
      </c>
      <c r="J249">
        <v>21</v>
      </c>
      <c r="K249" t="s">
        <v>198</v>
      </c>
      <c r="L249" t="s">
        <v>14</v>
      </c>
      <c r="M249" t="s">
        <v>15</v>
      </c>
      <c r="N249" t="s">
        <v>16</v>
      </c>
    </row>
    <row r="250" spans="1:14" x14ac:dyDescent="0.3">
      <c r="A250">
        <v>247</v>
      </c>
      <c r="B250">
        <v>105</v>
      </c>
      <c r="C250">
        <v>0.33333333333333331</v>
      </c>
      <c r="D250" t="s">
        <v>77</v>
      </c>
      <c r="E250">
        <v>1</v>
      </c>
      <c r="F250" s="1">
        <v>42006</v>
      </c>
      <c r="G250" t="s">
        <v>190</v>
      </c>
      <c r="H250" s="2">
        <v>36526.758344907408</v>
      </c>
      <c r="I250">
        <v>15.25</v>
      </c>
      <c r="J250">
        <v>15.25</v>
      </c>
      <c r="K250" t="s">
        <v>196</v>
      </c>
      <c r="L250" t="s">
        <v>14</v>
      </c>
      <c r="M250" t="s">
        <v>78</v>
      </c>
      <c r="N250" t="s">
        <v>79</v>
      </c>
    </row>
    <row r="251" spans="1:14" x14ac:dyDescent="0.3">
      <c r="A251">
        <v>1851</v>
      </c>
      <c r="B251">
        <v>822</v>
      </c>
      <c r="C251">
        <v>1</v>
      </c>
      <c r="D251" t="s">
        <v>140</v>
      </c>
      <c r="E251">
        <v>1</v>
      </c>
      <c r="F251" s="1">
        <v>42018</v>
      </c>
      <c r="G251" t="s">
        <v>188</v>
      </c>
      <c r="H251" s="2">
        <v>36526.735335648147</v>
      </c>
      <c r="I251">
        <v>25.5</v>
      </c>
      <c r="J251">
        <v>25.5</v>
      </c>
      <c r="K251" t="s">
        <v>199</v>
      </c>
      <c r="L251" t="s">
        <v>14</v>
      </c>
      <c r="M251" t="s">
        <v>45</v>
      </c>
      <c r="N251" t="s">
        <v>46</v>
      </c>
    </row>
    <row r="252" spans="1:14" x14ac:dyDescent="0.3">
      <c r="A252">
        <v>1843</v>
      </c>
      <c r="B252">
        <v>818</v>
      </c>
      <c r="C252">
        <v>0.33333333333333331</v>
      </c>
      <c r="D252" t="s">
        <v>143</v>
      </c>
      <c r="E252">
        <v>1</v>
      </c>
      <c r="F252" s="1">
        <v>42018</v>
      </c>
      <c r="G252" t="s">
        <v>188</v>
      </c>
      <c r="H252" s="2">
        <v>36526.719328703701</v>
      </c>
      <c r="I252">
        <v>11</v>
      </c>
      <c r="J252">
        <v>11</v>
      </c>
      <c r="K252" t="s">
        <v>198</v>
      </c>
      <c r="L252" t="s">
        <v>14</v>
      </c>
      <c r="M252" t="s">
        <v>130</v>
      </c>
      <c r="N252" t="s">
        <v>131</v>
      </c>
    </row>
    <row r="253" spans="1:14" x14ac:dyDescent="0.3">
      <c r="A253">
        <v>1840</v>
      </c>
      <c r="B253">
        <v>817</v>
      </c>
      <c r="C253">
        <v>0.25</v>
      </c>
      <c r="D253" t="s">
        <v>119</v>
      </c>
      <c r="E253">
        <v>1</v>
      </c>
      <c r="F253" s="1">
        <v>42018</v>
      </c>
      <c r="G253" t="s">
        <v>188</v>
      </c>
      <c r="H253" s="2">
        <v>36526.715717592589</v>
      </c>
      <c r="I253">
        <v>12.5</v>
      </c>
      <c r="J253">
        <v>12.5</v>
      </c>
      <c r="K253" t="s">
        <v>197</v>
      </c>
      <c r="L253" t="s">
        <v>14</v>
      </c>
      <c r="M253" t="s">
        <v>78</v>
      </c>
      <c r="N253" t="s">
        <v>79</v>
      </c>
    </row>
    <row r="254" spans="1:14" x14ac:dyDescent="0.3">
      <c r="A254">
        <v>1839</v>
      </c>
      <c r="B254">
        <v>817</v>
      </c>
      <c r="C254">
        <v>0.25</v>
      </c>
      <c r="D254" t="s">
        <v>50</v>
      </c>
      <c r="E254">
        <v>1</v>
      </c>
      <c r="F254" s="1">
        <v>42018</v>
      </c>
      <c r="G254" t="s">
        <v>188</v>
      </c>
      <c r="H254" s="2">
        <v>36526.715717592589</v>
      </c>
      <c r="I254">
        <v>12</v>
      </c>
      <c r="J254">
        <v>12</v>
      </c>
      <c r="K254" t="s">
        <v>198</v>
      </c>
      <c r="L254" t="s">
        <v>14</v>
      </c>
      <c r="M254" t="s">
        <v>18</v>
      </c>
      <c r="N254" t="s">
        <v>19</v>
      </c>
    </row>
    <row r="255" spans="1:14" x14ac:dyDescent="0.3">
      <c r="A255">
        <v>1836</v>
      </c>
      <c r="B255">
        <v>815</v>
      </c>
      <c r="C255">
        <v>1</v>
      </c>
      <c r="D255" t="s">
        <v>112</v>
      </c>
      <c r="E255">
        <v>1</v>
      </c>
      <c r="F255" s="1">
        <v>42018</v>
      </c>
      <c r="G255" t="s">
        <v>188</v>
      </c>
      <c r="H255" s="2">
        <v>36526.693055555559</v>
      </c>
      <c r="I255">
        <v>20.5</v>
      </c>
      <c r="J255">
        <v>20.5</v>
      </c>
      <c r="K255" t="s">
        <v>196</v>
      </c>
      <c r="L255" t="s">
        <v>14</v>
      </c>
      <c r="M255" t="s">
        <v>94</v>
      </c>
      <c r="N255" t="s">
        <v>95</v>
      </c>
    </row>
    <row r="256" spans="1:14" x14ac:dyDescent="0.3">
      <c r="A256">
        <v>1834</v>
      </c>
      <c r="B256">
        <v>814</v>
      </c>
      <c r="C256">
        <v>0.5</v>
      </c>
      <c r="D256" t="s">
        <v>50</v>
      </c>
      <c r="E256">
        <v>1</v>
      </c>
      <c r="F256" s="1">
        <v>42018</v>
      </c>
      <c r="G256" t="s">
        <v>188</v>
      </c>
      <c r="H256" s="2">
        <v>36526.681516203702</v>
      </c>
      <c r="I256">
        <v>12</v>
      </c>
      <c r="J256">
        <v>12</v>
      </c>
      <c r="K256" t="s">
        <v>198</v>
      </c>
      <c r="L256" t="s">
        <v>14</v>
      </c>
      <c r="M256" t="s">
        <v>18</v>
      </c>
      <c r="N256" t="s">
        <v>19</v>
      </c>
    </row>
    <row r="257" spans="1:14" x14ac:dyDescent="0.3">
      <c r="A257">
        <v>1831</v>
      </c>
      <c r="B257">
        <v>812</v>
      </c>
      <c r="C257">
        <v>0.5</v>
      </c>
      <c r="D257" t="s">
        <v>148</v>
      </c>
      <c r="E257">
        <v>1</v>
      </c>
      <c r="F257" s="1">
        <v>42018</v>
      </c>
      <c r="G257" t="s">
        <v>188</v>
      </c>
      <c r="H257" s="2">
        <v>36526.65121527778</v>
      </c>
      <c r="I257">
        <v>14.5</v>
      </c>
      <c r="J257">
        <v>14.5</v>
      </c>
      <c r="K257" t="s">
        <v>197</v>
      </c>
      <c r="L257" t="s">
        <v>14</v>
      </c>
      <c r="M257" t="s">
        <v>130</v>
      </c>
      <c r="N257" t="s">
        <v>131</v>
      </c>
    </row>
    <row r="258" spans="1:14" x14ac:dyDescent="0.3">
      <c r="A258">
        <v>255</v>
      </c>
      <c r="B258">
        <v>108</v>
      </c>
      <c r="C258">
        <v>0.33333333333333331</v>
      </c>
      <c r="D258" t="s">
        <v>138</v>
      </c>
      <c r="E258">
        <v>1</v>
      </c>
      <c r="F258" s="1">
        <v>42006</v>
      </c>
      <c r="G258" t="s">
        <v>190</v>
      </c>
      <c r="H258" s="2">
        <v>36526.767650462964</v>
      </c>
      <c r="I258">
        <v>20.5</v>
      </c>
      <c r="J258">
        <v>20.5</v>
      </c>
      <c r="K258" t="s">
        <v>196</v>
      </c>
      <c r="L258" t="s">
        <v>14</v>
      </c>
      <c r="M258" t="s">
        <v>18</v>
      </c>
      <c r="N258" t="s">
        <v>19</v>
      </c>
    </row>
    <row r="259" spans="1:14" x14ac:dyDescent="0.3">
      <c r="A259">
        <v>256</v>
      </c>
      <c r="B259">
        <v>108</v>
      </c>
      <c r="C259">
        <v>0.33333333333333331</v>
      </c>
      <c r="D259" t="s">
        <v>142</v>
      </c>
      <c r="E259">
        <v>1</v>
      </c>
      <c r="F259" s="1">
        <v>42006</v>
      </c>
      <c r="G259" t="s">
        <v>190</v>
      </c>
      <c r="H259" s="2">
        <v>36526.767650462964</v>
      </c>
      <c r="I259">
        <v>16.5</v>
      </c>
      <c r="J259">
        <v>16.5</v>
      </c>
      <c r="K259" t="s">
        <v>196</v>
      </c>
      <c r="L259" t="s">
        <v>14</v>
      </c>
      <c r="M259" t="s">
        <v>15</v>
      </c>
      <c r="N259" t="s">
        <v>16</v>
      </c>
    </row>
    <row r="260" spans="1:14" x14ac:dyDescent="0.3">
      <c r="A260">
        <v>1827</v>
      </c>
      <c r="B260">
        <v>809</v>
      </c>
      <c r="C260">
        <v>1</v>
      </c>
      <c r="D260" t="s">
        <v>132</v>
      </c>
      <c r="E260">
        <v>1</v>
      </c>
      <c r="F260" s="1">
        <v>42018</v>
      </c>
      <c r="G260" t="s">
        <v>188</v>
      </c>
      <c r="H260" s="2">
        <v>36526.601585648146</v>
      </c>
      <c r="I260">
        <v>10.5</v>
      </c>
      <c r="J260">
        <v>10.5</v>
      </c>
      <c r="K260" t="s">
        <v>198</v>
      </c>
      <c r="L260" t="s">
        <v>14</v>
      </c>
      <c r="M260" t="s">
        <v>15</v>
      </c>
      <c r="N260" t="s">
        <v>16</v>
      </c>
    </row>
    <row r="261" spans="1:14" x14ac:dyDescent="0.3">
      <c r="A261">
        <v>258</v>
      </c>
      <c r="B261">
        <v>109</v>
      </c>
      <c r="C261">
        <v>0.25</v>
      </c>
      <c r="D261" t="s">
        <v>54</v>
      </c>
      <c r="E261">
        <v>1</v>
      </c>
      <c r="F261" s="1">
        <v>42006</v>
      </c>
      <c r="G261" t="s">
        <v>190</v>
      </c>
      <c r="H261" s="2">
        <v>36526.769328703704</v>
      </c>
      <c r="I261">
        <v>20.5</v>
      </c>
      <c r="J261">
        <v>20.5</v>
      </c>
      <c r="K261" t="s">
        <v>196</v>
      </c>
      <c r="L261" t="s">
        <v>14</v>
      </c>
      <c r="M261" t="s">
        <v>55</v>
      </c>
      <c r="N261" t="s">
        <v>56</v>
      </c>
    </row>
    <row r="262" spans="1:14" x14ac:dyDescent="0.3">
      <c r="A262">
        <v>1825</v>
      </c>
      <c r="B262">
        <v>807</v>
      </c>
      <c r="C262">
        <v>1</v>
      </c>
      <c r="D262" t="s">
        <v>84</v>
      </c>
      <c r="E262">
        <v>1</v>
      </c>
      <c r="F262" s="1">
        <v>42018</v>
      </c>
      <c r="G262" t="s">
        <v>188</v>
      </c>
      <c r="H262" s="2">
        <v>36526.594085648147</v>
      </c>
      <c r="I262">
        <v>12</v>
      </c>
      <c r="J262">
        <v>12</v>
      </c>
      <c r="K262" t="s">
        <v>198</v>
      </c>
      <c r="L262" t="s">
        <v>14</v>
      </c>
      <c r="M262" t="s">
        <v>85</v>
      </c>
      <c r="N262" t="s">
        <v>86</v>
      </c>
    </row>
    <row r="263" spans="1:14" x14ac:dyDescent="0.3">
      <c r="A263">
        <v>260</v>
      </c>
      <c r="B263">
        <v>109</v>
      </c>
      <c r="C263">
        <v>0.25</v>
      </c>
      <c r="D263" t="s">
        <v>119</v>
      </c>
      <c r="E263">
        <v>1</v>
      </c>
      <c r="F263" s="1">
        <v>42006</v>
      </c>
      <c r="G263" t="s">
        <v>190</v>
      </c>
      <c r="H263" s="2">
        <v>36526.769328703704</v>
      </c>
      <c r="I263">
        <v>12.5</v>
      </c>
      <c r="J263">
        <v>12.5</v>
      </c>
      <c r="K263" t="s">
        <v>197</v>
      </c>
      <c r="L263" t="s">
        <v>14</v>
      </c>
      <c r="M263" t="s">
        <v>78</v>
      </c>
      <c r="N263" t="s">
        <v>79</v>
      </c>
    </row>
    <row r="264" spans="1:14" x14ac:dyDescent="0.3">
      <c r="A264">
        <v>1822</v>
      </c>
      <c r="B264">
        <v>805</v>
      </c>
      <c r="C264">
        <v>0.5</v>
      </c>
      <c r="D264" t="s">
        <v>84</v>
      </c>
      <c r="E264">
        <v>1</v>
      </c>
      <c r="F264" s="1">
        <v>42018</v>
      </c>
      <c r="G264" t="s">
        <v>188</v>
      </c>
      <c r="H264" s="2">
        <v>36526.588796296295</v>
      </c>
      <c r="I264">
        <v>12</v>
      </c>
      <c r="J264">
        <v>12</v>
      </c>
      <c r="K264" t="s">
        <v>198</v>
      </c>
      <c r="L264" t="s">
        <v>14</v>
      </c>
      <c r="M264" t="s">
        <v>85</v>
      </c>
      <c r="N264" t="s">
        <v>86</v>
      </c>
    </row>
    <row r="265" spans="1:14" x14ac:dyDescent="0.3">
      <c r="A265">
        <v>262</v>
      </c>
      <c r="B265">
        <v>110</v>
      </c>
      <c r="C265">
        <v>0.25</v>
      </c>
      <c r="D265" t="s">
        <v>84</v>
      </c>
      <c r="E265">
        <v>1</v>
      </c>
      <c r="F265" s="1">
        <v>42006</v>
      </c>
      <c r="G265" t="s">
        <v>190</v>
      </c>
      <c r="H265" s="2">
        <v>36526.775219907409</v>
      </c>
      <c r="I265">
        <v>12</v>
      </c>
      <c r="J265">
        <v>12</v>
      </c>
      <c r="K265" t="s">
        <v>198</v>
      </c>
      <c r="L265" t="s">
        <v>14</v>
      </c>
      <c r="M265" t="s">
        <v>85</v>
      </c>
      <c r="N265" t="s">
        <v>86</v>
      </c>
    </row>
    <row r="266" spans="1:14" x14ac:dyDescent="0.3">
      <c r="A266">
        <v>263</v>
      </c>
      <c r="B266">
        <v>110</v>
      </c>
      <c r="C266">
        <v>0.25</v>
      </c>
      <c r="D266" t="s">
        <v>112</v>
      </c>
      <c r="E266">
        <v>1</v>
      </c>
      <c r="F266" s="1">
        <v>42006</v>
      </c>
      <c r="G266" t="s">
        <v>190</v>
      </c>
      <c r="H266" s="2">
        <v>36526.775219907409</v>
      </c>
      <c r="I266">
        <v>20.5</v>
      </c>
      <c r="J266">
        <v>20.5</v>
      </c>
      <c r="K266" t="s">
        <v>196</v>
      </c>
      <c r="L266" t="s">
        <v>14</v>
      </c>
      <c r="M266" t="s">
        <v>94</v>
      </c>
      <c r="N266" t="s">
        <v>95</v>
      </c>
    </row>
    <row r="267" spans="1:14" x14ac:dyDescent="0.3">
      <c r="A267">
        <v>1819</v>
      </c>
      <c r="B267">
        <v>802</v>
      </c>
      <c r="C267">
        <v>0.5</v>
      </c>
      <c r="D267" t="s">
        <v>132</v>
      </c>
      <c r="E267">
        <v>1</v>
      </c>
      <c r="F267" s="1">
        <v>42018</v>
      </c>
      <c r="G267" t="s">
        <v>188</v>
      </c>
      <c r="H267" s="2">
        <v>36526.558182870373</v>
      </c>
      <c r="I267">
        <v>10.5</v>
      </c>
      <c r="J267">
        <v>10.5</v>
      </c>
      <c r="K267" t="s">
        <v>198</v>
      </c>
      <c r="L267" t="s">
        <v>14</v>
      </c>
      <c r="M267" t="s">
        <v>15</v>
      </c>
      <c r="N267" t="s">
        <v>16</v>
      </c>
    </row>
    <row r="268" spans="1:14" x14ac:dyDescent="0.3">
      <c r="A268">
        <v>1810</v>
      </c>
      <c r="B268">
        <v>801</v>
      </c>
      <c r="C268">
        <v>8.3333333333333329E-2</v>
      </c>
      <c r="D268" t="s">
        <v>112</v>
      </c>
      <c r="E268">
        <v>1</v>
      </c>
      <c r="F268" s="1">
        <v>42018</v>
      </c>
      <c r="G268" t="s">
        <v>188</v>
      </c>
      <c r="H268" s="2">
        <v>36526.549224537041</v>
      </c>
      <c r="I268">
        <v>20.5</v>
      </c>
      <c r="J268">
        <v>20.5</v>
      </c>
      <c r="K268" t="s">
        <v>196</v>
      </c>
      <c r="L268" t="s">
        <v>14</v>
      </c>
      <c r="M268" t="s">
        <v>94</v>
      </c>
      <c r="N268" t="s">
        <v>95</v>
      </c>
    </row>
    <row r="269" spans="1:14" x14ac:dyDescent="0.3">
      <c r="A269">
        <v>1808</v>
      </c>
      <c r="B269">
        <v>801</v>
      </c>
      <c r="C269">
        <v>8.3333333333333329E-2</v>
      </c>
      <c r="D269" t="s">
        <v>50</v>
      </c>
      <c r="E269">
        <v>1</v>
      </c>
      <c r="F269" s="1">
        <v>42018</v>
      </c>
      <c r="G269" t="s">
        <v>188</v>
      </c>
      <c r="H269" s="2">
        <v>36526.549224537041</v>
      </c>
      <c r="I269">
        <v>12</v>
      </c>
      <c r="J269">
        <v>12</v>
      </c>
      <c r="K269" t="s">
        <v>198</v>
      </c>
      <c r="L269" t="s">
        <v>14</v>
      </c>
      <c r="M269" t="s">
        <v>18</v>
      </c>
      <c r="N269" t="s">
        <v>19</v>
      </c>
    </row>
    <row r="270" spans="1:14" x14ac:dyDescent="0.3">
      <c r="A270">
        <v>1807</v>
      </c>
      <c r="B270">
        <v>801</v>
      </c>
      <c r="C270">
        <v>8.3333333333333329E-2</v>
      </c>
      <c r="D270" t="s">
        <v>138</v>
      </c>
      <c r="E270">
        <v>1</v>
      </c>
      <c r="F270" s="1">
        <v>42018</v>
      </c>
      <c r="G270" t="s">
        <v>188</v>
      </c>
      <c r="H270" s="2">
        <v>36526.549224537041</v>
      </c>
      <c r="I270">
        <v>20.5</v>
      </c>
      <c r="J270">
        <v>20.5</v>
      </c>
      <c r="K270" t="s">
        <v>196</v>
      </c>
      <c r="L270" t="s">
        <v>14</v>
      </c>
      <c r="M270" t="s">
        <v>18</v>
      </c>
      <c r="N270" t="s">
        <v>19</v>
      </c>
    </row>
    <row r="271" spans="1:14" x14ac:dyDescent="0.3">
      <c r="A271">
        <v>268</v>
      </c>
      <c r="B271">
        <v>111</v>
      </c>
      <c r="C271">
        <v>0.25</v>
      </c>
      <c r="D271" t="s">
        <v>119</v>
      </c>
      <c r="E271">
        <v>1</v>
      </c>
      <c r="F271" s="1">
        <v>42006</v>
      </c>
      <c r="G271" t="s">
        <v>190</v>
      </c>
      <c r="H271" s="2">
        <v>36526.776400462964</v>
      </c>
      <c r="I271">
        <v>12.5</v>
      </c>
      <c r="J271">
        <v>12.5</v>
      </c>
      <c r="K271" t="s">
        <v>197</v>
      </c>
      <c r="L271" t="s">
        <v>14</v>
      </c>
      <c r="M271" t="s">
        <v>78</v>
      </c>
      <c r="N271" t="s">
        <v>79</v>
      </c>
    </row>
    <row r="272" spans="1:14" x14ac:dyDescent="0.3">
      <c r="A272">
        <v>1803</v>
      </c>
      <c r="B272">
        <v>800</v>
      </c>
      <c r="C272">
        <v>0.16666666666666666</v>
      </c>
      <c r="D272" t="s">
        <v>93</v>
      </c>
      <c r="E272">
        <v>1</v>
      </c>
      <c r="F272" s="1">
        <v>42018</v>
      </c>
      <c r="G272" t="s">
        <v>188</v>
      </c>
      <c r="H272" s="2">
        <v>36526.537905092591</v>
      </c>
      <c r="I272">
        <v>12</v>
      </c>
      <c r="J272">
        <v>12</v>
      </c>
      <c r="K272" t="s">
        <v>198</v>
      </c>
      <c r="L272" t="s">
        <v>14</v>
      </c>
      <c r="M272" t="s">
        <v>94</v>
      </c>
      <c r="N272" t="s">
        <v>95</v>
      </c>
    </row>
    <row r="273" spans="1:14" x14ac:dyDescent="0.3">
      <c r="A273">
        <v>270</v>
      </c>
      <c r="B273">
        <v>112</v>
      </c>
      <c r="C273">
        <v>1</v>
      </c>
      <c r="D273" t="s">
        <v>126</v>
      </c>
      <c r="E273">
        <v>1</v>
      </c>
      <c r="F273" s="1">
        <v>42006</v>
      </c>
      <c r="G273" t="s">
        <v>190</v>
      </c>
      <c r="H273" s="2">
        <v>36526.778935185182</v>
      </c>
      <c r="I273">
        <v>9.75</v>
      </c>
      <c r="J273">
        <v>9.75</v>
      </c>
      <c r="K273" t="s">
        <v>198</v>
      </c>
      <c r="L273" t="s">
        <v>14</v>
      </c>
      <c r="M273" t="s">
        <v>78</v>
      </c>
      <c r="N273" t="s">
        <v>79</v>
      </c>
    </row>
    <row r="274" spans="1:14" x14ac:dyDescent="0.3">
      <c r="A274">
        <v>1801</v>
      </c>
      <c r="B274">
        <v>800</v>
      </c>
      <c r="C274">
        <v>0.16666666666666666</v>
      </c>
      <c r="D274" t="s">
        <v>132</v>
      </c>
      <c r="E274">
        <v>1</v>
      </c>
      <c r="F274" s="1">
        <v>42018</v>
      </c>
      <c r="G274" t="s">
        <v>188</v>
      </c>
      <c r="H274" s="2">
        <v>36526.537905092591</v>
      </c>
      <c r="I274">
        <v>10.5</v>
      </c>
      <c r="J274">
        <v>10.5</v>
      </c>
      <c r="K274" t="s">
        <v>198</v>
      </c>
      <c r="L274" t="s">
        <v>14</v>
      </c>
      <c r="M274" t="s">
        <v>15</v>
      </c>
      <c r="N274" t="s">
        <v>16</v>
      </c>
    </row>
    <row r="275" spans="1:14" x14ac:dyDescent="0.3">
      <c r="A275">
        <v>1798</v>
      </c>
      <c r="B275">
        <v>799</v>
      </c>
      <c r="C275">
        <v>0.33333333333333331</v>
      </c>
      <c r="D275" t="s">
        <v>143</v>
      </c>
      <c r="E275">
        <v>1</v>
      </c>
      <c r="F275" s="1">
        <v>42018</v>
      </c>
      <c r="G275" t="s">
        <v>188</v>
      </c>
      <c r="H275" s="2">
        <v>36526.535752314812</v>
      </c>
      <c r="I275">
        <v>11</v>
      </c>
      <c r="J275">
        <v>11</v>
      </c>
      <c r="K275" t="s">
        <v>198</v>
      </c>
      <c r="L275" t="s">
        <v>14</v>
      </c>
      <c r="M275" t="s">
        <v>130</v>
      </c>
      <c r="N275" t="s">
        <v>131</v>
      </c>
    </row>
    <row r="276" spans="1:14" x14ac:dyDescent="0.3">
      <c r="A276">
        <v>1787</v>
      </c>
      <c r="B276">
        <v>794</v>
      </c>
      <c r="C276">
        <v>1</v>
      </c>
      <c r="D276" t="s">
        <v>163</v>
      </c>
      <c r="E276">
        <v>1</v>
      </c>
      <c r="F276" s="1">
        <v>42018</v>
      </c>
      <c r="G276" t="s">
        <v>188</v>
      </c>
      <c r="H276" s="2">
        <v>36526.527268518519</v>
      </c>
      <c r="I276">
        <v>16</v>
      </c>
      <c r="J276">
        <v>16</v>
      </c>
      <c r="K276" t="s">
        <v>197</v>
      </c>
      <c r="L276" t="s">
        <v>14</v>
      </c>
      <c r="M276" t="s">
        <v>94</v>
      </c>
      <c r="N276" t="s">
        <v>95</v>
      </c>
    </row>
    <row r="277" spans="1:14" x14ac:dyDescent="0.3">
      <c r="A277">
        <v>274</v>
      </c>
      <c r="B277">
        <v>114</v>
      </c>
      <c r="C277">
        <v>0.5</v>
      </c>
      <c r="D277" t="s">
        <v>77</v>
      </c>
      <c r="E277">
        <v>1</v>
      </c>
      <c r="F277" s="1">
        <v>42006</v>
      </c>
      <c r="G277" t="s">
        <v>190</v>
      </c>
      <c r="H277" s="2">
        <v>36526.791342592594</v>
      </c>
      <c r="I277">
        <v>15.25</v>
      </c>
      <c r="J277">
        <v>15.25</v>
      </c>
      <c r="K277" t="s">
        <v>196</v>
      </c>
      <c r="L277" t="s">
        <v>14</v>
      </c>
      <c r="M277" t="s">
        <v>78</v>
      </c>
      <c r="N277" t="s">
        <v>79</v>
      </c>
    </row>
    <row r="278" spans="1:14" x14ac:dyDescent="0.3">
      <c r="A278">
        <v>1777</v>
      </c>
      <c r="B278">
        <v>791</v>
      </c>
      <c r="C278">
        <v>0.5</v>
      </c>
      <c r="D278" t="s">
        <v>126</v>
      </c>
      <c r="E278">
        <v>1</v>
      </c>
      <c r="F278" s="1">
        <v>42018</v>
      </c>
      <c r="G278" t="s">
        <v>188</v>
      </c>
      <c r="H278" s="2">
        <v>36526.516597222224</v>
      </c>
      <c r="I278">
        <v>9.75</v>
      </c>
      <c r="J278">
        <v>9.75</v>
      </c>
      <c r="K278" t="s">
        <v>198</v>
      </c>
      <c r="L278" t="s">
        <v>14</v>
      </c>
      <c r="M278" t="s">
        <v>78</v>
      </c>
      <c r="N278" t="s">
        <v>79</v>
      </c>
    </row>
    <row r="279" spans="1:14" x14ac:dyDescent="0.3">
      <c r="A279">
        <v>276</v>
      </c>
      <c r="B279">
        <v>115</v>
      </c>
      <c r="C279">
        <v>0.33333333333333331</v>
      </c>
      <c r="D279" t="s">
        <v>84</v>
      </c>
      <c r="E279">
        <v>1</v>
      </c>
      <c r="F279" s="1">
        <v>42006</v>
      </c>
      <c r="G279" t="s">
        <v>190</v>
      </c>
      <c r="H279" s="2">
        <v>36526.795335648145</v>
      </c>
      <c r="I279">
        <v>12</v>
      </c>
      <c r="J279">
        <v>12</v>
      </c>
      <c r="K279" t="s">
        <v>198</v>
      </c>
      <c r="L279" t="s">
        <v>14</v>
      </c>
      <c r="M279" t="s">
        <v>85</v>
      </c>
      <c r="N279" t="s">
        <v>86</v>
      </c>
    </row>
    <row r="280" spans="1:14" x14ac:dyDescent="0.3">
      <c r="A280">
        <v>277</v>
      </c>
      <c r="B280">
        <v>115</v>
      </c>
      <c r="C280">
        <v>0.33333333333333331</v>
      </c>
      <c r="D280" t="s">
        <v>112</v>
      </c>
      <c r="E280">
        <v>1</v>
      </c>
      <c r="F280" s="1">
        <v>42006</v>
      </c>
      <c r="G280" t="s">
        <v>190</v>
      </c>
      <c r="H280" s="2">
        <v>36526.795335648145</v>
      </c>
      <c r="I280">
        <v>20.5</v>
      </c>
      <c r="J280">
        <v>20.5</v>
      </c>
      <c r="K280" t="s">
        <v>196</v>
      </c>
      <c r="L280" t="s">
        <v>14</v>
      </c>
      <c r="M280" t="s">
        <v>94</v>
      </c>
      <c r="N280" t="s">
        <v>95</v>
      </c>
    </row>
    <row r="281" spans="1:14" x14ac:dyDescent="0.3">
      <c r="A281">
        <v>1768</v>
      </c>
      <c r="B281">
        <v>785</v>
      </c>
      <c r="C281">
        <v>0.5</v>
      </c>
      <c r="D281" t="s">
        <v>142</v>
      </c>
      <c r="E281">
        <v>1</v>
      </c>
      <c r="F281" s="1">
        <v>42018</v>
      </c>
      <c r="G281" t="s">
        <v>188</v>
      </c>
      <c r="H281" s="2">
        <v>36526.47828703704</v>
      </c>
      <c r="I281">
        <v>16.5</v>
      </c>
      <c r="J281">
        <v>16.5</v>
      </c>
      <c r="K281" t="s">
        <v>196</v>
      </c>
      <c r="L281" t="s">
        <v>14</v>
      </c>
      <c r="M281" t="s">
        <v>15</v>
      </c>
      <c r="N281" t="s">
        <v>16</v>
      </c>
    </row>
    <row r="282" spans="1:14" x14ac:dyDescent="0.3">
      <c r="A282">
        <v>1767</v>
      </c>
      <c r="B282">
        <v>784</v>
      </c>
      <c r="C282">
        <v>1</v>
      </c>
      <c r="D282" t="s">
        <v>163</v>
      </c>
      <c r="E282">
        <v>1</v>
      </c>
      <c r="F282" s="1">
        <v>42017</v>
      </c>
      <c r="G282" t="s">
        <v>187</v>
      </c>
      <c r="H282" s="2">
        <v>36526.902557870373</v>
      </c>
      <c r="I282">
        <v>16</v>
      </c>
      <c r="J282">
        <v>16</v>
      </c>
      <c r="K282" t="s">
        <v>197</v>
      </c>
      <c r="L282" t="s">
        <v>14</v>
      </c>
      <c r="M282" t="s">
        <v>94</v>
      </c>
      <c r="N282" t="s">
        <v>95</v>
      </c>
    </row>
    <row r="283" spans="1:14" x14ac:dyDescent="0.3">
      <c r="A283">
        <v>1758</v>
      </c>
      <c r="B283">
        <v>781</v>
      </c>
      <c r="C283">
        <v>0.25</v>
      </c>
      <c r="D283" t="s">
        <v>54</v>
      </c>
      <c r="E283">
        <v>1</v>
      </c>
      <c r="F283" s="1">
        <v>42017</v>
      </c>
      <c r="G283" t="s">
        <v>187</v>
      </c>
      <c r="H283" s="2">
        <v>36526.855057870373</v>
      </c>
      <c r="I283">
        <v>20.5</v>
      </c>
      <c r="J283">
        <v>20.5</v>
      </c>
      <c r="K283" t="s">
        <v>196</v>
      </c>
      <c r="L283" t="s">
        <v>14</v>
      </c>
      <c r="M283" t="s">
        <v>55</v>
      </c>
      <c r="N283" t="s">
        <v>56</v>
      </c>
    </row>
    <row r="284" spans="1:14" x14ac:dyDescent="0.3">
      <c r="A284">
        <v>1757</v>
      </c>
      <c r="B284">
        <v>780</v>
      </c>
      <c r="C284">
        <v>0.5</v>
      </c>
      <c r="D284" t="s">
        <v>54</v>
      </c>
      <c r="E284">
        <v>1</v>
      </c>
      <c r="F284" s="1">
        <v>42017</v>
      </c>
      <c r="G284" t="s">
        <v>187</v>
      </c>
      <c r="H284" s="2">
        <v>36526.842233796298</v>
      </c>
      <c r="I284">
        <v>20.5</v>
      </c>
      <c r="J284">
        <v>20.5</v>
      </c>
      <c r="K284" t="s">
        <v>196</v>
      </c>
      <c r="L284" t="s">
        <v>14</v>
      </c>
      <c r="M284" t="s">
        <v>55</v>
      </c>
      <c r="N284" t="s">
        <v>56</v>
      </c>
    </row>
    <row r="285" spans="1:14" x14ac:dyDescent="0.3">
      <c r="A285">
        <v>1756</v>
      </c>
      <c r="B285">
        <v>780</v>
      </c>
      <c r="C285">
        <v>0.5</v>
      </c>
      <c r="D285" t="s">
        <v>84</v>
      </c>
      <c r="E285">
        <v>1</v>
      </c>
      <c r="F285" s="1">
        <v>42017</v>
      </c>
      <c r="G285" t="s">
        <v>187</v>
      </c>
      <c r="H285" s="2">
        <v>36526.842233796298</v>
      </c>
      <c r="I285">
        <v>12</v>
      </c>
      <c r="J285">
        <v>12</v>
      </c>
      <c r="K285" t="s">
        <v>198</v>
      </c>
      <c r="L285" t="s">
        <v>14</v>
      </c>
      <c r="M285" t="s">
        <v>85</v>
      </c>
      <c r="N285" t="s">
        <v>86</v>
      </c>
    </row>
    <row r="286" spans="1:14" x14ac:dyDescent="0.3">
      <c r="A286">
        <v>1753</v>
      </c>
      <c r="B286">
        <v>779</v>
      </c>
      <c r="C286">
        <v>0.25</v>
      </c>
      <c r="D286" t="s">
        <v>116</v>
      </c>
      <c r="E286">
        <v>1</v>
      </c>
      <c r="F286" s="1">
        <v>42017</v>
      </c>
      <c r="G286" t="s">
        <v>187</v>
      </c>
      <c r="H286" s="2">
        <v>36526.805532407408</v>
      </c>
      <c r="I286">
        <v>16</v>
      </c>
      <c r="J286">
        <v>16</v>
      </c>
      <c r="K286" t="s">
        <v>197</v>
      </c>
      <c r="L286" t="s">
        <v>14</v>
      </c>
      <c r="M286" t="s">
        <v>55</v>
      </c>
      <c r="N286" t="s">
        <v>56</v>
      </c>
    </row>
    <row r="287" spans="1:14" x14ac:dyDescent="0.3">
      <c r="A287">
        <v>1752</v>
      </c>
      <c r="B287">
        <v>779</v>
      </c>
      <c r="C287">
        <v>0.25</v>
      </c>
      <c r="D287" t="s">
        <v>17</v>
      </c>
      <c r="E287">
        <v>1</v>
      </c>
      <c r="F287" s="1">
        <v>42017</v>
      </c>
      <c r="G287" t="s">
        <v>187</v>
      </c>
      <c r="H287" s="2">
        <v>36526.805532407408</v>
      </c>
      <c r="I287">
        <v>16</v>
      </c>
      <c r="J287">
        <v>16</v>
      </c>
      <c r="K287" t="s">
        <v>197</v>
      </c>
      <c r="L287" t="s">
        <v>14</v>
      </c>
      <c r="M287" t="s">
        <v>18</v>
      </c>
      <c r="N287" t="s">
        <v>19</v>
      </c>
    </row>
    <row r="288" spans="1:14" x14ac:dyDescent="0.3">
      <c r="A288">
        <v>285</v>
      </c>
      <c r="B288">
        <v>120</v>
      </c>
      <c r="C288">
        <v>0.33333333333333331</v>
      </c>
      <c r="D288" t="s">
        <v>50</v>
      </c>
      <c r="E288">
        <v>1</v>
      </c>
      <c r="F288" s="1">
        <v>42006</v>
      </c>
      <c r="G288" t="s">
        <v>190</v>
      </c>
      <c r="H288" s="2">
        <v>36526.816053240742</v>
      </c>
      <c r="I288">
        <v>12</v>
      </c>
      <c r="J288">
        <v>12</v>
      </c>
      <c r="K288" t="s">
        <v>198</v>
      </c>
      <c r="L288" t="s">
        <v>14</v>
      </c>
      <c r="M288" t="s">
        <v>18</v>
      </c>
      <c r="N288" t="s">
        <v>19</v>
      </c>
    </row>
    <row r="289" spans="1:14" x14ac:dyDescent="0.3">
      <c r="A289">
        <v>286</v>
      </c>
      <c r="B289">
        <v>120</v>
      </c>
      <c r="C289">
        <v>0.33333333333333331</v>
      </c>
      <c r="D289" t="s">
        <v>132</v>
      </c>
      <c r="E289">
        <v>1</v>
      </c>
      <c r="F289" s="1">
        <v>42006</v>
      </c>
      <c r="G289" t="s">
        <v>190</v>
      </c>
      <c r="H289" s="2">
        <v>36526.816053240742</v>
      </c>
      <c r="I289">
        <v>10.5</v>
      </c>
      <c r="J289">
        <v>10.5</v>
      </c>
      <c r="K289" t="s">
        <v>198</v>
      </c>
      <c r="L289" t="s">
        <v>14</v>
      </c>
      <c r="M289" t="s">
        <v>15</v>
      </c>
      <c r="N289" t="s">
        <v>16</v>
      </c>
    </row>
    <row r="290" spans="1:14" x14ac:dyDescent="0.3">
      <c r="A290">
        <v>1747</v>
      </c>
      <c r="B290">
        <v>777</v>
      </c>
      <c r="C290">
        <v>0.5</v>
      </c>
      <c r="D290" t="s">
        <v>155</v>
      </c>
      <c r="E290">
        <v>1</v>
      </c>
      <c r="F290" s="1">
        <v>42017</v>
      </c>
      <c r="G290" t="s">
        <v>187</v>
      </c>
      <c r="H290" s="2">
        <v>36526.798842592594</v>
      </c>
      <c r="I290">
        <v>16</v>
      </c>
      <c r="J290">
        <v>16</v>
      </c>
      <c r="K290" t="s">
        <v>197</v>
      </c>
      <c r="L290" t="s">
        <v>14</v>
      </c>
      <c r="M290" t="s">
        <v>45</v>
      </c>
      <c r="N290" t="s">
        <v>46</v>
      </c>
    </row>
    <row r="291" spans="1:14" x14ac:dyDescent="0.3">
      <c r="A291">
        <v>1742</v>
      </c>
      <c r="B291">
        <v>775</v>
      </c>
      <c r="C291">
        <v>0.25</v>
      </c>
      <c r="D291" t="s">
        <v>143</v>
      </c>
      <c r="E291">
        <v>1</v>
      </c>
      <c r="F291" s="1">
        <v>42017</v>
      </c>
      <c r="G291" t="s">
        <v>187</v>
      </c>
      <c r="H291" s="2">
        <v>36526.779305555552</v>
      </c>
      <c r="I291">
        <v>11</v>
      </c>
      <c r="J291">
        <v>11</v>
      </c>
      <c r="K291" t="s">
        <v>198</v>
      </c>
      <c r="L291" t="s">
        <v>14</v>
      </c>
      <c r="M291" t="s">
        <v>130</v>
      </c>
      <c r="N291" t="s">
        <v>131</v>
      </c>
    </row>
    <row r="292" spans="1:14" x14ac:dyDescent="0.3">
      <c r="A292">
        <v>1737</v>
      </c>
      <c r="B292">
        <v>773</v>
      </c>
      <c r="C292">
        <v>0.5</v>
      </c>
      <c r="D292" t="s">
        <v>129</v>
      </c>
      <c r="E292">
        <v>1</v>
      </c>
      <c r="F292" s="1">
        <v>42017</v>
      </c>
      <c r="G292" t="s">
        <v>187</v>
      </c>
      <c r="H292" s="2">
        <v>36526.762673611112</v>
      </c>
      <c r="I292">
        <v>17.5</v>
      </c>
      <c r="J292">
        <v>17.5</v>
      </c>
      <c r="K292" t="s">
        <v>196</v>
      </c>
      <c r="L292" t="s">
        <v>14</v>
      </c>
      <c r="M292" t="s">
        <v>130</v>
      </c>
      <c r="N292" t="s">
        <v>131</v>
      </c>
    </row>
    <row r="293" spans="1:14" x14ac:dyDescent="0.3">
      <c r="A293">
        <v>1736</v>
      </c>
      <c r="B293">
        <v>773</v>
      </c>
      <c r="C293">
        <v>0.5</v>
      </c>
      <c r="D293" t="s">
        <v>17</v>
      </c>
      <c r="E293">
        <v>1</v>
      </c>
      <c r="F293" s="1">
        <v>42017</v>
      </c>
      <c r="G293" t="s">
        <v>187</v>
      </c>
      <c r="H293" s="2">
        <v>36526.762673611112</v>
      </c>
      <c r="I293">
        <v>16</v>
      </c>
      <c r="J293">
        <v>16</v>
      </c>
      <c r="K293" t="s">
        <v>197</v>
      </c>
      <c r="L293" t="s">
        <v>14</v>
      </c>
      <c r="M293" t="s">
        <v>18</v>
      </c>
      <c r="N293" t="s">
        <v>19</v>
      </c>
    </row>
    <row r="294" spans="1:14" x14ac:dyDescent="0.3">
      <c r="A294">
        <v>1728</v>
      </c>
      <c r="B294">
        <v>767</v>
      </c>
      <c r="C294">
        <v>1</v>
      </c>
      <c r="D294" t="s">
        <v>138</v>
      </c>
      <c r="E294">
        <v>1</v>
      </c>
      <c r="F294" s="1">
        <v>42017</v>
      </c>
      <c r="G294" t="s">
        <v>187</v>
      </c>
      <c r="H294" s="2">
        <v>36526.72347222222</v>
      </c>
      <c r="I294">
        <v>20.5</v>
      </c>
      <c r="J294">
        <v>20.5</v>
      </c>
      <c r="K294" t="s">
        <v>196</v>
      </c>
      <c r="L294" t="s">
        <v>14</v>
      </c>
      <c r="M294" t="s">
        <v>18</v>
      </c>
      <c r="N294" t="s">
        <v>19</v>
      </c>
    </row>
    <row r="295" spans="1:14" x14ac:dyDescent="0.3">
      <c r="A295">
        <v>1722</v>
      </c>
      <c r="B295">
        <v>765</v>
      </c>
      <c r="C295">
        <v>0.25</v>
      </c>
      <c r="D295" t="s">
        <v>54</v>
      </c>
      <c r="E295">
        <v>1</v>
      </c>
      <c r="F295" s="1">
        <v>42017</v>
      </c>
      <c r="G295" t="s">
        <v>187</v>
      </c>
      <c r="H295" s="2">
        <v>36526.716446759259</v>
      </c>
      <c r="I295">
        <v>20.5</v>
      </c>
      <c r="J295">
        <v>20.5</v>
      </c>
      <c r="K295" t="s">
        <v>196</v>
      </c>
      <c r="L295" t="s">
        <v>14</v>
      </c>
      <c r="M295" t="s">
        <v>55</v>
      </c>
      <c r="N295" t="s">
        <v>56</v>
      </c>
    </row>
    <row r="296" spans="1:14" x14ac:dyDescent="0.3">
      <c r="A296">
        <v>293</v>
      </c>
      <c r="B296">
        <v>123</v>
      </c>
      <c r="C296">
        <v>1</v>
      </c>
      <c r="D296" t="s">
        <v>160</v>
      </c>
      <c r="E296">
        <v>1</v>
      </c>
      <c r="F296" s="1">
        <v>42006</v>
      </c>
      <c r="G296" t="s">
        <v>190</v>
      </c>
      <c r="H296" s="2">
        <v>36526.841770833336</v>
      </c>
      <c r="I296">
        <v>12</v>
      </c>
      <c r="J296">
        <v>12</v>
      </c>
      <c r="K296" t="s">
        <v>198</v>
      </c>
      <c r="L296" t="s">
        <v>14</v>
      </c>
      <c r="M296" t="s">
        <v>55</v>
      </c>
      <c r="N296" t="s">
        <v>56</v>
      </c>
    </row>
    <row r="297" spans="1:14" x14ac:dyDescent="0.3">
      <c r="A297">
        <v>1720</v>
      </c>
      <c r="B297">
        <v>764</v>
      </c>
      <c r="C297">
        <v>0.5</v>
      </c>
      <c r="D297" t="s">
        <v>140</v>
      </c>
      <c r="E297">
        <v>1</v>
      </c>
      <c r="F297" s="1">
        <v>42017</v>
      </c>
      <c r="G297" t="s">
        <v>187</v>
      </c>
      <c r="H297" s="2">
        <v>36526.694201388891</v>
      </c>
      <c r="I297">
        <v>25.5</v>
      </c>
      <c r="J297">
        <v>25.5</v>
      </c>
      <c r="K297" t="s">
        <v>199</v>
      </c>
      <c r="L297" t="s">
        <v>14</v>
      </c>
      <c r="M297" t="s">
        <v>45</v>
      </c>
      <c r="N297" t="s">
        <v>46</v>
      </c>
    </row>
    <row r="298" spans="1:14" x14ac:dyDescent="0.3">
      <c r="A298">
        <v>1718</v>
      </c>
      <c r="B298">
        <v>763</v>
      </c>
      <c r="C298">
        <v>1</v>
      </c>
      <c r="D298" t="s">
        <v>17</v>
      </c>
      <c r="E298">
        <v>1</v>
      </c>
      <c r="F298" s="1">
        <v>42017</v>
      </c>
      <c r="G298" t="s">
        <v>187</v>
      </c>
      <c r="H298" s="2">
        <v>36526.693715277775</v>
      </c>
      <c r="I298">
        <v>16</v>
      </c>
      <c r="J298">
        <v>16</v>
      </c>
      <c r="K298" t="s">
        <v>197</v>
      </c>
      <c r="L298" t="s">
        <v>14</v>
      </c>
      <c r="M298" t="s">
        <v>18</v>
      </c>
      <c r="N298" t="s">
        <v>19</v>
      </c>
    </row>
    <row r="299" spans="1:14" x14ac:dyDescent="0.3">
      <c r="A299">
        <v>1717</v>
      </c>
      <c r="B299">
        <v>762</v>
      </c>
      <c r="C299">
        <v>0.25</v>
      </c>
      <c r="D299" t="s">
        <v>140</v>
      </c>
      <c r="E299">
        <v>1</v>
      </c>
      <c r="F299" s="1">
        <v>42017</v>
      </c>
      <c r="G299" t="s">
        <v>187</v>
      </c>
      <c r="H299" s="2">
        <v>36526.692083333335</v>
      </c>
      <c r="I299">
        <v>25.5</v>
      </c>
      <c r="J299">
        <v>25.5</v>
      </c>
      <c r="K299" t="s">
        <v>199</v>
      </c>
      <c r="L299" t="s">
        <v>14</v>
      </c>
      <c r="M299" t="s">
        <v>45</v>
      </c>
      <c r="N299" t="s">
        <v>46</v>
      </c>
    </row>
    <row r="300" spans="1:14" x14ac:dyDescent="0.3">
      <c r="A300">
        <v>297</v>
      </c>
      <c r="B300">
        <v>124</v>
      </c>
      <c r="C300">
        <v>0.25</v>
      </c>
      <c r="D300" t="s">
        <v>44</v>
      </c>
      <c r="E300">
        <v>1</v>
      </c>
      <c r="F300" s="1">
        <v>42006</v>
      </c>
      <c r="G300" t="s">
        <v>190</v>
      </c>
      <c r="H300" s="2">
        <v>36526.842060185183</v>
      </c>
      <c r="I300">
        <v>12</v>
      </c>
      <c r="J300">
        <v>12</v>
      </c>
      <c r="K300" t="s">
        <v>198</v>
      </c>
      <c r="L300" t="s">
        <v>14</v>
      </c>
      <c r="M300" t="s">
        <v>45</v>
      </c>
      <c r="N300" t="s">
        <v>46</v>
      </c>
    </row>
    <row r="301" spans="1:14" x14ac:dyDescent="0.3">
      <c r="A301">
        <v>298</v>
      </c>
      <c r="B301">
        <v>125</v>
      </c>
      <c r="C301">
        <v>1</v>
      </c>
      <c r="D301" t="s">
        <v>140</v>
      </c>
      <c r="E301">
        <v>1</v>
      </c>
      <c r="F301" s="1">
        <v>42006</v>
      </c>
      <c r="G301" t="s">
        <v>190</v>
      </c>
      <c r="H301" s="2">
        <v>36526.854930555557</v>
      </c>
      <c r="I301">
        <v>25.5</v>
      </c>
      <c r="J301">
        <v>25.5</v>
      </c>
      <c r="K301" t="s">
        <v>199</v>
      </c>
      <c r="L301" t="s">
        <v>14</v>
      </c>
      <c r="M301" t="s">
        <v>45</v>
      </c>
      <c r="N301" t="s">
        <v>46</v>
      </c>
    </row>
    <row r="302" spans="1:14" x14ac:dyDescent="0.3">
      <c r="A302">
        <v>1714</v>
      </c>
      <c r="B302">
        <v>762</v>
      </c>
      <c r="C302">
        <v>0.25</v>
      </c>
      <c r="D302" t="s">
        <v>54</v>
      </c>
      <c r="E302">
        <v>1</v>
      </c>
      <c r="F302" s="1">
        <v>42017</v>
      </c>
      <c r="G302" t="s">
        <v>187</v>
      </c>
      <c r="H302" s="2">
        <v>36526.692083333335</v>
      </c>
      <c r="I302">
        <v>20.5</v>
      </c>
      <c r="J302">
        <v>20.5</v>
      </c>
      <c r="K302" t="s">
        <v>196</v>
      </c>
      <c r="L302" t="s">
        <v>14</v>
      </c>
      <c r="M302" t="s">
        <v>55</v>
      </c>
      <c r="N302" t="s">
        <v>56</v>
      </c>
    </row>
    <row r="303" spans="1:14" x14ac:dyDescent="0.3">
      <c r="A303">
        <v>300</v>
      </c>
      <c r="B303">
        <v>127</v>
      </c>
      <c r="C303">
        <v>1</v>
      </c>
      <c r="D303" t="s">
        <v>119</v>
      </c>
      <c r="E303">
        <v>1</v>
      </c>
      <c r="F303" s="1">
        <v>42006</v>
      </c>
      <c r="G303" t="s">
        <v>190</v>
      </c>
      <c r="H303" s="2">
        <v>36526.873877314814</v>
      </c>
      <c r="I303">
        <v>12.5</v>
      </c>
      <c r="J303">
        <v>12.5</v>
      </c>
      <c r="K303" t="s">
        <v>197</v>
      </c>
      <c r="L303" t="s">
        <v>14</v>
      </c>
      <c r="M303" t="s">
        <v>78</v>
      </c>
      <c r="N303" t="s">
        <v>79</v>
      </c>
    </row>
    <row r="304" spans="1:14" x14ac:dyDescent="0.3">
      <c r="A304">
        <v>1705</v>
      </c>
      <c r="B304">
        <v>757</v>
      </c>
      <c r="C304">
        <v>0.25</v>
      </c>
      <c r="D304" t="s">
        <v>119</v>
      </c>
      <c r="E304">
        <v>1</v>
      </c>
      <c r="F304" s="1">
        <v>42017</v>
      </c>
      <c r="G304" t="s">
        <v>187</v>
      </c>
      <c r="H304" s="2">
        <v>36526.674004629633</v>
      </c>
      <c r="I304">
        <v>12.5</v>
      </c>
      <c r="J304">
        <v>12.5</v>
      </c>
      <c r="K304" t="s">
        <v>197</v>
      </c>
      <c r="L304" t="s">
        <v>14</v>
      </c>
      <c r="M304" t="s">
        <v>78</v>
      </c>
      <c r="N304" t="s">
        <v>79</v>
      </c>
    </row>
    <row r="305" spans="1:14" x14ac:dyDescent="0.3">
      <c r="A305">
        <v>302</v>
      </c>
      <c r="B305">
        <v>129</v>
      </c>
      <c r="C305">
        <v>0.5</v>
      </c>
      <c r="D305" t="s">
        <v>84</v>
      </c>
      <c r="E305">
        <v>1</v>
      </c>
      <c r="F305" s="1">
        <v>42006</v>
      </c>
      <c r="G305" t="s">
        <v>190</v>
      </c>
      <c r="H305" s="2">
        <v>36526.884050925924</v>
      </c>
      <c r="I305">
        <v>12</v>
      </c>
      <c r="J305">
        <v>12</v>
      </c>
      <c r="K305" t="s">
        <v>198</v>
      </c>
      <c r="L305" t="s">
        <v>14</v>
      </c>
      <c r="M305" t="s">
        <v>85</v>
      </c>
      <c r="N305" t="s">
        <v>86</v>
      </c>
    </row>
    <row r="306" spans="1:14" x14ac:dyDescent="0.3">
      <c r="A306">
        <v>303</v>
      </c>
      <c r="B306">
        <v>129</v>
      </c>
      <c r="C306">
        <v>0.5</v>
      </c>
      <c r="D306" t="s">
        <v>155</v>
      </c>
      <c r="E306">
        <v>1</v>
      </c>
      <c r="F306" s="1">
        <v>42006</v>
      </c>
      <c r="G306" t="s">
        <v>190</v>
      </c>
      <c r="H306" s="2">
        <v>36526.884050925924</v>
      </c>
      <c r="I306">
        <v>16</v>
      </c>
      <c r="J306">
        <v>16</v>
      </c>
      <c r="K306" t="s">
        <v>197</v>
      </c>
      <c r="L306" t="s">
        <v>14</v>
      </c>
      <c r="M306" t="s">
        <v>45</v>
      </c>
      <c r="N306" t="s">
        <v>46</v>
      </c>
    </row>
    <row r="307" spans="1:14" x14ac:dyDescent="0.3">
      <c r="A307">
        <v>304</v>
      </c>
      <c r="B307">
        <v>130</v>
      </c>
      <c r="C307">
        <v>0.25</v>
      </c>
      <c r="D307" t="s">
        <v>132</v>
      </c>
      <c r="E307">
        <v>1</v>
      </c>
      <c r="F307" s="1">
        <v>42006</v>
      </c>
      <c r="G307" t="s">
        <v>190</v>
      </c>
      <c r="H307" s="2">
        <v>36526.885358796295</v>
      </c>
      <c r="I307">
        <v>10.5</v>
      </c>
      <c r="J307">
        <v>10.5</v>
      </c>
      <c r="K307" t="s">
        <v>198</v>
      </c>
      <c r="L307" t="s">
        <v>14</v>
      </c>
      <c r="M307" t="s">
        <v>15</v>
      </c>
      <c r="N307" t="s">
        <v>16</v>
      </c>
    </row>
    <row r="308" spans="1:14" x14ac:dyDescent="0.3">
      <c r="A308">
        <v>305</v>
      </c>
      <c r="B308">
        <v>130</v>
      </c>
      <c r="C308">
        <v>0.25</v>
      </c>
      <c r="D308" t="s">
        <v>54</v>
      </c>
      <c r="E308">
        <v>1</v>
      </c>
      <c r="F308" s="1">
        <v>42006</v>
      </c>
      <c r="G308" t="s">
        <v>190</v>
      </c>
      <c r="H308" s="2">
        <v>36526.885358796295</v>
      </c>
      <c r="I308">
        <v>20.5</v>
      </c>
      <c r="J308">
        <v>20.5</v>
      </c>
      <c r="K308" t="s">
        <v>196</v>
      </c>
      <c r="L308" t="s">
        <v>14</v>
      </c>
      <c r="M308" t="s">
        <v>55</v>
      </c>
      <c r="N308" t="s">
        <v>56</v>
      </c>
    </row>
    <row r="309" spans="1:14" x14ac:dyDescent="0.3">
      <c r="A309">
        <v>1704</v>
      </c>
      <c r="B309">
        <v>757</v>
      </c>
      <c r="C309">
        <v>0.25</v>
      </c>
      <c r="D309" t="s">
        <v>112</v>
      </c>
      <c r="E309">
        <v>1</v>
      </c>
      <c r="F309" s="1">
        <v>42017</v>
      </c>
      <c r="G309" t="s">
        <v>187</v>
      </c>
      <c r="H309" s="2">
        <v>36526.674004629633</v>
      </c>
      <c r="I309">
        <v>20.5</v>
      </c>
      <c r="J309">
        <v>20.5</v>
      </c>
      <c r="K309" t="s">
        <v>196</v>
      </c>
      <c r="L309" t="s">
        <v>14</v>
      </c>
      <c r="M309" t="s">
        <v>94</v>
      </c>
      <c r="N309" t="s">
        <v>95</v>
      </c>
    </row>
    <row r="310" spans="1:14" x14ac:dyDescent="0.3">
      <c r="A310">
        <v>1697</v>
      </c>
      <c r="B310">
        <v>754</v>
      </c>
      <c r="C310">
        <v>0.5</v>
      </c>
      <c r="D310" t="s">
        <v>148</v>
      </c>
      <c r="E310">
        <v>1</v>
      </c>
      <c r="F310" s="1">
        <v>42017</v>
      </c>
      <c r="G310" t="s">
        <v>187</v>
      </c>
      <c r="H310" s="2">
        <v>36526.65828703704</v>
      </c>
      <c r="I310">
        <v>14.5</v>
      </c>
      <c r="J310">
        <v>14.5</v>
      </c>
      <c r="K310" t="s">
        <v>197</v>
      </c>
      <c r="L310" t="s">
        <v>14</v>
      </c>
      <c r="M310" t="s">
        <v>130</v>
      </c>
      <c r="N310" t="s">
        <v>131</v>
      </c>
    </row>
    <row r="311" spans="1:14" x14ac:dyDescent="0.3">
      <c r="A311">
        <v>1694</v>
      </c>
      <c r="B311">
        <v>753</v>
      </c>
      <c r="C311">
        <v>0.25</v>
      </c>
      <c r="D311" t="s">
        <v>132</v>
      </c>
      <c r="E311">
        <v>1</v>
      </c>
      <c r="F311" s="1">
        <v>42017</v>
      </c>
      <c r="G311" t="s">
        <v>187</v>
      </c>
      <c r="H311" s="2">
        <v>36526.640405092592</v>
      </c>
      <c r="I311">
        <v>10.5</v>
      </c>
      <c r="J311">
        <v>10.5</v>
      </c>
      <c r="K311" t="s">
        <v>198</v>
      </c>
      <c r="L311" t="s">
        <v>14</v>
      </c>
      <c r="M311" t="s">
        <v>15</v>
      </c>
      <c r="N311" t="s">
        <v>16</v>
      </c>
    </row>
    <row r="312" spans="1:14" x14ac:dyDescent="0.3">
      <c r="A312">
        <v>1691</v>
      </c>
      <c r="B312">
        <v>752</v>
      </c>
      <c r="C312">
        <v>0.5</v>
      </c>
      <c r="D312" t="s">
        <v>132</v>
      </c>
      <c r="E312">
        <v>1</v>
      </c>
      <c r="F312" s="1">
        <v>42017</v>
      </c>
      <c r="G312" t="s">
        <v>187</v>
      </c>
      <c r="H312" s="2">
        <v>36526.638483796298</v>
      </c>
      <c r="I312">
        <v>10.5</v>
      </c>
      <c r="J312">
        <v>10.5</v>
      </c>
      <c r="K312" t="s">
        <v>198</v>
      </c>
      <c r="L312" t="s">
        <v>14</v>
      </c>
      <c r="M312" t="s">
        <v>15</v>
      </c>
      <c r="N312" t="s">
        <v>16</v>
      </c>
    </row>
    <row r="313" spans="1:14" x14ac:dyDescent="0.3">
      <c r="A313">
        <v>1689</v>
      </c>
      <c r="B313">
        <v>751</v>
      </c>
      <c r="C313">
        <v>0.25</v>
      </c>
      <c r="D313" t="s">
        <v>93</v>
      </c>
      <c r="E313">
        <v>1</v>
      </c>
      <c r="F313" s="1">
        <v>42017</v>
      </c>
      <c r="G313" t="s">
        <v>187</v>
      </c>
      <c r="H313" s="2">
        <v>36526.630266203705</v>
      </c>
      <c r="I313">
        <v>12</v>
      </c>
      <c r="J313">
        <v>12</v>
      </c>
      <c r="K313" t="s">
        <v>198</v>
      </c>
      <c r="L313" t="s">
        <v>14</v>
      </c>
      <c r="M313" t="s">
        <v>94</v>
      </c>
      <c r="N313" t="s">
        <v>95</v>
      </c>
    </row>
    <row r="314" spans="1:14" x14ac:dyDescent="0.3">
      <c r="A314">
        <v>1688</v>
      </c>
      <c r="B314">
        <v>751</v>
      </c>
      <c r="C314">
        <v>0.25</v>
      </c>
      <c r="D314" t="s">
        <v>132</v>
      </c>
      <c r="E314">
        <v>1</v>
      </c>
      <c r="F314" s="1">
        <v>42017</v>
      </c>
      <c r="G314" t="s">
        <v>187</v>
      </c>
      <c r="H314" s="2">
        <v>36526.630266203705</v>
      </c>
      <c r="I314">
        <v>10.5</v>
      </c>
      <c r="J314">
        <v>10.5</v>
      </c>
      <c r="K314" t="s">
        <v>198</v>
      </c>
      <c r="L314" t="s">
        <v>14</v>
      </c>
      <c r="M314" t="s">
        <v>15</v>
      </c>
      <c r="N314" t="s">
        <v>16</v>
      </c>
    </row>
    <row r="315" spans="1:14" x14ac:dyDescent="0.3">
      <c r="A315">
        <v>312</v>
      </c>
      <c r="B315">
        <v>132</v>
      </c>
      <c r="C315">
        <v>1</v>
      </c>
      <c r="D315" t="s">
        <v>126</v>
      </c>
      <c r="E315">
        <v>1</v>
      </c>
      <c r="F315" s="1">
        <v>42006</v>
      </c>
      <c r="G315" t="s">
        <v>190</v>
      </c>
      <c r="H315" s="2">
        <v>36526.904687499999</v>
      </c>
      <c r="I315">
        <v>9.75</v>
      </c>
      <c r="J315">
        <v>9.75</v>
      </c>
      <c r="K315" t="s">
        <v>198</v>
      </c>
      <c r="L315" t="s">
        <v>14</v>
      </c>
      <c r="M315" t="s">
        <v>78</v>
      </c>
      <c r="N315" t="s">
        <v>79</v>
      </c>
    </row>
    <row r="316" spans="1:14" x14ac:dyDescent="0.3">
      <c r="A316">
        <v>1686</v>
      </c>
      <c r="B316">
        <v>750</v>
      </c>
      <c r="C316">
        <v>1</v>
      </c>
      <c r="D316" t="s">
        <v>148</v>
      </c>
      <c r="E316">
        <v>1</v>
      </c>
      <c r="F316" s="1">
        <v>42017</v>
      </c>
      <c r="G316" t="s">
        <v>187</v>
      </c>
      <c r="H316" s="2">
        <v>36526.616770833331</v>
      </c>
      <c r="I316">
        <v>14.5</v>
      </c>
      <c r="J316">
        <v>14.5</v>
      </c>
      <c r="K316" t="s">
        <v>197</v>
      </c>
      <c r="L316" t="s">
        <v>14</v>
      </c>
      <c r="M316" t="s">
        <v>130</v>
      </c>
      <c r="N316" t="s">
        <v>131</v>
      </c>
    </row>
    <row r="317" spans="1:14" x14ac:dyDescent="0.3">
      <c r="A317">
        <v>314</v>
      </c>
      <c r="B317">
        <v>133</v>
      </c>
      <c r="C317">
        <v>0.33333333333333331</v>
      </c>
      <c r="D317" t="s">
        <v>142</v>
      </c>
      <c r="E317">
        <v>1</v>
      </c>
      <c r="F317" s="1">
        <v>42006</v>
      </c>
      <c r="G317" t="s">
        <v>190</v>
      </c>
      <c r="H317" s="2">
        <v>36526.916863425926</v>
      </c>
      <c r="I317">
        <v>16.5</v>
      </c>
      <c r="J317">
        <v>16.5</v>
      </c>
      <c r="K317" t="s">
        <v>196</v>
      </c>
      <c r="L317" t="s">
        <v>14</v>
      </c>
      <c r="M317" t="s">
        <v>15</v>
      </c>
      <c r="N317" t="s">
        <v>16</v>
      </c>
    </row>
    <row r="318" spans="1:14" x14ac:dyDescent="0.3">
      <c r="A318">
        <v>315</v>
      </c>
      <c r="B318">
        <v>133</v>
      </c>
      <c r="C318">
        <v>0.33333333333333331</v>
      </c>
      <c r="D318" t="s">
        <v>44</v>
      </c>
      <c r="E318">
        <v>1</v>
      </c>
      <c r="F318" s="1">
        <v>42006</v>
      </c>
      <c r="G318" t="s">
        <v>190</v>
      </c>
      <c r="H318" s="2">
        <v>36526.916863425926</v>
      </c>
      <c r="I318">
        <v>12</v>
      </c>
      <c r="J318">
        <v>12</v>
      </c>
      <c r="K318" t="s">
        <v>198</v>
      </c>
      <c r="L318" t="s">
        <v>14</v>
      </c>
      <c r="M318" t="s">
        <v>45</v>
      </c>
      <c r="N318" t="s">
        <v>46</v>
      </c>
    </row>
    <row r="319" spans="1:14" x14ac:dyDescent="0.3">
      <c r="A319">
        <v>316</v>
      </c>
      <c r="B319">
        <v>134</v>
      </c>
      <c r="C319">
        <v>0.33333333333333331</v>
      </c>
      <c r="D319" t="s">
        <v>84</v>
      </c>
      <c r="E319">
        <v>1</v>
      </c>
      <c r="F319" s="1">
        <v>42006</v>
      </c>
      <c r="G319" t="s">
        <v>190</v>
      </c>
      <c r="H319" s="2">
        <v>36526.92597222222</v>
      </c>
      <c r="I319">
        <v>12</v>
      </c>
      <c r="J319">
        <v>12</v>
      </c>
      <c r="K319" t="s">
        <v>198</v>
      </c>
      <c r="L319" t="s">
        <v>14</v>
      </c>
      <c r="M319" t="s">
        <v>85</v>
      </c>
      <c r="N319" t="s">
        <v>86</v>
      </c>
    </row>
    <row r="320" spans="1:14" x14ac:dyDescent="0.3">
      <c r="A320">
        <v>1685</v>
      </c>
      <c r="B320">
        <v>749</v>
      </c>
      <c r="C320">
        <v>1</v>
      </c>
      <c r="D320" t="s">
        <v>119</v>
      </c>
      <c r="E320">
        <v>1</v>
      </c>
      <c r="F320" s="1">
        <v>42017</v>
      </c>
      <c r="G320" t="s">
        <v>187</v>
      </c>
      <c r="H320" s="2">
        <v>36526.603738425925</v>
      </c>
      <c r="I320">
        <v>12.5</v>
      </c>
      <c r="J320">
        <v>12.5</v>
      </c>
      <c r="K320" t="s">
        <v>197</v>
      </c>
      <c r="L320" t="s">
        <v>14</v>
      </c>
      <c r="M320" t="s">
        <v>78</v>
      </c>
      <c r="N320" t="s">
        <v>79</v>
      </c>
    </row>
    <row r="321" spans="1:14" x14ac:dyDescent="0.3">
      <c r="A321">
        <v>1678</v>
      </c>
      <c r="B321">
        <v>745</v>
      </c>
      <c r="C321">
        <v>0.14285714285714285</v>
      </c>
      <c r="D321" t="s">
        <v>155</v>
      </c>
      <c r="E321">
        <v>1</v>
      </c>
      <c r="F321" s="1">
        <v>42017</v>
      </c>
      <c r="G321" t="s">
        <v>187</v>
      </c>
      <c r="H321" s="2">
        <v>36526.567280092589</v>
      </c>
      <c r="I321">
        <v>16</v>
      </c>
      <c r="J321">
        <v>16</v>
      </c>
      <c r="K321" t="s">
        <v>197</v>
      </c>
      <c r="L321" t="s">
        <v>14</v>
      </c>
      <c r="M321" t="s">
        <v>45</v>
      </c>
      <c r="N321" t="s">
        <v>46</v>
      </c>
    </row>
    <row r="322" spans="1:14" x14ac:dyDescent="0.3">
      <c r="A322">
        <v>1677</v>
      </c>
      <c r="B322">
        <v>745</v>
      </c>
      <c r="C322">
        <v>0.14285714285714285</v>
      </c>
      <c r="D322" t="s">
        <v>112</v>
      </c>
      <c r="E322">
        <v>1</v>
      </c>
      <c r="F322" s="1">
        <v>42017</v>
      </c>
      <c r="G322" t="s">
        <v>187</v>
      </c>
      <c r="H322" s="2">
        <v>36526.567280092589</v>
      </c>
      <c r="I322">
        <v>20.5</v>
      </c>
      <c r="J322">
        <v>20.5</v>
      </c>
      <c r="K322" t="s">
        <v>196</v>
      </c>
      <c r="L322" t="s">
        <v>14</v>
      </c>
      <c r="M322" t="s">
        <v>94</v>
      </c>
      <c r="N322" t="s">
        <v>95</v>
      </c>
    </row>
    <row r="323" spans="1:14" x14ac:dyDescent="0.3">
      <c r="A323">
        <v>1674</v>
      </c>
      <c r="B323">
        <v>745</v>
      </c>
      <c r="C323">
        <v>0.14285714285714285</v>
      </c>
      <c r="D323" t="s">
        <v>17</v>
      </c>
      <c r="E323">
        <v>1</v>
      </c>
      <c r="F323" s="1">
        <v>42017</v>
      </c>
      <c r="G323" t="s">
        <v>187</v>
      </c>
      <c r="H323" s="2">
        <v>36526.567280092589</v>
      </c>
      <c r="I323">
        <v>16</v>
      </c>
      <c r="J323">
        <v>16</v>
      </c>
      <c r="K323" t="s">
        <v>197</v>
      </c>
      <c r="L323" t="s">
        <v>14</v>
      </c>
      <c r="M323" t="s">
        <v>18</v>
      </c>
      <c r="N323" t="s">
        <v>19</v>
      </c>
    </row>
    <row r="324" spans="1:14" x14ac:dyDescent="0.3">
      <c r="A324">
        <v>1670</v>
      </c>
      <c r="B324">
        <v>743</v>
      </c>
      <c r="C324">
        <v>1</v>
      </c>
      <c r="D324" t="s">
        <v>112</v>
      </c>
      <c r="E324">
        <v>1</v>
      </c>
      <c r="F324" s="1">
        <v>42017</v>
      </c>
      <c r="G324" t="s">
        <v>187</v>
      </c>
      <c r="H324" s="2">
        <v>36526.547592592593</v>
      </c>
      <c r="I324">
        <v>20.5</v>
      </c>
      <c r="J324">
        <v>20.5</v>
      </c>
      <c r="K324" t="s">
        <v>196</v>
      </c>
      <c r="L324" t="s">
        <v>14</v>
      </c>
      <c r="M324" t="s">
        <v>94</v>
      </c>
      <c r="N324" t="s">
        <v>95</v>
      </c>
    </row>
    <row r="325" spans="1:14" x14ac:dyDescent="0.3">
      <c r="A325">
        <v>1668</v>
      </c>
      <c r="B325">
        <v>741</v>
      </c>
      <c r="C325">
        <v>1</v>
      </c>
      <c r="D325" t="s">
        <v>163</v>
      </c>
      <c r="E325">
        <v>1</v>
      </c>
      <c r="F325" s="1">
        <v>42017</v>
      </c>
      <c r="G325" t="s">
        <v>187</v>
      </c>
      <c r="H325" s="2">
        <v>36526.534131944441</v>
      </c>
      <c r="I325">
        <v>16</v>
      </c>
      <c r="J325">
        <v>16</v>
      </c>
      <c r="K325" t="s">
        <v>197</v>
      </c>
      <c r="L325" t="s">
        <v>14</v>
      </c>
      <c r="M325" t="s">
        <v>94</v>
      </c>
      <c r="N325" t="s">
        <v>95</v>
      </c>
    </row>
    <row r="326" spans="1:14" x14ac:dyDescent="0.3">
      <c r="A326">
        <v>323</v>
      </c>
      <c r="B326">
        <v>137</v>
      </c>
      <c r="C326">
        <v>0.33333333333333331</v>
      </c>
      <c r="D326" t="s">
        <v>126</v>
      </c>
      <c r="E326">
        <v>1</v>
      </c>
      <c r="F326" s="1">
        <v>42007</v>
      </c>
      <c r="G326" t="s">
        <v>191</v>
      </c>
      <c r="H326" s="2">
        <v>36526.482060185182</v>
      </c>
      <c r="I326">
        <v>9.75</v>
      </c>
      <c r="J326">
        <v>9.75</v>
      </c>
      <c r="K326" t="s">
        <v>198</v>
      </c>
      <c r="L326" t="s">
        <v>14</v>
      </c>
      <c r="M326" t="s">
        <v>78</v>
      </c>
      <c r="N326" t="s">
        <v>79</v>
      </c>
    </row>
    <row r="327" spans="1:14" x14ac:dyDescent="0.3">
      <c r="A327">
        <v>1667</v>
      </c>
      <c r="B327">
        <v>740</v>
      </c>
      <c r="C327">
        <v>7.6923076923076927E-2</v>
      </c>
      <c r="D327" t="s">
        <v>140</v>
      </c>
      <c r="E327">
        <v>1</v>
      </c>
      <c r="F327" s="1">
        <v>42017</v>
      </c>
      <c r="G327" t="s">
        <v>187</v>
      </c>
      <c r="H327" s="2">
        <v>36526.520729166667</v>
      </c>
      <c r="I327">
        <v>25.5</v>
      </c>
      <c r="J327">
        <v>25.5</v>
      </c>
      <c r="K327" t="s">
        <v>199</v>
      </c>
      <c r="L327" t="s">
        <v>14</v>
      </c>
      <c r="M327" t="s">
        <v>45</v>
      </c>
      <c r="N327" t="s">
        <v>46</v>
      </c>
    </row>
    <row r="328" spans="1:14" x14ac:dyDescent="0.3">
      <c r="A328">
        <v>1661</v>
      </c>
      <c r="B328">
        <v>740</v>
      </c>
      <c r="C328">
        <v>7.6923076923076927E-2</v>
      </c>
      <c r="D328" t="s">
        <v>112</v>
      </c>
      <c r="E328">
        <v>1</v>
      </c>
      <c r="F328" s="1">
        <v>42017</v>
      </c>
      <c r="G328" t="s">
        <v>187</v>
      </c>
      <c r="H328" s="2">
        <v>36526.520729166667</v>
      </c>
      <c r="I328">
        <v>20.5</v>
      </c>
      <c r="J328">
        <v>20.5</v>
      </c>
      <c r="K328" t="s">
        <v>196</v>
      </c>
      <c r="L328" t="s">
        <v>14</v>
      </c>
      <c r="M328" t="s">
        <v>94</v>
      </c>
      <c r="N328" t="s">
        <v>95</v>
      </c>
    </row>
    <row r="329" spans="1:14" x14ac:dyDescent="0.3">
      <c r="A329">
        <v>1659</v>
      </c>
      <c r="B329">
        <v>740</v>
      </c>
      <c r="C329">
        <v>7.6923076923076927E-2</v>
      </c>
      <c r="D329" t="s">
        <v>54</v>
      </c>
      <c r="E329">
        <v>2</v>
      </c>
      <c r="F329" s="1">
        <v>42017</v>
      </c>
      <c r="G329" t="s">
        <v>187</v>
      </c>
      <c r="H329" s="2">
        <v>36526.520729166667</v>
      </c>
      <c r="I329">
        <v>20.5</v>
      </c>
      <c r="J329">
        <v>41</v>
      </c>
      <c r="K329" t="s">
        <v>196</v>
      </c>
      <c r="L329" t="s">
        <v>14</v>
      </c>
      <c r="M329" t="s">
        <v>55</v>
      </c>
      <c r="N329" t="s">
        <v>56</v>
      </c>
    </row>
    <row r="330" spans="1:14" x14ac:dyDescent="0.3">
      <c r="A330">
        <v>1654</v>
      </c>
      <c r="B330">
        <v>739</v>
      </c>
      <c r="C330">
        <v>1</v>
      </c>
      <c r="D330" t="s">
        <v>84</v>
      </c>
      <c r="E330">
        <v>1</v>
      </c>
      <c r="F330" s="1">
        <v>42017</v>
      </c>
      <c r="G330" t="s">
        <v>187</v>
      </c>
      <c r="H330" s="2">
        <v>36526.51363425926</v>
      </c>
      <c r="I330">
        <v>12</v>
      </c>
      <c r="J330">
        <v>12</v>
      </c>
      <c r="K330" t="s">
        <v>198</v>
      </c>
      <c r="L330" t="s">
        <v>14</v>
      </c>
      <c r="M330" t="s">
        <v>85</v>
      </c>
      <c r="N330" t="s">
        <v>86</v>
      </c>
    </row>
    <row r="331" spans="1:14" x14ac:dyDescent="0.3">
      <c r="A331">
        <v>1648</v>
      </c>
      <c r="B331">
        <v>735</v>
      </c>
      <c r="C331">
        <v>0.33333333333333331</v>
      </c>
      <c r="D331" t="s">
        <v>143</v>
      </c>
      <c r="E331">
        <v>1</v>
      </c>
      <c r="F331" s="1">
        <v>42016</v>
      </c>
      <c r="G331" t="s">
        <v>186</v>
      </c>
      <c r="H331" s="2">
        <v>36526.858032407406</v>
      </c>
      <c r="I331">
        <v>11</v>
      </c>
      <c r="J331">
        <v>11</v>
      </c>
      <c r="K331" t="s">
        <v>198</v>
      </c>
      <c r="L331" t="s">
        <v>14</v>
      </c>
      <c r="M331" t="s">
        <v>130</v>
      </c>
      <c r="N331" t="s">
        <v>131</v>
      </c>
    </row>
    <row r="332" spans="1:14" x14ac:dyDescent="0.3">
      <c r="A332">
        <v>1647</v>
      </c>
      <c r="B332">
        <v>735</v>
      </c>
      <c r="C332">
        <v>0.33333333333333331</v>
      </c>
      <c r="D332" t="s">
        <v>148</v>
      </c>
      <c r="E332">
        <v>1</v>
      </c>
      <c r="F332" s="1">
        <v>42016</v>
      </c>
      <c r="G332" t="s">
        <v>186</v>
      </c>
      <c r="H332" s="2">
        <v>36526.858032407406</v>
      </c>
      <c r="I332">
        <v>14.5</v>
      </c>
      <c r="J332">
        <v>14.5</v>
      </c>
      <c r="K332" t="s">
        <v>197</v>
      </c>
      <c r="L332" t="s">
        <v>14</v>
      </c>
      <c r="M332" t="s">
        <v>130</v>
      </c>
      <c r="N332" t="s">
        <v>131</v>
      </c>
    </row>
    <row r="333" spans="1:14" x14ac:dyDescent="0.3">
      <c r="A333">
        <v>1645</v>
      </c>
      <c r="B333">
        <v>734</v>
      </c>
      <c r="C333">
        <v>1</v>
      </c>
      <c r="D333" t="s">
        <v>126</v>
      </c>
      <c r="E333">
        <v>1</v>
      </c>
      <c r="F333" s="1">
        <v>42016</v>
      </c>
      <c r="G333" t="s">
        <v>186</v>
      </c>
      <c r="H333" s="2">
        <v>36526.833680555559</v>
      </c>
      <c r="I333">
        <v>9.75</v>
      </c>
      <c r="J333">
        <v>9.75</v>
      </c>
      <c r="K333" t="s">
        <v>198</v>
      </c>
      <c r="L333" t="s">
        <v>14</v>
      </c>
      <c r="M333" t="s">
        <v>78</v>
      </c>
      <c r="N333" t="s">
        <v>79</v>
      </c>
    </row>
    <row r="334" spans="1:14" x14ac:dyDescent="0.3">
      <c r="A334">
        <v>1643</v>
      </c>
      <c r="B334">
        <v>733</v>
      </c>
      <c r="C334">
        <v>0.25</v>
      </c>
      <c r="D334" t="s">
        <v>126</v>
      </c>
      <c r="E334">
        <v>1</v>
      </c>
      <c r="F334" s="1">
        <v>42016</v>
      </c>
      <c r="G334" t="s">
        <v>186</v>
      </c>
      <c r="H334" s="2">
        <v>36526.831666666665</v>
      </c>
      <c r="I334">
        <v>9.75</v>
      </c>
      <c r="J334">
        <v>9.75</v>
      </c>
      <c r="K334" t="s">
        <v>198</v>
      </c>
      <c r="L334" t="s">
        <v>14</v>
      </c>
      <c r="M334" t="s">
        <v>78</v>
      </c>
      <c r="N334" t="s">
        <v>79</v>
      </c>
    </row>
    <row r="335" spans="1:14" x14ac:dyDescent="0.3">
      <c r="A335">
        <v>332</v>
      </c>
      <c r="B335">
        <v>141</v>
      </c>
      <c r="C335">
        <v>1</v>
      </c>
      <c r="D335" t="s">
        <v>17</v>
      </c>
      <c r="E335">
        <v>1</v>
      </c>
      <c r="F335" s="1">
        <v>42007</v>
      </c>
      <c r="G335" t="s">
        <v>191</v>
      </c>
      <c r="H335" s="2">
        <v>36526.552789351852</v>
      </c>
      <c r="I335">
        <v>16</v>
      </c>
      <c r="J335">
        <v>16</v>
      </c>
      <c r="K335" t="s">
        <v>197</v>
      </c>
      <c r="L335" t="s">
        <v>14</v>
      </c>
      <c r="M335" t="s">
        <v>18</v>
      </c>
      <c r="N335" t="s">
        <v>19</v>
      </c>
    </row>
    <row r="336" spans="1:14" x14ac:dyDescent="0.3">
      <c r="A336">
        <v>1642</v>
      </c>
      <c r="B336">
        <v>733</v>
      </c>
      <c r="C336">
        <v>0.25</v>
      </c>
      <c r="D336" t="s">
        <v>54</v>
      </c>
      <c r="E336">
        <v>1</v>
      </c>
      <c r="F336" s="1">
        <v>42016</v>
      </c>
      <c r="G336" t="s">
        <v>186</v>
      </c>
      <c r="H336" s="2">
        <v>36526.831666666665</v>
      </c>
      <c r="I336">
        <v>20.5</v>
      </c>
      <c r="J336">
        <v>20.5</v>
      </c>
      <c r="K336" t="s">
        <v>196</v>
      </c>
      <c r="L336" t="s">
        <v>14</v>
      </c>
      <c r="M336" t="s">
        <v>55</v>
      </c>
      <c r="N336" t="s">
        <v>56</v>
      </c>
    </row>
    <row r="337" spans="1:14" x14ac:dyDescent="0.3">
      <c r="A337">
        <v>1635</v>
      </c>
      <c r="B337">
        <v>729</v>
      </c>
      <c r="C337">
        <v>0.33333333333333331</v>
      </c>
      <c r="D337" t="s">
        <v>142</v>
      </c>
      <c r="E337">
        <v>1</v>
      </c>
      <c r="F337" s="1">
        <v>42016</v>
      </c>
      <c r="G337" t="s">
        <v>186</v>
      </c>
      <c r="H337" s="2">
        <v>36526.806030092594</v>
      </c>
      <c r="I337">
        <v>16.5</v>
      </c>
      <c r="J337">
        <v>16.5</v>
      </c>
      <c r="K337" t="s">
        <v>196</v>
      </c>
      <c r="L337" t="s">
        <v>14</v>
      </c>
      <c r="M337" t="s">
        <v>15</v>
      </c>
      <c r="N337" t="s">
        <v>16</v>
      </c>
    </row>
    <row r="338" spans="1:14" x14ac:dyDescent="0.3">
      <c r="A338">
        <v>335</v>
      </c>
      <c r="B338">
        <v>143</v>
      </c>
      <c r="C338">
        <v>0.125</v>
      </c>
      <c r="D338" t="s">
        <v>50</v>
      </c>
      <c r="E338">
        <v>1</v>
      </c>
      <c r="F338" s="1">
        <v>42007</v>
      </c>
      <c r="G338" t="s">
        <v>191</v>
      </c>
      <c r="H338" s="2">
        <v>36526.570555555554</v>
      </c>
      <c r="I338">
        <v>12</v>
      </c>
      <c r="J338">
        <v>12</v>
      </c>
      <c r="K338" t="s">
        <v>198</v>
      </c>
      <c r="L338" t="s">
        <v>14</v>
      </c>
      <c r="M338" t="s">
        <v>18</v>
      </c>
      <c r="N338" t="s">
        <v>19</v>
      </c>
    </row>
    <row r="339" spans="1:14" x14ac:dyDescent="0.3">
      <c r="A339">
        <v>336</v>
      </c>
      <c r="B339">
        <v>143</v>
      </c>
      <c r="C339">
        <v>0.125</v>
      </c>
      <c r="D339" t="s">
        <v>142</v>
      </c>
      <c r="E339">
        <v>1</v>
      </c>
      <c r="F339" s="1">
        <v>42007</v>
      </c>
      <c r="G339" t="s">
        <v>191</v>
      </c>
      <c r="H339" s="2">
        <v>36526.570555555554</v>
      </c>
      <c r="I339">
        <v>16.5</v>
      </c>
      <c r="J339">
        <v>16.5</v>
      </c>
      <c r="K339" t="s">
        <v>196</v>
      </c>
      <c r="L339" t="s">
        <v>14</v>
      </c>
      <c r="M339" t="s">
        <v>15</v>
      </c>
      <c r="N339" t="s">
        <v>16</v>
      </c>
    </row>
    <row r="340" spans="1:14" x14ac:dyDescent="0.3">
      <c r="A340">
        <v>1634</v>
      </c>
      <c r="B340">
        <v>729</v>
      </c>
      <c r="C340">
        <v>0.33333333333333331</v>
      </c>
      <c r="D340" t="s">
        <v>17</v>
      </c>
      <c r="E340">
        <v>1</v>
      </c>
      <c r="F340" s="1">
        <v>42016</v>
      </c>
      <c r="G340" t="s">
        <v>186</v>
      </c>
      <c r="H340" s="2">
        <v>36526.806030092594</v>
      </c>
      <c r="I340">
        <v>16</v>
      </c>
      <c r="J340">
        <v>16</v>
      </c>
      <c r="K340" t="s">
        <v>197</v>
      </c>
      <c r="L340" t="s">
        <v>14</v>
      </c>
      <c r="M340" t="s">
        <v>18</v>
      </c>
      <c r="N340" t="s">
        <v>19</v>
      </c>
    </row>
    <row r="341" spans="1:14" x14ac:dyDescent="0.3">
      <c r="A341">
        <v>338</v>
      </c>
      <c r="B341">
        <v>143</v>
      </c>
      <c r="C341">
        <v>0.125</v>
      </c>
      <c r="D341" t="s">
        <v>77</v>
      </c>
      <c r="E341">
        <v>1</v>
      </c>
      <c r="F341" s="1">
        <v>42007</v>
      </c>
      <c r="G341" t="s">
        <v>191</v>
      </c>
      <c r="H341" s="2">
        <v>36526.570555555554</v>
      </c>
      <c r="I341">
        <v>15.25</v>
      </c>
      <c r="J341">
        <v>15.25</v>
      </c>
      <c r="K341" t="s">
        <v>196</v>
      </c>
      <c r="L341" t="s">
        <v>14</v>
      </c>
      <c r="M341" t="s">
        <v>78</v>
      </c>
      <c r="N341" t="s">
        <v>79</v>
      </c>
    </row>
    <row r="342" spans="1:14" x14ac:dyDescent="0.3">
      <c r="A342">
        <v>1633</v>
      </c>
      <c r="B342">
        <v>728</v>
      </c>
      <c r="C342">
        <v>0.33333333333333331</v>
      </c>
      <c r="D342" t="s">
        <v>155</v>
      </c>
      <c r="E342">
        <v>1</v>
      </c>
      <c r="F342" s="1">
        <v>42016</v>
      </c>
      <c r="G342" t="s">
        <v>186</v>
      </c>
      <c r="H342" s="2">
        <v>36526.787002314813</v>
      </c>
      <c r="I342">
        <v>16</v>
      </c>
      <c r="J342">
        <v>16</v>
      </c>
      <c r="K342" t="s">
        <v>197</v>
      </c>
      <c r="L342" t="s">
        <v>14</v>
      </c>
      <c r="M342" t="s">
        <v>45</v>
      </c>
      <c r="N342" t="s">
        <v>46</v>
      </c>
    </row>
    <row r="343" spans="1:14" x14ac:dyDescent="0.3">
      <c r="A343">
        <v>1628</v>
      </c>
      <c r="B343">
        <v>725</v>
      </c>
      <c r="C343">
        <v>0.25</v>
      </c>
      <c r="D343" t="s">
        <v>140</v>
      </c>
      <c r="E343">
        <v>1</v>
      </c>
      <c r="F343" s="1">
        <v>42016</v>
      </c>
      <c r="G343" t="s">
        <v>186</v>
      </c>
      <c r="H343" s="2">
        <v>36526.773078703707</v>
      </c>
      <c r="I343">
        <v>25.5</v>
      </c>
      <c r="J343">
        <v>25.5</v>
      </c>
      <c r="K343" t="s">
        <v>199</v>
      </c>
      <c r="L343" t="s">
        <v>14</v>
      </c>
      <c r="M343" t="s">
        <v>45</v>
      </c>
      <c r="N343" t="s">
        <v>46</v>
      </c>
    </row>
    <row r="344" spans="1:14" x14ac:dyDescent="0.3">
      <c r="A344">
        <v>1625</v>
      </c>
      <c r="B344">
        <v>725</v>
      </c>
      <c r="C344">
        <v>0.25</v>
      </c>
      <c r="D344" t="s">
        <v>84</v>
      </c>
      <c r="E344">
        <v>1</v>
      </c>
      <c r="F344" s="1">
        <v>42016</v>
      </c>
      <c r="G344" t="s">
        <v>186</v>
      </c>
      <c r="H344" s="2">
        <v>36526.773078703707</v>
      </c>
      <c r="I344">
        <v>12</v>
      </c>
      <c r="J344">
        <v>12</v>
      </c>
      <c r="K344" t="s">
        <v>198</v>
      </c>
      <c r="L344" t="s">
        <v>14</v>
      </c>
      <c r="M344" t="s">
        <v>85</v>
      </c>
      <c r="N344" t="s">
        <v>86</v>
      </c>
    </row>
    <row r="345" spans="1:14" x14ac:dyDescent="0.3">
      <c r="A345">
        <v>1622</v>
      </c>
      <c r="B345">
        <v>724</v>
      </c>
      <c r="C345">
        <v>0.33333333333333331</v>
      </c>
      <c r="D345" t="s">
        <v>84</v>
      </c>
      <c r="E345">
        <v>1</v>
      </c>
      <c r="F345" s="1">
        <v>42016</v>
      </c>
      <c r="G345" t="s">
        <v>186</v>
      </c>
      <c r="H345" s="2">
        <v>36526.767210648148</v>
      </c>
      <c r="I345">
        <v>12</v>
      </c>
      <c r="J345">
        <v>12</v>
      </c>
      <c r="K345" t="s">
        <v>198</v>
      </c>
      <c r="L345" t="s">
        <v>14</v>
      </c>
      <c r="M345" t="s">
        <v>85</v>
      </c>
      <c r="N345" t="s">
        <v>86</v>
      </c>
    </row>
    <row r="346" spans="1:14" x14ac:dyDescent="0.3">
      <c r="A346">
        <v>343</v>
      </c>
      <c r="B346">
        <v>144</v>
      </c>
      <c r="C346">
        <v>8.3333333333333329E-2</v>
      </c>
      <c r="D346" t="s">
        <v>84</v>
      </c>
      <c r="E346">
        <v>1</v>
      </c>
      <c r="F346" s="1">
        <v>42007</v>
      </c>
      <c r="G346" t="s">
        <v>191</v>
      </c>
      <c r="H346" s="2">
        <v>36526.572546296295</v>
      </c>
      <c r="I346">
        <v>12</v>
      </c>
      <c r="J346">
        <v>12</v>
      </c>
      <c r="K346" t="s">
        <v>198</v>
      </c>
      <c r="L346" t="s">
        <v>14</v>
      </c>
      <c r="M346" t="s">
        <v>85</v>
      </c>
      <c r="N346" t="s">
        <v>86</v>
      </c>
    </row>
    <row r="347" spans="1:14" x14ac:dyDescent="0.3">
      <c r="A347">
        <v>1621</v>
      </c>
      <c r="B347">
        <v>723</v>
      </c>
      <c r="C347">
        <v>0.5</v>
      </c>
      <c r="D347" t="s">
        <v>126</v>
      </c>
      <c r="E347">
        <v>1</v>
      </c>
      <c r="F347" s="1">
        <v>42016</v>
      </c>
      <c r="G347" t="s">
        <v>186</v>
      </c>
      <c r="H347" s="2">
        <v>36526.76462962963</v>
      </c>
      <c r="I347">
        <v>9.75</v>
      </c>
      <c r="J347">
        <v>9.75</v>
      </c>
      <c r="K347" t="s">
        <v>198</v>
      </c>
      <c r="L347" t="s">
        <v>14</v>
      </c>
      <c r="M347" t="s">
        <v>78</v>
      </c>
      <c r="N347" t="s">
        <v>79</v>
      </c>
    </row>
    <row r="348" spans="1:14" x14ac:dyDescent="0.3">
      <c r="A348">
        <v>1618</v>
      </c>
      <c r="B348">
        <v>722</v>
      </c>
      <c r="C348">
        <v>0.5</v>
      </c>
      <c r="D348" t="s">
        <v>112</v>
      </c>
      <c r="E348">
        <v>1</v>
      </c>
      <c r="F348" s="1">
        <v>42016</v>
      </c>
      <c r="G348" t="s">
        <v>186</v>
      </c>
      <c r="H348" s="2">
        <v>36526.764560185184</v>
      </c>
      <c r="I348">
        <v>20.5</v>
      </c>
      <c r="J348">
        <v>20.5</v>
      </c>
      <c r="K348" t="s">
        <v>196</v>
      </c>
      <c r="L348" t="s">
        <v>14</v>
      </c>
      <c r="M348" t="s">
        <v>94</v>
      </c>
      <c r="N348" t="s">
        <v>95</v>
      </c>
    </row>
    <row r="349" spans="1:14" x14ac:dyDescent="0.3">
      <c r="A349">
        <v>1616</v>
      </c>
      <c r="B349">
        <v>721</v>
      </c>
      <c r="C349">
        <v>0.5</v>
      </c>
      <c r="D349" t="s">
        <v>50</v>
      </c>
      <c r="E349">
        <v>1</v>
      </c>
      <c r="F349" s="1">
        <v>42016</v>
      </c>
      <c r="G349" t="s">
        <v>186</v>
      </c>
      <c r="H349" s="2">
        <v>36526.761979166666</v>
      </c>
      <c r="I349">
        <v>12</v>
      </c>
      <c r="J349">
        <v>12</v>
      </c>
      <c r="K349" t="s">
        <v>198</v>
      </c>
      <c r="L349" t="s">
        <v>14</v>
      </c>
      <c r="M349" t="s">
        <v>18</v>
      </c>
      <c r="N349" t="s">
        <v>19</v>
      </c>
    </row>
    <row r="350" spans="1:14" x14ac:dyDescent="0.3">
      <c r="A350">
        <v>1614</v>
      </c>
      <c r="B350">
        <v>720</v>
      </c>
      <c r="C350">
        <v>0.25</v>
      </c>
      <c r="D350" t="s">
        <v>148</v>
      </c>
      <c r="E350">
        <v>1</v>
      </c>
      <c r="F350" s="1">
        <v>42016</v>
      </c>
      <c r="G350" t="s">
        <v>186</v>
      </c>
      <c r="H350" s="2">
        <v>36526.745821759258</v>
      </c>
      <c r="I350">
        <v>14.5</v>
      </c>
      <c r="J350">
        <v>14.5</v>
      </c>
      <c r="K350" t="s">
        <v>197</v>
      </c>
      <c r="L350" t="s">
        <v>14</v>
      </c>
      <c r="M350" t="s">
        <v>130</v>
      </c>
      <c r="N350" t="s">
        <v>131</v>
      </c>
    </row>
    <row r="351" spans="1:14" x14ac:dyDescent="0.3">
      <c r="A351">
        <v>348</v>
      </c>
      <c r="B351">
        <v>144</v>
      </c>
      <c r="C351">
        <v>8.3333333333333329E-2</v>
      </c>
      <c r="D351" t="s">
        <v>143</v>
      </c>
      <c r="E351">
        <v>1</v>
      </c>
      <c r="F351" s="1">
        <v>42007</v>
      </c>
      <c r="G351" t="s">
        <v>191</v>
      </c>
      <c r="H351" s="2">
        <v>36526.572546296295</v>
      </c>
      <c r="I351">
        <v>11</v>
      </c>
      <c r="J351">
        <v>11</v>
      </c>
      <c r="K351" t="s">
        <v>198</v>
      </c>
      <c r="L351" t="s">
        <v>14</v>
      </c>
      <c r="M351" t="s">
        <v>130</v>
      </c>
      <c r="N351" t="s">
        <v>131</v>
      </c>
    </row>
    <row r="352" spans="1:14" x14ac:dyDescent="0.3">
      <c r="A352">
        <v>1613</v>
      </c>
      <c r="B352">
        <v>720</v>
      </c>
      <c r="C352">
        <v>0.25</v>
      </c>
      <c r="D352" t="s">
        <v>112</v>
      </c>
      <c r="E352">
        <v>1</v>
      </c>
      <c r="F352" s="1">
        <v>42016</v>
      </c>
      <c r="G352" t="s">
        <v>186</v>
      </c>
      <c r="H352" s="2">
        <v>36526.745821759258</v>
      </c>
      <c r="I352">
        <v>20.5</v>
      </c>
      <c r="J352">
        <v>20.5</v>
      </c>
      <c r="K352" t="s">
        <v>196</v>
      </c>
      <c r="L352" t="s">
        <v>14</v>
      </c>
      <c r="M352" t="s">
        <v>94</v>
      </c>
      <c r="N352" t="s">
        <v>95</v>
      </c>
    </row>
    <row r="353" spans="1:14" x14ac:dyDescent="0.3">
      <c r="A353">
        <v>1605</v>
      </c>
      <c r="B353">
        <v>716</v>
      </c>
      <c r="C353">
        <v>1</v>
      </c>
      <c r="D353" t="s">
        <v>84</v>
      </c>
      <c r="E353">
        <v>1</v>
      </c>
      <c r="F353" s="1">
        <v>42016</v>
      </c>
      <c r="G353" t="s">
        <v>186</v>
      </c>
      <c r="H353" s="2">
        <v>36526.712557870371</v>
      </c>
      <c r="I353">
        <v>12</v>
      </c>
      <c r="J353">
        <v>12</v>
      </c>
      <c r="K353" t="s">
        <v>198</v>
      </c>
      <c r="L353" t="s">
        <v>14</v>
      </c>
      <c r="M353" t="s">
        <v>85</v>
      </c>
      <c r="N353" t="s">
        <v>86</v>
      </c>
    </row>
    <row r="354" spans="1:14" x14ac:dyDescent="0.3">
      <c r="A354">
        <v>1602</v>
      </c>
      <c r="B354">
        <v>715</v>
      </c>
      <c r="C354">
        <v>0.33333333333333331</v>
      </c>
      <c r="D354" t="s">
        <v>119</v>
      </c>
      <c r="E354">
        <v>1</v>
      </c>
      <c r="F354" s="1">
        <v>42016</v>
      </c>
      <c r="G354" t="s">
        <v>186</v>
      </c>
      <c r="H354" s="2">
        <v>36526.712187500001</v>
      </c>
      <c r="I354">
        <v>12.5</v>
      </c>
      <c r="J354">
        <v>12.5</v>
      </c>
      <c r="K354" t="s">
        <v>197</v>
      </c>
      <c r="L354" t="s">
        <v>14</v>
      </c>
      <c r="M354" t="s">
        <v>78</v>
      </c>
      <c r="N354" t="s">
        <v>79</v>
      </c>
    </row>
    <row r="355" spans="1:14" x14ac:dyDescent="0.3">
      <c r="A355">
        <v>1601</v>
      </c>
      <c r="B355">
        <v>714</v>
      </c>
      <c r="C355">
        <v>0.25</v>
      </c>
      <c r="D355" t="s">
        <v>54</v>
      </c>
      <c r="E355">
        <v>1</v>
      </c>
      <c r="F355" s="1">
        <v>42016</v>
      </c>
      <c r="G355" t="s">
        <v>186</v>
      </c>
      <c r="H355" s="2">
        <v>36526.704953703702</v>
      </c>
      <c r="I355">
        <v>20.5</v>
      </c>
      <c r="J355">
        <v>20.5</v>
      </c>
      <c r="K355" t="s">
        <v>196</v>
      </c>
      <c r="L355" t="s">
        <v>14</v>
      </c>
      <c r="M355" t="s">
        <v>55</v>
      </c>
      <c r="N355" t="s">
        <v>56</v>
      </c>
    </row>
    <row r="356" spans="1:14" x14ac:dyDescent="0.3">
      <c r="A356">
        <v>1600</v>
      </c>
      <c r="B356">
        <v>714</v>
      </c>
      <c r="C356">
        <v>0.25</v>
      </c>
      <c r="D356" t="s">
        <v>132</v>
      </c>
      <c r="E356">
        <v>1</v>
      </c>
      <c r="F356" s="1">
        <v>42016</v>
      </c>
      <c r="G356" t="s">
        <v>186</v>
      </c>
      <c r="H356" s="2">
        <v>36526.704953703702</v>
      </c>
      <c r="I356">
        <v>10.5</v>
      </c>
      <c r="J356">
        <v>10.5</v>
      </c>
      <c r="K356" t="s">
        <v>198</v>
      </c>
      <c r="L356" t="s">
        <v>14</v>
      </c>
      <c r="M356" t="s">
        <v>15</v>
      </c>
      <c r="N356" t="s">
        <v>16</v>
      </c>
    </row>
    <row r="357" spans="1:14" x14ac:dyDescent="0.3">
      <c r="A357">
        <v>354</v>
      </c>
      <c r="B357">
        <v>145</v>
      </c>
      <c r="C357">
        <v>1</v>
      </c>
      <c r="D357" t="s">
        <v>44</v>
      </c>
      <c r="E357">
        <v>1</v>
      </c>
      <c r="F357" s="1">
        <v>42007</v>
      </c>
      <c r="G357" t="s">
        <v>191</v>
      </c>
      <c r="H357" s="2">
        <v>36526.579027777778</v>
      </c>
      <c r="I357">
        <v>12</v>
      </c>
      <c r="J357">
        <v>12</v>
      </c>
      <c r="K357" t="s">
        <v>198</v>
      </c>
      <c r="L357" t="s">
        <v>14</v>
      </c>
      <c r="M357" t="s">
        <v>45</v>
      </c>
      <c r="N357" t="s">
        <v>46</v>
      </c>
    </row>
    <row r="358" spans="1:14" x14ac:dyDescent="0.3">
      <c r="A358">
        <v>1599</v>
      </c>
      <c r="B358">
        <v>714</v>
      </c>
      <c r="C358">
        <v>0.25</v>
      </c>
      <c r="D358" t="s">
        <v>142</v>
      </c>
      <c r="E358">
        <v>1</v>
      </c>
      <c r="F358" s="1">
        <v>42016</v>
      </c>
      <c r="G358" t="s">
        <v>186</v>
      </c>
      <c r="H358" s="2">
        <v>36526.704953703702</v>
      </c>
      <c r="I358">
        <v>16.5</v>
      </c>
      <c r="J358">
        <v>16.5</v>
      </c>
      <c r="K358" t="s">
        <v>196</v>
      </c>
      <c r="L358" t="s">
        <v>14</v>
      </c>
      <c r="M358" t="s">
        <v>15</v>
      </c>
      <c r="N358" t="s">
        <v>16</v>
      </c>
    </row>
    <row r="359" spans="1:14" x14ac:dyDescent="0.3">
      <c r="A359">
        <v>1598</v>
      </c>
      <c r="B359">
        <v>714</v>
      </c>
      <c r="C359">
        <v>0.25</v>
      </c>
      <c r="D359" t="s">
        <v>17</v>
      </c>
      <c r="E359">
        <v>1</v>
      </c>
      <c r="F359" s="1">
        <v>42016</v>
      </c>
      <c r="G359" t="s">
        <v>186</v>
      </c>
      <c r="H359" s="2">
        <v>36526.704953703702</v>
      </c>
      <c r="I359">
        <v>16</v>
      </c>
      <c r="J359">
        <v>16</v>
      </c>
      <c r="K359" t="s">
        <v>197</v>
      </c>
      <c r="L359" t="s">
        <v>14</v>
      </c>
      <c r="M359" t="s">
        <v>18</v>
      </c>
      <c r="N359" t="s">
        <v>19</v>
      </c>
    </row>
    <row r="360" spans="1:14" x14ac:dyDescent="0.3">
      <c r="A360">
        <v>357</v>
      </c>
      <c r="B360">
        <v>146</v>
      </c>
      <c r="C360">
        <v>0.33333333333333331</v>
      </c>
      <c r="D360" t="s">
        <v>12</v>
      </c>
      <c r="E360">
        <v>1</v>
      </c>
      <c r="F360" s="1">
        <v>42007</v>
      </c>
      <c r="G360" t="s">
        <v>191</v>
      </c>
      <c r="H360" s="2">
        <v>36526.598726851851</v>
      </c>
      <c r="I360">
        <v>13.25</v>
      </c>
      <c r="J360">
        <v>13.25</v>
      </c>
      <c r="K360" t="s">
        <v>197</v>
      </c>
      <c r="L360" t="s">
        <v>14</v>
      </c>
      <c r="M360" t="s">
        <v>15</v>
      </c>
      <c r="N360" t="s">
        <v>16</v>
      </c>
    </row>
    <row r="361" spans="1:14" x14ac:dyDescent="0.3">
      <c r="A361">
        <v>358</v>
      </c>
      <c r="B361">
        <v>147</v>
      </c>
      <c r="C361">
        <v>1</v>
      </c>
      <c r="D361" t="s">
        <v>140</v>
      </c>
      <c r="E361">
        <v>1</v>
      </c>
      <c r="F361" s="1">
        <v>42007</v>
      </c>
      <c r="G361" t="s">
        <v>191</v>
      </c>
      <c r="H361" s="2">
        <v>36526.606145833335</v>
      </c>
      <c r="I361">
        <v>25.5</v>
      </c>
      <c r="J361">
        <v>25.5</v>
      </c>
      <c r="K361" t="s">
        <v>199</v>
      </c>
      <c r="L361" t="s">
        <v>14</v>
      </c>
      <c r="M361" t="s">
        <v>45</v>
      </c>
      <c r="N361" t="s">
        <v>46</v>
      </c>
    </row>
    <row r="362" spans="1:14" x14ac:dyDescent="0.3">
      <c r="A362">
        <v>1593</v>
      </c>
      <c r="B362">
        <v>711</v>
      </c>
      <c r="C362">
        <v>0.25</v>
      </c>
      <c r="D362" t="s">
        <v>148</v>
      </c>
      <c r="E362">
        <v>1</v>
      </c>
      <c r="F362" s="1">
        <v>42016</v>
      </c>
      <c r="G362" t="s">
        <v>186</v>
      </c>
      <c r="H362" s="2">
        <v>36526.68136574074</v>
      </c>
      <c r="I362">
        <v>14.5</v>
      </c>
      <c r="J362">
        <v>14.5</v>
      </c>
      <c r="K362" t="s">
        <v>197</v>
      </c>
      <c r="L362" t="s">
        <v>14</v>
      </c>
      <c r="M362" t="s">
        <v>130</v>
      </c>
      <c r="N362" t="s">
        <v>131</v>
      </c>
    </row>
    <row r="363" spans="1:14" x14ac:dyDescent="0.3">
      <c r="A363">
        <v>1590</v>
      </c>
      <c r="B363">
        <v>710</v>
      </c>
      <c r="C363">
        <v>0.25</v>
      </c>
      <c r="D363" t="s">
        <v>140</v>
      </c>
      <c r="E363">
        <v>1</v>
      </c>
      <c r="F363" s="1">
        <v>42016</v>
      </c>
      <c r="G363" t="s">
        <v>186</v>
      </c>
      <c r="H363" s="2">
        <v>36526.666574074072</v>
      </c>
      <c r="I363">
        <v>25.5</v>
      </c>
      <c r="J363">
        <v>25.5</v>
      </c>
      <c r="K363" t="s">
        <v>199</v>
      </c>
      <c r="L363" t="s">
        <v>14</v>
      </c>
      <c r="M363" t="s">
        <v>45</v>
      </c>
      <c r="N363" t="s">
        <v>46</v>
      </c>
    </row>
    <row r="364" spans="1:14" x14ac:dyDescent="0.3">
      <c r="A364">
        <v>361</v>
      </c>
      <c r="B364">
        <v>150</v>
      </c>
      <c r="C364">
        <v>1</v>
      </c>
      <c r="D364" t="s">
        <v>119</v>
      </c>
      <c r="E364">
        <v>1</v>
      </c>
      <c r="F364" s="1">
        <v>42007</v>
      </c>
      <c r="G364" t="s">
        <v>191</v>
      </c>
      <c r="H364" s="2">
        <v>36526.618032407408</v>
      </c>
      <c r="I364">
        <v>12.5</v>
      </c>
      <c r="J364">
        <v>12.5</v>
      </c>
      <c r="K364" t="s">
        <v>197</v>
      </c>
      <c r="L364" t="s">
        <v>14</v>
      </c>
      <c r="M364" t="s">
        <v>78</v>
      </c>
      <c r="N364" t="s">
        <v>79</v>
      </c>
    </row>
    <row r="365" spans="1:14" x14ac:dyDescent="0.3">
      <c r="A365">
        <v>1589</v>
      </c>
      <c r="B365">
        <v>710</v>
      </c>
      <c r="C365">
        <v>0.25</v>
      </c>
      <c r="D365" t="s">
        <v>44</v>
      </c>
      <c r="E365">
        <v>1</v>
      </c>
      <c r="F365" s="1">
        <v>42016</v>
      </c>
      <c r="G365" t="s">
        <v>186</v>
      </c>
      <c r="H365" s="2">
        <v>36526.666574074072</v>
      </c>
      <c r="I365">
        <v>12</v>
      </c>
      <c r="J365">
        <v>12</v>
      </c>
      <c r="K365" t="s">
        <v>198</v>
      </c>
      <c r="L365" t="s">
        <v>14</v>
      </c>
      <c r="M365" t="s">
        <v>45</v>
      </c>
      <c r="N365" t="s">
        <v>46</v>
      </c>
    </row>
    <row r="366" spans="1:14" x14ac:dyDescent="0.3">
      <c r="A366">
        <v>1587</v>
      </c>
      <c r="B366">
        <v>710</v>
      </c>
      <c r="C366">
        <v>0.25</v>
      </c>
      <c r="D366" t="s">
        <v>142</v>
      </c>
      <c r="E366">
        <v>1</v>
      </c>
      <c r="F366" s="1">
        <v>42016</v>
      </c>
      <c r="G366" t="s">
        <v>186</v>
      </c>
      <c r="H366" s="2">
        <v>36526.666574074072</v>
      </c>
      <c r="I366">
        <v>16.5</v>
      </c>
      <c r="J366">
        <v>16.5</v>
      </c>
      <c r="K366" t="s">
        <v>196</v>
      </c>
      <c r="L366" t="s">
        <v>14</v>
      </c>
      <c r="M366" t="s">
        <v>15</v>
      </c>
      <c r="N366" t="s">
        <v>16</v>
      </c>
    </row>
    <row r="367" spans="1:14" x14ac:dyDescent="0.3">
      <c r="A367">
        <v>364</v>
      </c>
      <c r="B367">
        <v>152</v>
      </c>
      <c r="C367">
        <v>0.25</v>
      </c>
      <c r="D367" t="s">
        <v>132</v>
      </c>
      <c r="E367">
        <v>1</v>
      </c>
      <c r="F367" s="1">
        <v>42007</v>
      </c>
      <c r="G367" t="s">
        <v>191</v>
      </c>
      <c r="H367" s="2">
        <v>36526.631736111114</v>
      </c>
      <c r="I367">
        <v>10.5</v>
      </c>
      <c r="J367">
        <v>10.5</v>
      </c>
      <c r="K367" t="s">
        <v>198</v>
      </c>
      <c r="L367" t="s">
        <v>14</v>
      </c>
      <c r="M367" t="s">
        <v>15</v>
      </c>
      <c r="N367" t="s">
        <v>16</v>
      </c>
    </row>
    <row r="368" spans="1:14" x14ac:dyDescent="0.3">
      <c r="A368">
        <v>1581</v>
      </c>
      <c r="B368">
        <v>706</v>
      </c>
      <c r="C368">
        <v>0.5</v>
      </c>
      <c r="D368" t="s">
        <v>112</v>
      </c>
      <c r="E368">
        <v>1</v>
      </c>
      <c r="F368" s="1">
        <v>42016</v>
      </c>
      <c r="G368" t="s">
        <v>186</v>
      </c>
      <c r="H368" s="2">
        <v>36526.652129629627</v>
      </c>
      <c r="I368">
        <v>20.5</v>
      </c>
      <c r="J368">
        <v>20.5</v>
      </c>
      <c r="K368" t="s">
        <v>196</v>
      </c>
      <c r="L368" t="s">
        <v>14</v>
      </c>
      <c r="M368" t="s">
        <v>94</v>
      </c>
      <c r="N368" t="s">
        <v>95</v>
      </c>
    </row>
    <row r="369" spans="1:14" x14ac:dyDescent="0.3">
      <c r="A369">
        <v>1570</v>
      </c>
      <c r="B369">
        <v>701</v>
      </c>
      <c r="C369">
        <v>0.5</v>
      </c>
      <c r="D369" t="s">
        <v>132</v>
      </c>
      <c r="E369">
        <v>1</v>
      </c>
      <c r="F369" s="1">
        <v>42016</v>
      </c>
      <c r="G369" t="s">
        <v>186</v>
      </c>
      <c r="H369" s="2">
        <v>36526.60670138889</v>
      </c>
      <c r="I369">
        <v>10.5</v>
      </c>
      <c r="J369">
        <v>10.5</v>
      </c>
      <c r="K369" t="s">
        <v>198</v>
      </c>
      <c r="L369" t="s">
        <v>14</v>
      </c>
      <c r="M369" t="s">
        <v>15</v>
      </c>
      <c r="N369" t="s">
        <v>16</v>
      </c>
    </row>
    <row r="370" spans="1:14" x14ac:dyDescent="0.3">
      <c r="A370">
        <v>367</v>
      </c>
      <c r="B370">
        <v>152</v>
      </c>
      <c r="C370">
        <v>0.25</v>
      </c>
      <c r="D370" t="s">
        <v>155</v>
      </c>
      <c r="E370">
        <v>1</v>
      </c>
      <c r="F370" s="1">
        <v>42007</v>
      </c>
      <c r="G370" t="s">
        <v>191</v>
      </c>
      <c r="H370" s="2">
        <v>36526.631736111114</v>
      </c>
      <c r="I370">
        <v>16</v>
      </c>
      <c r="J370">
        <v>16</v>
      </c>
      <c r="K370" t="s">
        <v>197</v>
      </c>
      <c r="L370" t="s">
        <v>14</v>
      </c>
      <c r="M370" t="s">
        <v>45</v>
      </c>
      <c r="N370" t="s">
        <v>46</v>
      </c>
    </row>
    <row r="371" spans="1:14" x14ac:dyDescent="0.3">
      <c r="A371">
        <v>1567</v>
      </c>
      <c r="B371">
        <v>700</v>
      </c>
      <c r="C371">
        <v>0.2</v>
      </c>
      <c r="D371" t="s">
        <v>54</v>
      </c>
      <c r="E371">
        <v>1</v>
      </c>
      <c r="F371" s="1">
        <v>42016</v>
      </c>
      <c r="G371" t="s">
        <v>186</v>
      </c>
      <c r="H371" s="2">
        <v>36526.605011574073</v>
      </c>
      <c r="I371">
        <v>20.5</v>
      </c>
      <c r="J371">
        <v>20.5</v>
      </c>
      <c r="K371" t="s">
        <v>196</v>
      </c>
      <c r="L371" t="s">
        <v>14</v>
      </c>
      <c r="M371" t="s">
        <v>55</v>
      </c>
      <c r="N371" t="s">
        <v>56</v>
      </c>
    </row>
    <row r="372" spans="1:14" x14ac:dyDescent="0.3">
      <c r="A372">
        <v>1564</v>
      </c>
      <c r="B372">
        <v>699</v>
      </c>
      <c r="C372">
        <v>1</v>
      </c>
      <c r="D372" t="s">
        <v>126</v>
      </c>
      <c r="E372">
        <v>1</v>
      </c>
      <c r="F372" s="1">
        <v>42016</v>
      </c>
      <c r="G372" t="s">
        <v>186</v>
      </c>
      <c r="H372" s="2">
        <v>36526.602118055554</v>
      </c>
      <c r="I372">
        <v>9.75</v>
      </c>
      <c r="J372">
        <v>9.75</v>
      </c>
      <c r="K372" t="s">
        <v>198</v>
      </c>
      <c r="L372" t="s">
        <v>14</v>
      </c>
      <c r="M372" t="s">
        <v>78</v>
      </c>
      <c r="N372" t="s">
        <v>79</v>
      </c>
    </row>
    <row r="373" spans="1:14" x14ac:dyDescent="0.3">
      <c r="A373">
        <v>1562</v>
      </c>
      <c r="B373">
        <v>698</v>
      </c>
      <c r="C373">
        <v>0.33333333333333331</v>
      </c>
      <c r="D373" t="s">
        <v>129</v>
      </c>
      <c r="E373">
        <v>1</v>
      </c>
      <c r="F373" s="1">
        <v>42016</v>
      </c>
      <c r="G373" t="s">
        <v>186</v>
      </c>
      <c r="H373" s="2">
        <v>36526.589074074072</v>
      </c>
      <c r="I373">
        <v>17.5</v>
      </c>
      <c r="J373">
        <v>17.5</v>
      </c>
      <c r="K373" t="s">
        <v>196</v>
      </c>
      <c r="L373" t="s">
        <v>14</v>
      </c>
      <c r="M373" t="s">
        <v>130</v>
      </c>
      <c r="N373" t="s">
        <v>131</v>
      </c>
    </row>
    <row r="374" spans="1:14" x14ac:dyDescent="0.3">
      <c r="A374">
        <v>371</v>
      </c>
      <c r="B374">
        <v>155</v>
      </c>
      <c r="C374">
        <v>0.25</v>
      </c>
      <c r="D374" t="s">
        <v>112</v>
      </c>
      <c r="E374">
        <v>1</v>
      </c>
      <c r="F374" s="1">
        <v>42007</v>
      </c>
      <c r="G374" t="s">
        <v>191</v>
      </c>
      <c r="H374" s="2">
        <v>36526.645127314812</v>
      </c>
      <c r="I374">
        <v>20.5</v>
      </c>
      <c r="J374">
        <v>20.5</v>
      </c>
      <c r="K374" t="s">
        <v>196</v>
      </c>
      <c r="L374" t="s">
        <v>14</v>
      </c>
      <c r="M374" t="s">
        <v>94</v>
      </c>
      <c r="N374" t="s">
        <v>95</v>
      </c>
    </row>
    <row r="375" spans="1:14" x14ac:dyDescent="0.3">
      <c r="A375">
        <v>372</v>
      </c>
      <c r="B375">
        <v>155</v>
      </c>
      <c r="C375">
        <v>0.25</v>
      </c>
      <c r="D375" t="s">
        <v>77</v>
      </c>
      <c r="E375">
        <v>1</v>
      </c>
      <c r="F375" s="1">
        <v>42007</v>
      </c>
      <c r="G375" t="s">
        <v>191</v>
      </c>
      <c r="H375" s="2">
        <v>36526.645127314812</v>
      </c>
      <c r="I375">
        <v>15.25</v>
      </c>
      <c r="J375">
        <v>15.25</v>
      </c>
      <c r="K375" t="s">
        <v>196</v>
      </c>
      <c r="L375" t="s">
        <v>14</v>
      </c>
      <c r="M375" t="s">
        <v>78</v>
      </c>
      <c r="N375" t="s">
        <v>79</v>
      </c>
    </row>
    <row r="376" spans="1:14" x14ac:dyDescent="0.3">
      <c r="A376">
        <v>1561</v>
      </c>
      <c r="B376">
        <v>698</v>
      </c>
      <c r="C376">
        <v>0.33333333333333331</v>
      </c>
      <c r="D376" t="s">
        <v>84</v>
      </c>
      <c r="E376">
        <v>1</v>
      </c>
      <c r="F376" s="1">
        <v>42016</v>
      </c>
      <c r="G376" t="s">
        <v>186</v>
      </c>
      <c r="H376" s="2">
        <v>36526.589074074072</v>
      </c>
      <c r="I376">
        <v>12</v>
      </c>
      <c r="J376">
        <v>12</v>
      </c>
      <c r="K376" t="s">
        <v>198</v>
      </c>
      <c r="L376" t="s">
        <v>14</v>
      </c>
      <c r="M376" t="s">
        <v>85</v>
      </c>
      <c r="N376" t="s">
        <v>86</v>
      </c>
    </row>
    <row r="377" spans="1:14" x14ac:dyDescent="0.3">
      <c r="A377">
        <v>374</v>
      </c>
      <c r="B377">
        <v>156</v>
      </c>
      <c r="C377">
        <v>0.5</v>
      </c>
      <c r="D377" t="s">
        <v>163</v>
      </c>
      <c r="E377">
        <v>1</v>
      </c>
      <c r="F377" s="1">
        <v>42007</v>
      </c>
      <c r="G377" t="s">
        <v>191</v>
      </c>
      <c r="H377" s="2">
        <v>36526.654386574075</v>
      </c>
      <c r="I377">
        <v>16</v>
      </c>
      <c r="J377">
        <v>16</v>
      </c>
      <c r="K377" t="s">
        <v>197</v>
      </c>
      <c r="L377" t="s">
        <v>14</v>
      </c>
      <c r="M377" t="s">
        <v>94</v>
      </c>
      <c r="N377" t="s">
        <v>95</v>
      </c>
    </row>
    <row r="378" spans="1:14" x14ac:dyDescent="0.3">
      <c r="A378">
        <v>1559</v>
      </c>
      <c r="B378">
        <v>697</v>
      </c>
      <c r="C378">
        <v>0.5</v>
      </c>
      <c r="D378" t="s">
        <v>17</v>
      </c>
      <c r="E378">
        <v>1</v>
      </c>
      <c r="F378" s="1">
        <v>42016</v>
      </c>
      <c r="G378" t="s">
        <v>186</v>
      </c>
      <c r="H378" s="2">
        <v>36526.582592592589</v>
      </c>
      <c r="I378">
        <v>16</v>
      </c>
      <c r="J378">
        <v>16</v>
      </c>
      <c r="K378" t="s">
        <v>197</v>
      </c>
      <c r="L378" t="s">
        <v>14</v>
      </c>
      <c r="M378" t="s">
        <v>18</v>
      </c>
      <c r="N378" t="s">
        <v>19</v>
      </c>
    </row>
    <row r="379" spans="1:14" x14ac:dyDescent="0.3">
      <c r="A379">
        <v>1555</v>
      </c>
      <c r="B379">
        <v>694</v>
      </c>
      <c r="C379">
        <v>0.33333333333333331</v>
      </c>
      <c r="D379" t="s">
        <v>77</v>
      </c>
      <c r="E379">
        <v>1</v>
      </c>
      <c r="F379" s="1">
        <v>42016</v>
      </c>
      <c r="G379" t="s">
        <v>186</v>
      </c>
      <c r="H379" s="2">
        <v>36526.563043981485</v>
      </c>
      <c r="I379">
        <v>15.25</v>
      </c>
      <c r="J379">
        <v>15.25</v>
      </c>
      <c r="K379" t="s">
        <v>196</v>
      </c>
      <c r="L379" t="s">
        <v>14</v>
      </c>
      <c r="M379" t="s">
        <v>78</v>
      </c>
      <c r="N379" t="s">
        <v>79</v>
      </c>
    </row>
    <row r="380" spans="1:14" x14ac:dyDescent="0.3">
      <c r="A380">
        <v>1554</v>
      </c>
      <c r="B380">
        <v>694</v>
      </c>
      <c r="C380">
        <v>0.33333333333333331</v>
      </c>
      <c r="D380" t="s">
        <v>148</v>
      </c>
      <c r="E380">
        <v>1</v>
      </c>
      <c r="F380" s="1">
        <v>42016</v>
      </c>
      <c r="G380" t="s">
        <v>186</v>
      </c>
      <c r="H380" s="2">
        <v>36526.563043981485</v>
      </c>
      <c r="I380">
        <v>14.5</v>
      </c>
      <c r="J380">
        <v>14.5</v>
      </c>
      <c r="K380" t="s">
        <v>197</v>
      </c>
      <c r="L380" t="s">
        <v>14</v>
      </c>
      <c r="M380" t="s">
        <v>130</v>
      </c>
      <c r="N380" t="s">
        <v>131</v>
      </c>
    </row>
    <row r="381" spans="1:14" x14ac:dyDescent="0.3">
      <c r="A381">
        <v>1552</v>
      </c>
      <c r="B381">
        <v>693</v>
      </c>
      <c r="C381">
        <v>0.25</v>
      </c>
      <c r="D381" t="s">
        <v>160</v>
      </c>
      <c r="E381">
        <v>1</v>
      </c>
      <c r="F381" s="1">
        <v>42016</v>
      </c>
      <c r="G381" t="s">
        <v>186</v>
      </c>
      <c r="H381" s="2">
        <v>36526.544722222221</v>
      </c>
      <c r="I381">
        <v>12</v>
      </c>
      <c r="J381">
        <v>12</v>
      </c>
      <c r="K381" t="s">
        <v>198</v>
      </c>
      <c r="L381" t="s">
        <v>14</v>
      </c>
      <c r="M381" t="s">
        <v>55</v>
      </c>
      <c r="N381" t="s">
        <v>56</v>
      </c>
    </row>
    <row r="382" spans="1:14" x14ac:dyDescent="0.3">
      <c r="A382">
        <v>1550</v>
      </c>
      <c r="B382">
        <v>693</v>
      </c>
      <c r="C382">
        <v>0.25</v>
      </c>
      <c r="D382" t="s">
        <v>84</v>
      </c>
      <c r="E382">
        <v>1</v>
      </c>
      <c r="F382" s="1">
        <v>42016</v>
      </c>
      <c r="G382" t="s">
        <v>186</v>
      </c>
      <c r="H382" s="2">
        <v>36526.544722222221</v>
      </c>
      <c r="I382">
        <v>12</v>
      </c>
      <c r="J382">
        <v>12</v>
      </c>
      <c r="K382" t="s">
        <v>198</v>
      </c>
      <c r="L382" t="s">
        <v>14</v>
      </c>
      <c r="M382" t="s">
        <v>85</v>
      </c>
      <c r="N382" t="s">
        <v>86</v>
      </c>
    </row>
    <row r="383" spans="1:14" x14ac:dyDescent="0.3">
      <c r="A383">
        <v>1545</v>
      </c>
      <c r="B383">
        <v>690</v>
      </c>
      <c r="C383">
        <v>1</v>
      </c>
      <c r="D383" t="s">
        <v>119</v>
      </c>
      <c r="E383">
        <v>1</v>
      </c>
      <c r="F383" s="1">
        <v>42016</v>
      </c>
      <c r="G383" t="s">
        <v>186</v>
      </c>
      <c r="H383" s="2">
        <v>36526.529282407406</v>
      </c>
      <c r="I383">
        <v>12.5</v>
      </c>
      <c r="J383">
        <v>12.5</v>
      </c>
      <c r="K383" t="s">
        <v>197</v>
      </c>
      <c r="L383" t="s">
        <v>14</v>
      </c>
      <c r="M383" t="s">
        <v>78</v>
      </c>
      <c r="N383" t="s">
        <v>79</v>
      </c>
    </row>
    <row r="384" spans="1:14" x14ac:dyDescent="0.3">
      <c r="A384">
        <v>1539</v>
      </c>
      <c r="B384">
        <v>686</v>
      </c>
      <c r="C384">
        <v>1</v>
      </c>
      <c r="D384" t="s">
        <v>84</v>
      </c>
      <c r="E384">
        <v>1</v>
      </c>
      <c r="F384" s="1">
        <v>42016</v>
      </c>
      <c r="G384" t="s">
        <v>186</v>
      </c>
      <c r="H384" s="2">
        <v>36526.509108796294</v>
      </c>
      <c r="I384">
        <v>12</v>
      </c>
      <c r="J384">
        <v>12</v>
      </c>
      <c r="K384" t="s">
        <v>198</v>
      </c>
      <c r="L384" t="s">
        <v>14</v>
      </c>
      <c r="M384" t="s">
        <v>85</v>
      </c>
      <c r="N384" t="s">
        <v>86</v>
      </c>
    </row>
    <row r="385" spans="1:14" x14ac:dyDescent="0.3">
      <c r="A385">
        <v>1524</v>
      </c>
      <c r="B385">
        <v>678</v>
      </c>
      <c r="C385">
        <v>0.33333333333333331</v>
      </c>
      <c r="D385" t="s">
        <v>163</v>
      </c>
      <c r="E385">
        <v>1</v>
      </c>
      <c r="F385" s="1">
        <v>42015</v>
      </c>
      <c r="G385" t="s">
        <v>185</v>
      </c>
      <c r="H385" s="2">
        <v>36526.828344907408</v>
      </c>
      <c r="I385">
        <v>16</v>
      </c>
      <c r="J385">
        <v>16</v>
      </c>
      <c r="K385" t="s">
        <v>197</v>
      </c>
      <c r="L385" t="s">
        <v>14</v>
      </c>
      <c r="M385" t="s">
        <v>94</v>
      </c>
      <c r="N385" t="s">
        <v>95</v>
      </c>
    </row>
    <row r="386" spans="1:14" x14ac:dyDescent="0.3">
      <c r="A386">
        <v>1519</v>
      </c>
      <c r="B386">
        <v>675</v>
      </c>
      <c r="C386">
        <v>1</v>
      </c>
      <c r="D386" t="s">
        <v>112</v>
      </c>
      <c r="E386">
        <v>1</v>
      </c>
      <c r="F386" s="1">
        <v>42015</v>
      </c>
      <c r="G386" t="s">
        <v>185</v>
      </c>
      <c r="H386" s="2">
        <v>36526.814803240741</v>
      </c>
      <c r="I386">
        <v>20.5</v>
      </c>
      <c r="J386">
        <v>20.5</v>
      </c>
      <c r="K386" t="s">
        <v>196</v>
      </c>
      <c r="L386" t="s">
        <v>14</v>
      </c>
      <c r="M386" t="s">
        <v>94</v>
      </c>
      <c r="N386" t="s">
        <v>95</v>
      </c>
    </row>
    <row r="387" spans="1:14" x14ac:dyDescent="0.3">
      <c r="A387">
        <v>384</v>
      </c>
      <c r="B387">
        <v>160</v>
      </c>
      <c r="C387">
        <v>1</v>
      </c>
      <c r="D387" t="s">
        <v>17</v>
      </c>
      <c r="E387">
        <v>1</v>
      </c>
      <c r="F387" s="1">
        <v>42007</v>
      </c>
      <c r="G387" t="s">
        <v>191</v>
      </c>
      <c r="H387" s="2">
        <v>36526.691354166665</v>
      </c>
      <c r="I387">
        <v>16</v>
      </c>
      <c r="J387">
        <v>16</v>
      </c>
      <c r="K387" t="s">
        <v>197</v>
      </c>
      <c r="L387" t="s">
        <v>14</v>
      </c>
      <c r="M387" t="s">
        <v>18</v>
      </c>
      <c r="N387" t="s">
        <v>19</v>
      </c>
    </row>
    <row r="388" spans="1:14" x14ac:dyDescent="0.3">
      <c r="A388">
        <v>385</v>
      </c>
      <c r="B388">
        <v>161</v>
      </c>
      <c r="C388">
        <v>0.33333333333333331</v>
      </c>
      <c r="D388" t="s">
        <v>132</v>
      </c>
      <c r="E388">
        <v>1</v>
      </c>
      <c r="F388" s="1">
        <v>42007</v>
      </c>
      <c r="G388" t="s">
        <v>191</v>
      </c>
      <c r="H388" s="2">
        <v>36526.697060185186</v>
      </c>
      <c r="I388">
        <v>10.5</v>
      </c>
      <c r="J388">
        <v>10.5</v>
      </c>
      <c r="K388" t="s">
        <v>198</v>
      </c>
      <c r="L388" t="s">
        <v>14</v>
      </c>
      <c r="M388" t="s">
        <v>15</v>
      </c>
      <c r="N388" t="s">
        <v>16</v>
      </c>
    </row>
    <row r="389" spans="1:14" x14ac:dyDescent="0.3">
      <c r="A389">
        <v>1508</v>
      </c>
      <c r="B389">
        <v>670</v>
      </c>
      <c r="C389">
        <v>0.5</v>
      </c>
      <c r="D389" t="s">
        <v>160</v>
      </c>
      <c r="E389">
        <v>1</v>
      </c>
      <c r="F389" s="1">
        <v>42015</v>
      </c>
      <c r="G389" t="s">
        <v>185</v>
      </c>
      <c r="H389" s="2">
        <v>36526.782233796293</v>
      </c>
      <c r="I389">
        <v>12</v>
      </c>
      <c r="J389">
        <v>12</v>
      </c>
      <c r="K389" t="s">
        <v>198</v>
      </c>
      <c r="L389" t="s">
        <v>14</v>
      </c>
      <c r="M389" t="s">
        <v>55</v>
      </c>
      <c r="N389" t="s">
        <v>56</v>
      </c>
    </row>
    <row r="390" spans="1:14" x14ac:dyDescent="0.3">
      <c r="A390">
        <v>387</v>
      </c>
      <c r="B390">
        <v>161</v>
      </c>
      <c r="C390">
        <v>0.33333333333333331</v>
      </c>
      <c r="D390" t="s">
        <v>140</v>
      </c>
      <c r="E390">
        <v>1</v>
      </c>
      <c r="F390" s="1">
        <v>42007</v>
      </c>
      <c r="G390" t="s">
        <v>191</v>
      </c>
      <c r="H390" s="2">
        <v>36526.697060185186</v>
      </c>
      <c r="I390">
        <v>25.5</v>
      </c>
      <c r="J390">
        <v>25.5</v>
      </c>
      <c r="K390" t="s">
        <v>199</v>
      </c>
      <c r="L390" t="s">
        <v>14</v>
      </c>
      <c r="M390" t="s">
        <v>45</v>
      </c>
      <c r="N390" t="s">
        <v>46</v>
      </c>
    </row>
    <row r="391" spans="1:14" x14ac:dyDescent="0.3">
      <c r="A391">
        <v>388</v>
      </c>
      <c r="B391">
        <v>162</v>
      </c>
      <c r="C391">
        <v>1</v>
      </c>
      <c r="D391" t="s">
        <v>84</v>
      </c>
      <c r="E391">
        <v>1</v>
      </c>
      <c r="F391" s="1">
        <v>42007</v>
      </c>
      <c r="G391" t="s">
        <v>191</v>
      </c>
      <c r="H391" s="2">
        <v>36526.702337962961</v>
      </c>
      <c r="I391">
        <v>12</v>
      </c>
      <c r="J391">
        <v>12</v>
      </c>
      <c r="K391" t="s">
        <v>198</v>
      </c>
      <c r="L391" t="s">
        <v>14</v>
      </c>
      <c r="M391" t="s">
        <v>85</v>
      </c>
      <c r="N391" t="s">
        <v>86</v>
      </c>
    </row>
    <row r="392" spans="1:14" x14ac:dyDescent="0.3">
      <c r="A392">
        <v>389</v>
      </c>
      <c r="B392">
        <v>163</v>
      </c>
      <c r="C392">
        <v>0.33333333333333331</v>
      </c>
      <c r="D392" t="s">
        <v>12</v>
      </c>
      <c r="E392">
        <v>1</v>
      </c>
      <c r="F392" s="1">
        <v>42007</v>
      </c>
      <c r="G392" t="s">
        <v>191</v>
      </c>
      <c r="H392" s="2">
        <v>36526.704791666663</v>
      </c>
      <c r="I392">
        <v>13.25</v>
      </c>
      <c r="J392">
        <v>13.25</v>
      </c>
      <c r="K392" t="s">
        <v>197</v>
      </c>
      <c r="L392" t="s">
        <v>14</v>
      </c>
      <c r="M392" t="s">
        <v>15</v>
      </c>
      <c r="N392" t="s">
        <v>16</v>
      </c>
    </row>
    <row r="393" spans="1:14" x14ac:dyDescent="0.3">
      <c r="A393">
        <v>390</v>
      </c>
      <c r="B393">
        <v>163</v>
      </c>
      <c r="C393">
        <v>0.33333333333333331</v>
      </c>
      <c r="D393" t="s">
        <v>77</v>
      </c>
      <c r="E393">
        <v>1</v>
      </c>
      <c r="F393" s="1">
        <v>42007</v>
      </c>
      <c r="G393" t="s">
        <v>191</v>
      </c>
      <c r="H393" s="2">
        <v>36526.704791666663</v>
      </c>
      <c r="I393">
        <v>15.25</v>
      </c>
      <c r="J393">
        <v>15.25</v>
      </c>
      <c r="K393" t="s">
        <v>196</v>
      </c>
      <c r="L393" t="s">
        <v>14</v>
      </c>
      <c r="M393" t="s">
        <v>78</v>
      </c>
      <c r="N393" t="s">
        <v>79</v>
      </c>
    </row>
    <row r="394" spans="1:14" x14ac:dyDescent="0.3">
      <c r="A394">
        <v>391</v>
      </c>
      <c r="B394">
        <v>163</v>
      </c>
      <c r="C394">
        <v>0.33333333333333331</v>
      </c>
      <c r="D394" t="s">
        <v>155</v>
      </c>
      <c r="E394">
        <v>1</v>
      </c>
      <c r="F394" s="1">
        <v>42007</v>
      </c>
      <c r="G394" t="s">
        <v>191</v>
      </c>
      <c r="H394" s="2">
        <v>36526.704791666663</v>
      </c>
      <c r="I394">
        <v>16</v>
      </c>
      <c r="J394">
        <v>16</v>
      </c>
      <c r="K394" t="s">
        <v>197</v>
      </c>
      <c r="L394" t="s">
        <v>14</v>
      </c>
      <c r="M394" t="s">
        <v>45</v>
      </c>
      <c r="N394" t="s">
        <v>46</v>
      </c>
    </row>
    <row r="395" spans="1:14" x14ac:dyDescent="0.3">
      <c r="A395">
        <v>1506</v>
      </c>
      <c r="B395">
        <v>669</v>
      </c>
      <c r="C395">
        <v>0.5</v>
      </c>
      <c r="D395" t="s">
        <v>54</v>
      </c>
      <c r="E395">
        <v>1</v>
      </c>
      <c r="F395" s="1">
        <v>42015</v>
      </c>
      <c r="G395" t="s">
        <v>185</v>
      </c>
      <c r="H395" s="2">
        <v>36526.778287037036</v>
      </c>
      <c r="I395">
        <v>20.5</v>
      </c>
      <c r="J395">
        <v>20.5</v>
      </c>
      <c r="K395" t="s">
        <v>196</v>
      </c>
      <c r="L395" t="s">
        <v>14</v>
      </c>
      <c r="M395" t="s">
        <v>55</v>
      </c>
      <c r="N395" t="s">
        <v>56</v>
      </c>
    </row>
    <row r="396" spans="1:14" x14ac:dyDescent="0.3">
      <c r="A396">
        <v>393</v>
      </c>
      <c r="B396">
        <v>164</v>
      </c>
      <c r="C396">
        <v>0.5</v>
      </c>
      <c r="D396" t="s">
        <v>119</v>
      </c>
      <c r="E396">
        <v>1</v>
      </c>
      <c r="F396" s="1">
        <v>42007</v>
      </c>
      <c r="G396" t="s">
        <v>191</v>
      </c>
      <c r="H396" s="2">
        <v>36526.705937500003</v>
      </c>
      <c r="I396">
        <v>12.5</v>
      </c>
      <c r="J396">
        <v>12.5</v>
      </c>
      <c r="K396" t="s">
        <v>197</v>
      </c>
      <c r="L396" t="s">
        <v>14</v>
      </c>
      <c r="M396" t="s">
        <v>78</v>
      </c>
      <c r="N396" t="s">
        <v>79</v>
      </c>
    </row>
    <row r="397" spans="1:14" x14ac:dyDescent="0.3">
      <c r="A397">
        <v>1501</v>
      </c>
      <c r="B397">
        <v>667</v>
      </c>
      <c r="C397">
        <v>0.5</v>
      </c>
      <c r="D397" t="s">
        <v>126</v>
      </c>
      <c r="E397">
        <v>1</v>
      </c>
      <c r="F397" s="1">
        <v>42015</v>
      </c>
      <c r="G397" t="s">
        <v>185</v>
      </c>
      <c r="H397" s="2">
        <v>36526.759120370371</v>
      </c>
      <c r="I397">
        <v>9.75</v>
      </c>
      <c r="J397">
        <v>9.75</v>
      </c>
      <c r="K397" t="s">
        <v>198</v>
      </c>
      <c r="L397" t="s">
        <v>14</v>
      </c>
      <c r="M397" t="s">
        <v>78</v>
      </c>
      <c r="N397" t="s">
        <v>79</v>
      </c>
    </row>
    <row r="398" spans="1:14" x14ac:dyDescent="0.3">
      <c r="A398">
        <v>1500</v>
      </c>
      <c r="B398">
        <v>667</v>
      </c>
      <c r="C398">
        <v>0.5</v>
      </c>
      <c r="D398" t="s">
        <v>84</v>
      </c>
      <c r="E398">
        <v>1</v>
      </c>
      <c r="F398" s="1">
        <v>42015</v>
      </c>
      <c r="G398" t="s">
        <v>185</v>
      </c>
      <c r="H398" s="2">
        <v>36526.759120370371</v>
      </c>
      <c r="I398">
        <v>12</v>
      </c>
      <c r="J398">
        <v>12</v>
      </c>
      <c r="K398" t="s">
        <v>198</v>
      </c>
      <c r="L398" t="s">
        <v>14</v>
      </c>
      <c r="M398" t="s">
        <v>85</v>
      </c>
      <c r="N398" t="s">
        <v>86</v>
      </c>
    </row>
    <row r="399" spans="1:14" x14ac:dyDescent="0.3">
      <c r="A399">
        <v>1499</v>
      </c>
      <c r="B399">
        <v>666</v>
      </c>
      <c r="C399">
        <v>1</v>
      </c>
      <c r="D399" t="s">
        <v>142</v>
      </c>
      <c r="E399">
        <v>1</v>
      </c>
      <c r="F399" s="1">
        <v>42015</v>
      </c>
      <c r="G399" t="s">
        <v>185</v>
      </c>
      <c r="H399" s="2">
        <v>36526.73778935185</v>
      </c>
      <c r="I399">
        <v>16.5</v>
      </c>
      <c r="J399">
        <v>16.5</v>
      </c>
      <c r="K399" t="s">
        <v>196</v>
      </c>
      <c r="L399" t="s">
        <v>14</v>
      </c>
      <c r="M399" t="s">
        <v>15</v>
      </c>
      <c r="N399" t="s">
        <v>16</v>
      </c>
    </row>
    <row r="400" spans="1:14" x14ac:dyDescent="0.3">
      <c r="A400">
        <v>1496</v>
      </c>
      <c r="B400">
        <v>664</v>
      </c>
      <c r="C400">
        <v>0.33333333333333331</v>
      </c>
      <c r="D400" t="s">
        <v>77</v>
      </c>
      <c r="E400">
        <v>1</v>
      </c>
      <c r="F400" s="1">
        <v>42015</v>
      </c>
      <c r="G400" t="s">
        <v>185</v>
      </c>
      <c r="H400" s="2">
        <v>36526.732800925929</v>
      </c>
      <c r="I400">
        <v>15.25</v>
      </c>
      <c r="J400">
        <v>15.25</v>
      </c>
      <c r="K400" t="s">
        <v>196</v>
      </c>
      <c r="L400" t="s">
        <v>14</v>
      </c>
      <c r="M400" t="s">
        <v>78</v>
      </c>
      <c r="N400" t="s">
        <v>79</v>
      </c>
    </row>
    <row r="401" spans="1:14" x14ac:dyDescent="0.3">
      <c r="A401">
        <v>398</v>
      </c>
      <c r="B401">
        <v>167</v>
      </c>
      <c r="C401">
        <v>0.33333333333333331</v>
      </c>
      <c r="D401" t="s">
        <v>119</v>
      </c>
      <c r="E401">
        <v>1</v>
      </c>
      <c r="F401" s="1">
        <v>42007</v>
      </c>
      <c r="G401" t="s">
        <v>191</v>
      </c>
      <c r="H401" s="2">
        <v>36526.70890046296</v>
      </c>
      <c r="I401">
        <v>12.5</v>
      </c>
      <c r="J401">
        <v>12.5</v>
      </c>
      <c r="K401" t="s">
        <v>197</v>
      </c>
      <c r="L401" t="s">
        <v>14</v>
      </c>
      <c r="M401" t="s">
        <v>78</v>
      </c>
      <c r="N401" t="s">
        <v>79</v>
      </c>
    </row>
    <row r="402" spans="1:14" x14ac:dyDescent="0.3">
      <c r="A402">
        <v>399</v>
      </c>
      <c r="B402">
        <v>168</v>
      </c>
      <c r="C402">
        <v>0.5</v>
      </c>
      <c r="D402" t="s">
        <v>84</v>
      </c>
      <c r="E402">
        <v>1</v>
      </c>
      <c r="F402" s="1">
        <v>42007</v>
      </c>
      <c r="G402" t="s">
        <v>191</v>
      </c>
      <c r="H402" s="2">
        <v>36526.710034722222</v>
      </c>
      <c r="I402">
        <v>12</v>
      </c>
      <c r="J402">
        <v>12</v>
      </c>
      <c r="K402" t="s">
        <v>198</v>
      </c>
      <c r="L402" t="s">
        <v>14</v>
      </c>
      <c r="M402" t="s">
        <v>85</v>
      </c>
      <c r="N402" t="s">
        <v>86</v>
      </c>
    </row>
    <row r="403" spans="1:14" x14ac:dyDescent="0.3">
      <c r="A403">
        <v>1490</v>
      </c>
      <c r="B403">
        <v>661</v>
      </c>
      <c r="C403">
        <v>1</v>
      </c>
      <c r="D403" t="s">
        <v>93</v>
      </c>
      <c r="E403">
        <v>1</v>
      </c>
      <c r="F403" s="1">
        <v>42015</v>
      </c>
      <c r="G403" t="s">
        <v>185</v>
      </c>
      <c r="H403" s="2">
        <v>36526.720995370371</v>
      </c>
      <c r="I403">
        <v>12</v>
      </c>
      <c r="J403">
        <v>12</v>
      </c>
      <c r="K403" t="s">
        <v>198</v>
      </c>
      <c r="L403" t="s">
        <v>14</v>
      </c>
      <c r="M403" t="s">
        <v>94</v>
      </c>
      <c r="N403" t="s">
        <v>95</v>
      </c>
    </row>
    <row r="404" spans="1:14" x14ac:dyDescent="0.3">
      <c r="A404">
        <v>1483</v>
      </c>
      <c r="B404">
        <v>658</v>
      </c>
      <c r="C404">
        <v>0.33333333333333331</v>
      </c>
      <c r="D404" t="s">
        <v>163</v>
      </c>
      <c r="E404">
        <v>1</v>
      </c>
      <c r="F404" s="1">
        <v>42015</v>
      </c>
      <c r="G404" t="s">
        <v>185</v>
      </c>
      <c r="H404" s="2">
        <v>36526.705138888887</v>
      </c>
      <c r="I404">
        <v>16</v>
      </c>
      <c r="J404">
        <v>16</v>
      </c>
      <c r="K404" t="s">
        <v>197</v>
      </c>
      <c r="L404" t="s">
        <v>14</v>
      </c>
      <c r="M404" t="s">
        <v>94</v>
      </c>
      <c r="N404" t="s">
        <v>95</v>
      </c>
    </row>
    <row r="405" spans="1:14" x14ac:dyDescent="0.3">
      <c r="A405">
        <v>402</v>
      </c>
      <c r="B405">
        <v>169</v>
      </c>
      <c r="C405">
        <v>0.33333333333333331</v>
      </c>
      <c r="D405" t="s">
        <v>160</v>
      </c>
      <c r="E405">
        <v>1</v>
      </c>
      <c r="F405" s="1">
        <v>42007</v>
      </c>
      <c r="G405" t="s">
        <v>191</v>
      </c>
      <c r="H405" s="2">
        <v>36526.719305555554</v>
      </c>
      <c r="I405">
        <v>12</v>
      </c>
      <c r="J405">
        <v>12</v>
      </c>
      <c r="K405" t="s">
        <v>198</v>
      </c>
      <c r="L405" t="s">
        <v>14</v>
      </c>
      <c r="M405" t="s">
        <v>55</v>
      </c>
      <c r="N405" t="s">
        <v>56</v>
      </c>
    </row>
    <row r="406" spans="1:14" x14ac:dyDescent="0.3">
      <c r="A406">
        <v>1482</v>
      </c>
      <c r="B406">
        <v>657</v>
      </c>
      <c r="C406">
        <v>0.5</v>
      </c>
      <c r="D406" t="s">
        <v>17</v>
      </c>
      <c r="E406">
        <v>1</v>
      </c>
      <c r="F406" s="1">
        <v>42015</v>
      </c>
      <c r="G406" t="s">
        <v>185</v>
      </c>
      <c r="H406" s="2">
        <v>36526.698460648149</v>
      </c>
      <c r="I406">
        <v>16</v>
      </c>
      <c r="J406">
        <v>16</v>
      </c>
      <c r="K406" t="s">
        <v>197</v>
      </c>
      <c r="L406" t="s">
        <v>14</v>
      </c>
      <c r="M406" t="s">
        <v>18</v>
      </c>
      <c r="N406" t="s">
        <v>19</v>
      </c>
    </row>
    <row r="407" spans="1:14" x14ac:dyDescent="0.3">
      <c r="A407">
        <v>404</v>
      </c>
      <c r="B407">
        <v>170</v>
      </c>
      <c r="C407">
        <v>1</v>
      </c>
      <c r="D407" t="s">
        <v>142</v>
      </c>
      <c r="E407">
        <v>1</v>
      </c>
      <c r="F407" s="1">
        <v>42007</v>
      </c>
      <c r="G407" t="s">
        <v>191</v>
      </c>
      <c r="H407" s="2">
        <v>36526.723275462966</v>
      </c>
      <c r="I407">
        <v>16.5</v>
      </c>
      <c r="J407">
        <v>16.5</v>
      </c>
      <c r="K407" t="s">
        <v>196</v>
      </c>
      <c r="L407" t="s">
        <v>14</v>
      </c>
      <c r="M407" t="s">
        <v>15</v>
      </c>
      <c r="N407" t="s">
        <v>16</v>
      </c>
    </row>
    <row r="408" spans="1:14" x14ac:dyDescent="0.3">
      <c r="A408">
        <v>405</v>
      </c>
      <c r="B408">
        <v>171</v>
      </c>
      <c r="C408">
        <v>1</v>
      </c>
      <c r="D408" t="s">
        <v>163</v>
      </c>
      <c r="E408">
        <v>1</v>
      </c>
      <c r="F408" s="1">
        <v>42007</v>
      </c>
      <c r="G408" t="s">
        <v>191</v>
      </c>
      <c r="H408" s="2">
        <v>36526.724340277775</v>
      </c>
      <c r="I408">
        <v>16</v>
      </c>
      <c r="J408">
        <v>16</v>
      </c>
      <c r="K408" t="s">
        <v>197</v>
      </c>
      <c r="L408" t="s">
        <v>14</v>
      </c>
      <c r="M408" t="s">
        <v>94</v>
      </c>
      <c r="N408" t="s">
        <v>95</v>
      </c>
    </row>
    <row r="409" spans="1:14" x14ac:dyDescent="0.3">
      <c r="A409">
        <v>406</v>
      </c>
      <c r="B409">
        <v>172</v>
      </c>
      <c r="C409">
        <v>0.33333333333333331</v>
      </c>
      <c r="D409" t="s">
        <v>93</v>
      </c>
      <c r="E409">
        <v>1</v>
      </c>
      <c r="F409" s="1">
        <v>42007</v>
      </c>
      <c r="G409" t="s">
        <v>191</v>
      </c>
      <c r="H409" s="2">
        <v>36526.728750000002</v>
      </c>
      <c r="I409">
        <v>12</v>
      </c>
      <c r="J409">
        <v>12</v>
      </c>
      <c r="K409" t="s">
        <v>198</v>
      </c>
      <c r="L409" t="s">
        <v>14</v>
      </c>
      <c r="M409" t="s">
        <v>94</v>
      </c>
      <c r="N409" t="s">
        <v>95</v>
      </c>
    </row>
    <row r="410" spans="1:14" x14ac:dyDescent="0.3">
      <c r="A410">
        <v>1470</v>
      </c>
      <c r="B410">
        <v>652</v>
      </c>
      <c r="C410">
        <v>0.25</v>
      </c>
      <c r="D410" t="s">
        <v>84</v>
      </c>
      <c r="E410">
        <v>1</v>
      </c>
      <c r="F410" s="1">
        <v>42015</v>
      </c>
      <c r="G410" t="s">
        <v>185</v>
      </c>
      <c r="H410" s="2">
        <v>36526.669189814813</v>
      </c>
      <c r="I410">
        <v>12</v>
      </c>
      <c r="J410">
        <v>12</v>
      </c>
      <c r="K410" t="s">
        <v>198</v>
      </c>
      <c r="L410" t="s">
        <v>14</v>
      </c>
      <c r="M410" t="s">
        <v>85</v>
      </c>
      <c r="N410" t="s">
        <v>86</v>
      </c>
    </row>
    <row r="411" spans="1:14" x14ac:dyDescent="0.3">
      <c r="A411">
        <v>1469</v>
      </c>
      <c r="B411">
        <v>651</v>
      </c>
      <c r="C411">
        <v>0.33333333333333331</v>
      </c>
      <c r="D411" t="s">
        <v>119</v>
      </c>
      <c r="E411">
        <v>1</v>
      </c>
      <c r="F411" s="1">
        <v>42015</v>
      </c>
      <c r="G411" t="s">
        <v>185</v>
      </c>
      <c r="H411" s="2">
        <v>36526.617766203701</v>
      </c>
      <c r="I411">
        <v>12.5</v>
      </c>
      <c r="J411">
        <v>12.5</v>
      </c>
      <c r="K411" t="s">
        <v>197</v>
      </c>
      <c r="L411" t="s">
        <v>14</v>
      </c>
      <c r="M411" t="s">
        <v>78</v>
      </c>
      <c r="N411" t="s">
        <v>79</v>
      </c>
    </row>
    <row r="412" spans="1:14" x14ac:dyDescent="0.3">
      <c r="A412">
        <v>1466</v>
      </c>
      <c r="B412">
        <v>650</v>
      </c>
      <c r="C412">
        <v>1</v>
      </c>
      <c r="D412" t="s">
        <v>119</v>
      </c>
      <c r="E412">
        <v>1</v>
      </c>
      <c r="F412" s="1">
        <v>42015</v>
      </c>
      <c r="G412" t="s">
        <v>185</v>
      </c>
      <c r="H412" s="2">
        <v>36526.607002314813</v>
      </c>
      <c r="I412">
        <v>12.5</v>
      </c>
      <c r="J412">
        <v>12.5</v>
      </c>
      <c r="K412" t="s">
        <v>197</v>
      </c>
      <c r="L412" t="s">
        <v>14</v>
      </c>
      <c r="M412" t="s">
        <v>78</v>
      </c>
      <c r="N412" t="s">
        <v>79</v>
      </c>
    </row>
    <row r="413" spans="1:14" x14ac:dyDescent="0.3">
      <c r="A413">
        <v>410</v>
      </c>
      <c r="B413">
        <v>173</v>
      </c>
      <c r="C413">
        <v>0.33333333333333331</v>
      </c>
      <c r="D413" t="s">
        <v>17</v>
      </c>
      <c r="E413">
        <v>1</v>
      </c>
      <c r="F413" s="1">
        <v>42007</v>
      </c>
      <c r="G413" t="s">
        <v>191</v>
      </c>
      <c r="H413" s="2">
        <v>36526.732986111114</v>
      </c>
      <c r="I413">
        <v>16</v>
      </c>
      <c r="J413">
        <v>16</v>
      </c>
      <c r="K413" t="s">
        <v>197</v>
      </c>
      <c r="L413" t="s">
        <v>14</v>
      </c>
      <c r="M413" t="s">
        <v>18</v>
      </c>
      <c r="N413" t="s">
        <v>19</v>
      </c>
    </row>
    <row r="414" spans="1:14" x14ac:dyDescent="0.3">
      <c r="A414">
        <v>1463</v>
      </c>
      <c r="B414">
        <v>649</v>
      </c>
      <c r="C414">
        <v>0.25</v>
      </c>
      <c r="D414" t="s">
        <v>119</v>
      </c>
      <c r="E414">
        <v>1</v>
      </c>
      <c r="F414" s="1">
        <v>42015</v>
      </c>
      <c r="G414" t="s">
        <v>185</v>
      </c>
      <c r="H414" s="2">
        <v>36526.603738425925</v>
      </c>
      <c r="I414">
        <v>12.5</v>
      </c>
      <c r="J414">
        <v>12.5</v>
      </c>
      <c r="K414" t="s">
        <v>197</v>
      </c>
      <c r="L414" t="s">
        <v>14</v>
      </c>
      <c r="M414" t="s">
        <v>78</v>
      </c>
      <c r="N414" t="s">
        <v>79</v>
      </c>
    </row>
    <row r="415" spans="1:14" x14ac:dyDescent="0.3">
      <c r="A415">
        <v>412</v>
      </c>
      <c r="B415">
        <v>174</v>
      </c>
      <c r="C415">
        <v>0.25</v>
      </c>
      <c r="D415" t="s">
        <v>84</v>
      </c>
      <c r="E415">
        <v>1</v>
      </c>
      <c r="F415" s="1">
        <v>42007</v>
      </c>
      <c r="G415" t="s">
        <v>191</v>
      </c>
      <c r="H415" s="2">
        <v>36526.734594907408</v>
      </c>
      <c r="I415">
        <v>12</v>
      </c>
      <c r="J415">
        <v>12</v>
      </c>
      <c r="K415" t="s">
        <v>198</v>
      </c>
      <c r="L415" t="s">
        <v>14</v>
      </c>
      <c r="M415" t="s">
        <v>85</v>
      </c>
      <c r="N415" t="s">
        <v>86</v>
      </c>
    </row>
    <row r="416" spans="1:14" x14ac:dyDescent="0.3">
      <c r="A416">
        <v>1461</v>
      </c>
      <c r="B416">
        <v>648</v>
      </c>
      <c r="C416">
        <v>0.5</v>
      </c>
      <c r="D416" t="s">
        <v>119</v>
      </c>
      <c r="E416">
        <v>1</v>
      </c>
      <c r="F416" s="1">
        <v>42015</v>
      </c>
      <c r="G416" t="s">
        <v>185</v>
      </c>
      <c r="H416" s="2">
        <v>36526.595335648148</v>
      </c>
      <c r="I416">
        <v>12.5</v>
      </c>
      <c r="J416">
        <v>12.5</v>
      </c>
      <c r="K416" t="s">
        <v>197</v>
      </c>
      <c r="L416" t="s">
        <v>14</v>
      </c>
      <c r="M416" t="s">
        <v>78</v>
      </c>
      <c r="N416" t="s">
        <v>79</v>
      </c>
    </row>
    <row r="417" spans="1:14" x14ac:dyDescent="0.3">
      <c r="A417">
        <v>1459</v>
      </c>
      <c r="B417">
        <v>647</v>
      </c>
      <c r="C417">
        <v>1</v>
      </c>
      <c r="D417" t="s">
        <v>132</v>
      </c>
      <c r="E417">
        <v>1</v>
      </c>
      <c r="F417" s="1">
        <v>42015</v>
      </c>
      <c r="G417" t="s">
        <v>185</v>
      </c>
      <c r="H417" s="2">
        <v>36526.588599537034</v>
      </c>
      <c r="I417">
        <v>10.5</v>
      </c>
      <c r="J417">
        <v>10.5</v>
      </c>
      <c r="K417" t="s">
        <v>198</v>
      </c>
      <c r="L417" t="s">
        <v>14</v>
      </c>
      <c r="M417" t="s">
        <v>15</v>
      </c>
      <c r="N417" t="s">
        <v>16</v>
      </c>
    </row>
    <row r="418" spans="1:14" x14ac:dyDescent="0.3">
      <c r="A418">
        <v>415</v>
      </c>
      <c r="B418">
        <v>174</v>
      </c>
      <c r="C418">
        <v>0.25</v>
      </c>
      <c r="D418" t="s">
        <v>116</v>
      </c>
      <c r="E418">
        <v>1</v>
      </c>
      <c r="F418" s="1">
        <v>42007</v>
      </c>
      <c r="G418" t="s">
        <v>191</v>
      </c>
      <c r="H418" s="2">
        <v>36526.734594907408</v>
      </c>
      <c r="I418">
        <v>16</v>
      </c>
      <c r="J418">
        <v>16</v>
      </c>
      <c r="K418" t="s">
        <v>197</v>
      </c>
      <c r="L418" t="s">
        <v>14</v>
      </c>
      <c r="M418" t="s">
        <v>55</v>
      </c>
      <c r="N418" t="s">
        <v>56</v>
      </c>
    </row>
    <row r="419" spans="1:14" x14ac:dyDescent="0.3">
      <c r="A419">
        <v>1457</v>
      </c>
      <c r="B419">
        <v>646</v>
      </c>
      <c r="C419">
        <v>0.5</v>
      </c>
      <c r="D419" t="s">
        <v>132</v>
      </c>
      <c r="E419">
        <v>1</v>
      </c>
      <c r="F419" s="1">
        <v>42015</v>
      </c>
      <c r="G419" t="s">
        <v>185</v>
      </c>
      <c r="H419" s="2">
        <v>36526.588495370372</v>
      </c>
      <c r="I419">
        <v>10.5</v>
      </c>
      <c r="J419">
        <v>10.5</v>
      </c>
      <c r="K419" t="s">
        <v>198</v>
      </c>
      <c r="L419" t="s">
        <v>14</v>
      </c>
      <c r="M419" t="s">
        <v>15</v>
      </c>
      <c r="N419" t="s">
        <v>16</v>
      </c>
    </row>
    <row r="420" spans="1:14" x14ac:dyDescent="0.3">
      <c r="A420">
        <v>1456</v>
      </c>
      <c r="B420">
        <v>645</v>
      </c>
      <c r="C420">
        <v>0.5</v>
      </c>
      <c r="D420" t="s">
        <v>84</v>
      </c>
      <c r="E420">
        <v>1</v>
      </c>
      <c r="F420" s="1">
        <v>42015</v>
      </c>
      <c r="G420" t="s">
        <v>185</v>
      </c>
      <c r="H420" s="2">
        <v>36526.5859375</v>
      </c>
      <c r="I420">
        <v>12</v>
      </c>
      <c r="J420">
        <v>12</v>
      </c>
      <c r="K420" t="s">
        <v>198</v>
      </c>
      <c r="L420" t="s">
        <v>14</v>
      </c>
      <c r="M420" t="s">
        <v>85</v>
      </c>
      <c r="N420" t="s">
        <v>86</v>
      </c>
    </row>
    <row r="421" spans="1:14" x14ac:dyDescent="0.3">
      <c r="A421">
        <v>1444</v>
      </c>
      <c r="B421">
        <v>641</v>
      </c>
      <c r="C421">
        <v>0.25</v>
      </c>
      <c r="D421" t="s">
        <v>119</v>
      </c>
      <c r="E421">
        <v>1</v>
      </c>
      <c r="F421" s="1">
        <v>42015</v>
      </c>
      <c r="G421" t="s">
        <v>185</v>
      </c>
      <c r="H421" s="2">
        <v>36526.567893518521</v>
      </c>
      <c r="I421">
        <v>12.5</v>
      </c>
      <c r="J421">
        <v>12.5</v>
      </c>
      <c r="K421" t="s">
        <v>197</v>
      </c>
      <c r="L421" t="s">
        <v>14</v>
      </c>
      <c r="M421" t="s">
        <v>78</v>
      </c>
      <c r="N421" t="s">
        <v>79</v>
      </c>
    </row>
    <row r="422" spans="1:14" x14ac:dyDescent="0.3">
      <c r="A422">
        <v>419</v>
      </c>
      <c r="B422">
        <v>177</v>
      </c>
      <c r="C422">
        <v>0.5</v>
      </c>
      <c r="D422" t="s">
        <v>93</v>
      </c>
      <c r="E422">
        <v>1</v>
      </c>
      <c r="F422" s="1">
        <v>42007</v>
      </c>
      <c r="G422" t="s">
        <v>191</v>
      </c>
      <c r="H422" s="2">
        <v>36526.746249999997</v>
      </c>
      <c r="I422">
        <v>12</v>
      </c>
      <c r="J422">
        <v>12</v>
      </c>
      <c r="K422" t="s">
        <v>198</v>
      </c>
      <c r="L422" t="s">
        <v>14</v>
      </c>
      <c r="M422" t="s">
        <v>94</v>
      </c>
      <c r="N422" t="s">
        <v>95</v>
      </c>
    </row>
    <row r="423" spans="1:14" x14ac:dyDescent="0.3">
      <c r="A423">
        <v>1443</v>
      </c>
      <c r="B423">
        <v>640</v>
      </c>
      <c r="C423">
        <v>0.33333333333333331</v>
      </c>
      <c r="D423" t="s">
        <v>93</v>
      </c>
      <c r="E423">
        <v>1</v>
      </c>
      <c r="F423" s="1">
        <v>42015</v>
      </c>
      <c r="G423" t="s">
        <v>185</v>
      </c>
      <c r="H423" s="2">
        <v>36526.561203703706</v>
      </c>
      <c r="I423">
        <v>12</v>
      </c>
      <c r="J423">
        <v>12</v>
      </c>
      <c r="K423" t="s">
        <v>198</v>
      </c>
      <c r="L423" t="s">
        <v>14</v>
      </c>
      <c r="M423" t="s">
        <v>94</v>
      </c>
      <c r="N423" t="s">
        <v>95</v>
      </c>
    </row>
    <row r="424" spans="1:14" x14ac:dyDescent="0.3">
      <c r="A424">
        <v>1440</v>
      </c>
      <c r="B424">
        <v>639</v>
      </c>
      <c r="C424">
        <v>1</v>
      </c>
      <c r="D424" t="s">
        <v>148</v>
      </c>
      <c r="E424">
        <v>1</v>
      </c>
      <c r="F424" s="1">
        <v>42015</v>
      </c>
      <c r="G424" t="s">
        <v>185</v>
      </c>
      <c r="H424" s="2">
        <v>36526.557881944442</v>
      </c>
      <c r="I424">
        <v>14.5</v>
      </c>
      <c r="J424">
        <v>14.5</v>
      </c>
      <c r="K424" t="s">
        <v>197</v>
      </c>
      <c r="L424" t="s">
        <v>14</v>
      </c>
      <c r="M424" t="s">
        <v>130</v>
      </c>
      <c r="N424" t="s">
        <v>131</v>
      </c>
    </row>
    <row r="425" spans="1:14" x14ac:dyDescent="0.3">
      <c r="A425">
        <v>422</v>
      </c>
      <c r="B425">
        <v>179</v>
      </c>
      <c r="C425">
        <v>0.33333333333333331</v>
      </c>
      <c r="D425" t="s">
        <v>142</v>
      </c>
      <c r="E425">
        <v>1</v>
      </c>
      <c r="F425" s="1">
        <v>42007</v>
      </c>
      <c r="G425" t="s">
        <v>191</v>
      </c>
      <c r="H425" s="2">
        <v>36526.764050925929</v>
      </c>
      <c r="I425">
        <v>16.5</v>
      </c>
      <c r="J425">
        <v>16.5</v>
      </c>
      <c r="K425" t="s">
        <v>196</v>
      </c>
      <c r="L425" t="s">
        <v>14</v>
      </c>
      <c r="M425" t="s">
        <v>15</v>
      </c>
      <c r="N425" t="s">
        <v>16</v>
      </c>
    </row>
    <row r="426" spans="1:14" x14ac:dyDescent="0.3">
      <c r="A426">
        <v>1437</v>
      </c>
      <c r="B426">
        <v>637</v>
      </c>
      <c r="C426">
        <v>0.5</v>
      </c>
      <c r="D426" t="s">
        <v>170</v>
      </c>
      <c r="E426">
        <v>1</v>
      </c>
      <c r="F426" s="1">
        <v>42015</v>
      </c>
      <c r="G426" t="s">
        <v>185</v>
      </c>
      <c r="H426" s="2">
        <v>36526.530671296299</v>
      </c>
      <c r="I426">
        <v>20.5</v>
      </c>
      <c r="J426">
        <v>20.5</v>
      </c>
      <c r="K426" t="s">
        <v>196</v>
      </c>
      <c r="L426" t="s">
        <v>14</v>
      </c>
      <c r="M426" t="s">
        <v>45</v>
      </c>
      <c r="N426" t="s">
        <v>46</v>
      </c>
    </row>
    <row r="427" spans="1:14" x14ac:dyDescent="0.3">
      <c r="A427">
        <v>1436</v>
      </c>
      <c r="B427">
        <v>636</v>
      </c>
      <c r="C427">
        <v>1</v>
      </c>
      <c r="D427" t="s">
        <v>17</v>
      </c>
      <c r="E427">
        <v>1</v>
      </c>
      <c r="F427" s="1">
        <v>42015</v>
      </c>
      <c r="G427" t="s">
        <v>185</v>
      </c>
      <c r="H427" s="2">
        <v>36526.52412037037</v>
      </c>
      <c r="I427">
        <v>16</v>
      </c>
      <c r="J427">
        <v>16</v>
      </c>
      <c r="K427" t="s">
        <v>197</v>
      </c>
      <c r="L427" t="s">
        <v>14</v>
      </c>
      <c r="M427" t="s">
        <v>18</v>
      </c>
      <c r="N427" t="s">
        <v>19</v>
      </c>
    </row>
    <row r="428" spans="1:14" x14ac:dyDescent="0.3">
      <c r="A428">
        <v>425</v>
      </c>
      <c r="B428">
        <v>180</v>
      </c>
      <c r="C428">
        <v>0.5</v>
      </c>
      <c r="D428" t="s">
        <v>138</v>
      </c>
      <c r="E428">
        <v>1</v>
      </c>
      <c r="F428" s="1">
        <v>42007</v>
      </c>
      <c r="G428" t="s">
        <v>191</v>
      </c>
      <c r="H428" s="2">
        <v>36526.773310185185</v>
      </c>
      <c r="I428">
        <v>20.5</v>
      </c>
      <c r="J428">
        <v>20.5</v>
      </c>
      <c r="K428" t="s">
        <v>196</v>
      </c>
      <c r="L428" t="s">
        <v>14</v>
      </c>
      <c r="M428" t="s">
        <v>18</v>
      </c>
      <c r="N428" t="s">
        <v>19</v>
      </c>
    </row>
    <row r="429" spans="1:14" x14ac:dyDescent="0.3">
      <c r="A429">
        <v>1431</v>
      </c>
      <c r="B429">
        <v>635</v>
      </c>
      <c r="C429">
        <v>0.1</v>
      </c>
      <c r="D429" t="s">
        <v>126</v>
      </c>
      <c r="E429">
        <v>1</v>
      </c>
      <c r="F429" s="1">
        <v>42015</v>
      </c>
      <c r="G429" t="s">
        <v>185</v>
      </c>
      <c r="H429" s="2">
        <v>36526.512858796297</v>
      </c>
      <c r="I429">
        <v>9.75</v>
      </c>
      <c r="J429">
        <v>9.75</v>
      </c>
      <c r="K429" t="s">
        <v>198</v>
      </c>
      <c r="L429" t="s">
        <v>14</v>
      </c>
      <c r="M429" t="s">
        <v>78</v>
      </c>
      <c r="N429" t="s">
        <v>79</v>
      </c>
    </row>
    <row r="430" spans="1:14" x14ac:dyDescent="0.3">
      <c r="A430">
        <v>1430</v>
      </c>
      <c r="B430">
        <v>635</v>
      </c>
      <c r="C430">
        <v>0.1</v>
      </c>
      <c r="D430" t="s">
        <v>119</v>
      </c>
      <c r="E430">
        <v>1</v>
      </c>
      <c r="F430" s="1">
        <v>42015</v>
      </c>
      <c r="G430" t="s">
        <v>185</v>
      </c>
      <c r="H430" s="2">
        <v>36526.512858796297</v>
      </c>
      <c r="I430">
        <v>12.5</v>
      </c>
      <c r="J430">
        <v>12.5</v>
      </c>
      <c r="K430" t="s">
        <v>197</v>
      </c>
      <c r="L430" t="s">
        <v>14</v>
      </c>
      <c r="M430" t="s">
        <v>78</v>
      </c>
      <c r="N430" t="s">
        <v>79</v>
      </c>
    </row>
    <row r="431" spans="1:14" x14ac:dyDescent="0.3">
      <c r="A431">
        <v>1428</v>
      </c>
      <c r="B431">
        <v>635</v>
      </c>
      <c r="C431">
        <v>0.1</v>
      </c>
      <c r="D431" t="s">
        <v>132</v>
      </c>
      <c r="E431">
        <v>1</v>
      </c>
      <c r="F431" s="1">
        <v>42015</v>
      </c>
      <c r="G431" t="s">
        <v>185</v>
      </c>
      <c r="H431" s="2">
        <v>36526.512858796297</v>
      </c>
      <c r="I431">
        <v>10.5</v>
      </c>
      <c r="J431">
        <v>10.5</v>
      </c>
      <c r="K431" t="s">
        <v>198</v>
      </c>
      <c r="L431" t="s">
        <v>14</v>
      </c>
      <c r="M431" t="s">
        <v>15</v>
      </c>
      <c r="N431" t="s">
        <v>16</v>
      </c>
    </row>
    <row r="432" spans="1:14" x14ac:dyDescent="0.3">
      <c r="A432">
        <v>1425</v>
      </c>
      <c r="B432">
        <v>634</v>
      </c>
      <c r="C432">
        <v>1</v>
      </c>
      <c r="D432" t="s">
        <v>77</v>
      </c>
      <c r="E432">
        <v>1</v>
      </c>
      <c r="F432" s="1">
        <v>42015</v>
      </c>
      <c r="G432" t="s">
        <v>185</v>
      </c>
      <c r="H432" s="2">
        <v>36526.509895833333</v>
      </c>
      <c r="I432">
        <v>15.25</v>
      </c>
      <c r="J432">
        <v>15.25</v>
      </c>
      <c r="K432" t="s">
        <v>196</v>
      </c>
      <c r="L432" t="s">
        <v>14</v>
      </c>
      <c r="M432" t="s">
        <v>78</v>
      </c>
      <c r="N432" t="s">
        <v>79</v>
      </c>
    </row>
    <row r="433" spans="1:14" x14ac:dyDescent="0.3">
      <c r="A433">
        <v>430</v>
      </c>
      <c r="B433">
        <v>183</v>
      </c>
      <c r="C433">
        <v>0.33333333333333331</v>
      </c>
      <c r="D433" t="s">
        <v>163</v>
      </c>
      <c r="E433">
        <v>1</v>
      </c>
      <c r="F433" s="1">
        <v>42007</v>
      </c>
      <c r="G433" t="s">
        <v>191</v>
      </c>
      <c r="H433" s="2">
        <v>36526.788136574076</v>
      </c>
      <c r="I433">
        <v>16</v>
      </c>
      <c r="J433">
        <v>16</v>
      </c>
      <c r="K433" t="s">
        <v>197</v>
      </c>
      <c r="L433" t="s">
        <v>14</v>
      </c>
      <c r="M433" t="s">
        <v>94</v>
      </c>
      <c r="N433" t="s">
        <v>95</v>
      </c>
    </row>
    <row r="434" spans="1:14" x14ac:dyDescent="0.3">
      <c r="A434">
        <v>1423</v>
      </c>
      <c r="B434">
        <v>633</v>
      </c>
      <c r="C434">
        <v>0.33333333333333331</v>
      </c>
      <c r="D434" t="s">
        <v>77</v>
      </c>
      <c r="E434">
        <v>1</v>
      </c>
      <c r="F434" s="1">
        <v>42015</v>
      </c>
      <c r="G434" t="s">
        <v>185</v>
      </c>
      <c r="H434" s="2">
        <v>36526.494270833333</v>
      </c>
      <c r="I434">
        <v>15.25</v>
      </c>
      <c r="J434">
        <v>15.25</v>
      </c>
      <c r="K434" t="s">
        <v>196</v>
      </c>
      <c r="L434" t="s">
        <v>14</v>
      </c>
      <c r="M434" t="s">
        <v>78</v>
      </c>
      <c r="N434" t="s">
        <v>79</v>
      </c>
    </row>
    <row r="435" spans="1:14" x14ac:dyDescent="0.3">
      <c r="A435">
        <v>1421</v>
      </c>
      <c r="B435">
        <v>632</v>
      </c>
      <c r="C435">
        <v>1</v>
      </c>
      <c r="D435" t="s">
        <v>50</v>
      </c>
      <c r="E435">
        <v>1</v>
      </c>
      <c r="F435" s="1">
        <v>42015</v>
      </c>
      <c r="G435" t="s">
        <v>185</v>
      </c>
      <c r="H435" s="2">
        <v>36526.489490740743</v>
      </c>
      <c r="I435">
        <v>12</v>
      </c>
      <c r="J435">
        <v>12</v>
      </c>
      <c r="K435" t="s">
        <v>198</v>
      </c>
      <c r="L435" t="s">
        <v>14</v>
      </c>
      <c r="M435" t="s">
        <v>18</v>
      </c>
      <c r="N435" t="s">
        <v>19</v>
      </c>
    </row>
    <row r="436" spans="1:14" x14ac:dyDescent="0.3">
      <c r="A436">
        <v>433</v>
      </c>
      <c r="B436">
        <v>184</v>
      </c>
      <c r="C436">
        <v>1</v>
      </c>
      <c r="D436" t="s">
        <v>142</v>
      </c>
      <c r="E436">
        <v>1</v>
      </c>
      <c r="F436" s="1">
        <v>42007</v>
      </c>
      <c r="G436" t="s">
        <v>191</v>
      </c>
      <c r="H436" s="2">
        <v>36526.791030092594</v>
      </c>
      <c r="I436">
        <v>16.5</v>
      </c>
      <c r="J436">
        <v>16.5</v>
      </c>
      <c r="K436" t="s">
        <v>196</v>
      </c>
      <c r="L436" t="s">
        <v>14</v>
      </c>
      <c r="M436" t="s">
        <v>15</v>
      </c>
      <c r="N436" t="s">
        <v>16</v>
      </c>
    </row>
    <row r="437" spans="1:14" x14ac:dyDescent="0.3">
      <c r="A437">
        <v>1420</v>
      </c>
      <c r="B437">
        <v>631</v>
      </c>
      <c r="C437">
        <v>1</v>
      </c>
      <c r="D437" t="s">
        <v>77</v>
      </c>
      <c r="E437">
        <v>1</v>
      </c>
      <c r="F437" s="1">
        <v>42015</v>
      </c>
      <c r="G437" t="s">
        <v>185</v>
      </c>
      <c r="H437" s="2">
        <v>36526.489305555559</v>
      </c>
      <c r="I437">
        <v>15.25</v>
      </c>
      <c r="J437">
        <v>15.25</v>
      </c>
      <c r="K437" t="s">
        <v>196</v>
      </c>
      <c r="L437" t="s">
        <v>14</v>
      </c>
      <c r="M437" t="s">
        <v>78</v>
      </c>
      <c r="N437" t="s">
        <v>79</v>
      </c>
    </row>
    <row r="438" spans="1:14" x14ac:dyDescent="0.3">
      <c r="A438">
        <v>1417</v>
      </c>
      <c r="B438">
        <v>629</v>
      </c>
      <c r="C438">
        <v>0.25</v>
      </c>
      <c r="D438" t="s">
        <v>148</v>
      </c>
      <c r="E438">
        <v>1</v>
      </c>
      <c r="F438" s="1">
        <v>42014</v>
      </c>
      <c r="G438" t="s">
        <v>191</v>
      </c>
      <c r="H438" s="2">
        <v>36526.95045138889</v>
      </c>
      <c r="I438">
        <v>14.5</v>
      </c>
      <c r="J438">
        <v>14.5</v>
      </c>
      <c r="K438" t="s">
        <v>197</v>
      </c>
      <c r="L438" t="s">
        <v>14</v>
      </c>
      <c r="M438" t="s">
        <v>130</v>
      </c>
      <c r="N438" t="s">
        <v>131</v>
      </c>
    </row>
    <row r="439" spans="1:14" x14ac:dyDescent="0.3">
      <c r="A439">
        <v>1413</v>
      </c>
      <c r="B439">
        <v>628</v>
      </c>
      <c r="C439">
        <v>0.25</v>
      </c>
      <c r="D439" t="s">
        <v>44</v>
      </c>
      <c r="E439">
        <v>1</v>
      </c>
      <c r="F439" s="1">
        <v>42014</v>
      </c>
      <c r="G439" t="s">
        <v>191</v>
      </c>
      <c r="H439" s="2">
        <v>36526.949502314812</v>
      </c>
      <c r="I439">
        <v>12</v>
      </c>
      <c r="J439">
        <v>12</v>
      </c>
      <c r="K439" t="s">
        <v>198</v>
      </c>
      <c r="L439" t="s">
        <v>14</v>
      </c>
      <c r="M439" t="s">
        <v>45</v>
      </c>
      <c r="N439" t="s">
        <v>46</v>
      </c>
    </row>
    <row r="440" spans="1:14" x14ac:dyDescent="0.3">
      <c r="A440">
        <v>1411</v>
      </c>
      <c r="B440">
        <v>628</v>
      </c>
      <c r="C440">
        <v>0.25</v>
      </c>
      <c r="D440" t="s">
        <v>138</v>
      </c>
      <c r="E440">
        <v>1</v>
      </c>
      <c r="F440" s="1">
        <v>42014</v>
      </c>
      <c r="G440" t="s">
        <v>191</v>
      </c>
      <c r="H440" s="2">
        <v>36526.949502314812</v>
      </c>
      <c r="I440">
        <v>20.5</v>
      </c>
      <c r="J440">
        <v>20.5</v>
      </c>
      <c r="K440" t="s">
        <v>196</v>
      </c>
      <c r="L440" t="s">
        <v>14</v>
      </c>
      <c r="M440" t="s">
        <v>18</v>
      </c>
      <c r="N440" t="s">
        <v>19</v>
      </c>
    </row>
    <row r="441" spans="1:14" x14ac:dyDescent="0.3">
      <c r="A441">
        <v>1410</v>
      </c>
      <c r="B441">
        <v>627</v>
      </c>
      <c r="C441">
        <v>0.5</v>
      </c>
      <c r="D441" t="s">
        <v>155</v>
      </c>
      <c r="E441">
        <v>1</v>
      </c>
      <c r="F441" s="1">
        <v>42014</v>
      </c>
      <c r="G441" t="s">
        <v>191</v>
      </c>
      <c r="H441" s="2">
        <v>36526.929571759261</v>
      </c>
      <c r="I441">
        <v>16</v>
      </c>
      <c r="J441">
        <v>16</v>
      </c>
      <c r="K441" t="s">
        <v>197</v>
      </c>
      <c r="L441" t="s">
        <v>14</v>
      </c>
      <c r="M441" t="s">
        <v>45</v>
      </c>
      <c r="N441" t="s">
        <v>46</v>
      </c>
    </row>
    <row r="442" spans="1:14" x14ac:dyDescent="0.3">
      <c r="A442">
        <v>1409</v>
      </c>
      <c r="B442">
        <v>627</v>
      </c>
      <c r="C442">
        <v>0.5</v>
      </c>
      <c r="D442" t="s">
        <v>170</v>
      </c>
      <c r="E442">
        <v>1</v>
      </c>
      <c r="F442" s="1">
        <v>42014</v>
      </c>
      <c r="G442" t="s">
        <v>191</v>
      </c>
      <c r="H442" s="2">
        <v>36526.929571759261</v>
      </c>
      <c r="I442">
        <v>20.5</v>
      </c>
      <c r="J442">
        <v>20.5</v>
      </c>
      <c r="K442" t="s">
        <v>196</v>
      </c>
      <c r="L442" t="s">
        <v>14</v>
      </c>
      <c r="M442" t="s">
        <v>45</v>
      </c>
      <c r="N442" t="s">
        <v>46</v>
      </c>
    </row>
    <row r="443" spans="1:14" x14ac:dyDescent="0.3">
      <c r="A443">
        <v>1407</v>
      </c>
      <c r="B443">
        <v>626</v>
      </c>
      <c r="C443">
        <v>0.5</v>
      </c>
      <c r="D443" t="s">
        <v>17</v>
      </c>
      <c r="E443">
        <v>1</v>
      </c>
      <c r="F443" s="1">
        <v>42014</v>
      </c>
      <c r="G443" t="s">
        <v>191</v>
      </c>
      <c r="H443" s="2">
        <v>36526.91333333333</v>
      </c>
      <c r="I443">
        <v>16</v>
      </c>
      <c r="J443">
        <v>16</v>
      </c>
      <c r="K443" t="s">
        <v>197</v>
      </c>
      <c r="L443" t="s">
        <v>14</v>
      </c>
      <c r="M443" t="s">
        <v>18</v>
      </c>
      <c r="N443" t="s">
        <v>19</v>
      </c>
    </row>
    <row r="444" spans="1:14" x14ac:dyDescent="0.3">
      <c r="A444">
        <v>1402</v>
      </c>
      <c r="B444">
        <v>623</v>
      </c>
      <c r="C444">
        <v>0.5</v>
      </c>
      <c r="D444" t="s">
        <v>142</v>
      </c>
      <c r="E444">
        <v>1</v>
      </c>
      <c r="F444" s="1">
        <v>42014</v>
      </c>
      <c r="G444" t="s">
        <v>191</v>
      </c>
      <c r="H444" s="2">
        <v>36526.889826388891</v>
      </c>
      <c r="I444">
        <v>16.5</v>
      </c>
      <c r="J444">
        <v>16.5</v>
      </c>
      <c r="K444" t="s">
        <v>196</v>
      </c>
      <c r="L444" t="s">
        <v>14</v>
      </c>
      <c r="M444" t="s">
        <v>15</v>
      </c>
      <c r="N444" t="s">
        <v>16</v>
      </c>
    </row>
    <row r="445" spans="1:14" x14ac:dyDescent="0.3">
      <c r="A445">
        <v>1394</v>
      </c>
      <c r="B445">
        <v>620</v>
      </c>
      <c r="C445">
        <v>0.25</v>
      </c>
      <c r="D445" t="s">
        <v>44</v>
      </c>
      <c r="E445">
        <v>1</v>
      </c>
      <c r="F445" s="1">
        <v>42014</v>
      </c>
      <c r="G445" t="s">
        <v>191</v>
      </c>
      <c r="H445" s="2">
        <v>36526.865104166667</v>
      </c>
      <c r="I445">
        <v>12</v>
      </c>
      <c r="J445">
        <v>12</v>
      </c>
      <c r="K445" t="s">
        <v>198</v>
      </c>
      <c r="L445" t="s">
        <v>14</v>
      </c>
      <c r="M445" t="s">
        <v>45</v>
      </c>
      <c r="N445" t="s">
        <v>46</v>
      </c>
    </row>
    <row r="446" spans="1:14" x14ac:dyDescent="0.3">
      <c r="A446">
        <v>443</v>
      </c>
      <c r="B446">
        <v>188</v>
      </c>
      <c r="C446">
        <v>0.33333333333333331</v>
      </c>
      <c r="D446" t="s">
        <v>126</v>
      </c>
      <c r="E446">
        <v>1</v>
      </c>
      <c r="F446" s="1">
        <v>42007</v>
      </c>
      <c r="G446" t="s">
        <v>191</v>
      </c>
      <c r="H446" s="2">
        <v>36526.83934027778</v>
      </c>
      <c r="I446">
        <v>9.75</v>
      </c>
      <c r="J446">
        <v>9.75</v>
      </c>
      <c r="K446" t="s">
        <v>198</v>
      </c>
      <c r="L446" t="s">
        <v>14</v>
      </c>
      <c r="M446" t="s">
        <v>78</v>
      </c>
      <c r="N446" t="s">
        <v>79</v>
      </c>
    </row>
    <row r="447" spans="1:14" x14ac:dyDescent="0.3">
      <c r="A447">
        <v>1390</v>
      </c>
      <c r="B447">
        <v>619</v>
      </c>
      <c r="C447">
        <v>1</v>
      </c>
      <c r="D447" t="s">
        <v>54</v>
      </c>
      <c r="E447">
        <v>1</v>
      </c>
      <c r="F447" s="1">
        <v>42014</v>
      </c>
      <c r="G447" t="s">
        <v>191</v>
      </c>
      <c r="H447" s="2">
        <v>36526.862476851849</v>
      </c>
      <c r="I447">
        <v>20.5</v>
      </c>
      <c r="J447">
        <v>20.5</v>
      </c>
      <c r="K447" t="s">
        <v>196</v>
      </c>
      <c r="L447" t="s">
        <v>14</v>
      </c>
      <c r="M447" t="s">
        <v>55</v>
      </c>
      <c r="N447" t="s">
        <v>56</v>
      </c>
    </row>
    <row r="448" spans="1:14" x14ac:dyDescent="0.3">
      <c r="A448">
        <v>445</v>
      </c>
      <c r="B448">
        <v>189</v>
      </c>
      <c r="C448">
        <v>0.5</v>
      </c>
      <c r="D448" t="s">
        <v>84</v>
      </c>
      <c r="E448">
        <v>2</v>
      </c>
      <c r="F448" s="1">
        <v>42007</v>
      </c>
      <c r="G448" t="s">
        <v>191</v>
      </c>
      <c r="H448" s="2">
        <v>36526.841828703706</v>
      </c>
      <c r="I448">
        <v>12</v>
      </c>
      <c r="J448">
        <v>24</v>
      </c>
      <c r="K448" t="s">
        <v>198</v>
      </c>
      <c r="L448" t="s">
        <v>14</v>
      </c>
      <c r="M448" t="s">
        <v>85</v>
      </c>
      <c r="N448" t="s">
        <v>86</v>
      </c>
    </row>
    <row r="449" spans="1:14" x14ac:dyDescent="0.3">
      <c r="A449">
        <v>1383</v>
      </c>
      <c r="B449">
        <v>615</v>
      </c>
      <c r="C449">
        <v>0.5</v>
      </c>
      <c r="D449" t="s">
        <v>148</v>
      </c>
      <c r="E449">
        <v>1</v>
      </c>
      <c r="F449" s="1">
        <v>42014</v>
      </c>
      <c r="G449" t="s">
        <v>191</v>
      </c>
      <c r="H449" s="2">
        <v>36526.843090277776</v>
      </c>
      <c r="I449">
        <v>14.5</v>
      </c>
      <c r="J449">
        <v>14.5</v>
      </c>
      <c r="K449" t="s">
        <v>197</v>
      </c>
      <c r="L449" t="s">
        <v>14</v>
      </c>
      <c r="M449" t="s">
        <v>130</v>
      </c>
      <c r="N449" t="s">
        <v>131</v>
      </c>
    </row>
    <row r="450" spans="1:14" x14ac:dyDescent="0.3">
      <c r="A450">
        <v>1380</v>
      </c>
      <c r="B450">
        <v>613</v>
      </c>
      <c r="C450">
        <v>1</v>
      </c>
      <c r="D450" t="s">
        <v>93</v>
      </c>
      <c r="E450">
        <v>1</v>
      </c>
      <c r="F450" s="1">
        <v>42014</v>
      </c>
      <c r="G450" t="s">
        <v>191</v>
      </c>
      <c r="H450" s="2">
        <v>36526.840787037036</v>
      </c>
      <c r="I450">
        <v>12</v>
      </c>
      <c r="J450">
        <v>12</v>
      </c>
      <c r="K450" t="s">
        <v>198</v>
      </c>
      <c r="L450" t="s">
        <v>14</v>
      </c>
      <c r="M450" t="s">
        <v>94</v>
      </c>
      <c r="N450" t="s">
        <v>95</v>
      </c>
    </row>
    <row r="451" spans="1:14" x14ac:dyDescent="0.3">
      <c r="A451">
        <v>1376</v>
      </c>
      <c r="B451">
        <v>612</v>
      </c>
      <c r="C451">
        <v>0.25</v>
      </c>
      <c r="D451" t="s">
        <v>84</v>
      </c>
      <c r="E451">
        <v>1</v>
      </c>
      <c r="F451" s="1">
        <v>42014</v>
      </c>
      <c r="G451" t="s">
        <v>191</v>
      </c>
      <c r="H451" s="2">
        <v>36526.832118055558</v>
      </c>
      <c r="I451">
        <v>12</v>
      </c>
      <c r="J451">
        <v>12</v>
      </c>
      <c r="K451" t="s">
        <v>198</v>
      </c>
      <c r="L451" t="s">
        <v>14</v>
      </c>
      <c r="M451" t="s">
        <v>85</v>
      </c>
      <c r="N451" t="s">
        <v>86</v>
      </c>
    </row>
    <row r="452" spans="1:14" x14ac:dyDescent="0.3">
      <c r="A452">
        <v>449</v>
      </c>
      <c r="B452">
        <v>190</v>
      </c>
      <c r="C452">
        <v>0.25</v>
      </c>
      <c r="D452" t="s">
        <v>143</v>
      </c>
      <c r="E452">
        <v>1</v>
      </c>
      <c r="F452" s="1">
        <v>42007</v>
      </c>
      <c r="G452" t="s">
        <v>191</v>
      </c>
      <c r="H452" s="2">
        <v>36526.843321759261</v>
      </c>
      <c r="I452">
        <v>11</v>
      </c>
      <c r="J452">
        <v>11</v>
      </c>
      <c r="K452" t="s">
        <v>198</v>
      </c>
      <c r="L452" t="s">
        <v>14</v>
      </c>
      <c r="M452" t="s">
        <v>130</v>
      </c>
      <c r="N452" t="s">
        <v>131</v>
      </c>
    </row>
    <row r="453" spans="1:14" x14ac:dyDescent="0.3">
      <c r="A453">
        <v>1375</v>
      </c>
      <c r="B453">
        <v>611</v>
      </c>
      <c r="C453">
        <v>0.25</v>
      </c>
      <c r="D453" t="s">
        <v>140</v>
      </c>
      <c r="E453">
        <v>1</v>
      </c>
      <c r="F453" s="1">
        <v>42014</v>
      </c>
      <c r="G453" t="s">
        <v>191</v>
      </c>
      <c r="H453" s="2">
        <v>36526.832060185188</v>
      </c>
      <c r="I453">
        <v>25.5</v>
      </c>
      <c r="J453">
        <v>25.5</v>
      </c>
      <c r="K453" t="s">
        <v>199</v>
      </c>
      <c r="L453" t="s">
        <v>14</v>
      </c>
      <c r="M453" t="s">
        <v>45</v>
      </c>
      <c r="N453" t="s">
        <v>46</v>
      </c>
    </row>
    <row r="454" spans="1:14" x14ac:dyDescent="0.3">
      <c r="A454">
        <v>1371</v>
      </c>
      <c r="B454">
        <v>610</v>
      </c>
      <c r="C454">
        <v>0.5</v>
      </c>
      <c r="D454" t="s">
        <v>77</v>
      </c>
      <c r="E454">
        <v>1</v>
      </c>
      <c r="F454" s="1">
        <v>42014</v>
      </c>
      <c r="G454" t="s">
        <v>191</v>
      </c>
      <c r="H454" s="2">
        <v>36526.827106481483</v>
      </c>
      <c r="I454">
        <v>15.25</v>
      </c>
      <c r="J454">
        <v>15.25</v>
      </c>
      <c r="K454" t="s">
        <v>196</v>
      </c>
      <c r="L454" t="s">
        <v>14</v>
      </c>
      <c r="M454" t="s">
        <v>78</v>
      </c>
      <c r="N454" t="s">
        <v>79</v>
      </c>
    </row>
    <row r="455" spans="1:14" x14ac:dyDescent="0.3">
      <c r="A455">
        <v>1370</v>
      </c>
      <c r="B455">
        <v>610</v>
      </c>
      <c r="C455">
        <v>0.5</v>
      </c>
      <c r="D455" t="s">
        <v>84</v>
      </c>
      <c r="E455">
        <v>1</v>
      </c>
      <c r="F455" s="1">
        <v>42014</v>
      </c>
      <c r="G455" t="s">
        <v>191</v>
      </c>
      <c r="H455" s="2">
        <v>36526.827106481483</v>
      </c>
      <c r="I455">
        <v>12</v>
      </c>
      <c r="J455">
        <v>12</v>
      </c>
      <c r="K455" t="s">
        <v>198</v>
      </c>
      <c r="L455" t="s">
        <v>14</v>
      </c>
      <c r="M455" t="s">
        <v>85</v>
      </c>
      <c r="N455" t="s">
        <v>86</v>
      </c>
    </row>
    <row r="456" spans="1:14" x14ac:dyDescent="0.3">
      <c r="A456">
        <v>1366</v>
      </c>
      <c r="B456">
        <v>608</v>
      </c>
      <c r="C456">
        <v>0.25</v>
      </c>
      <c r="D456" t="s">
        <v>119</v>
      </c>
      <c r="E456">
        <v>1</v>
      </c>
      <c r="F456" s="1">
        <v>42014</v>
      </c>
      <c r="G456" t="s">
        <v>191</v>
      </c>
      <c r="H456" s="2">
        <v>36526.817048611112</v>
      </c>
      <c r="I456">
        <v>12.5</v>
      </c>
      <c r="J456">
        <v>12.5</v>
      </c>
      <c r="K456" t="s">
        <v>197</v>
      </c>
      <c r="L456" t="s">
        <v>14</v>
      </c>
      <c r="M456" t="s">
        <v>78</v>
      </c>
      <c r="N456" t="s">
        <v>79</v>
      </c>
    </row>
    <row r="457" spans="1:14" x14ac:dyDescent="0.3">
      <c r="A457">
        <v>1365</v>
      </c>
      <c r="B457">
        <v>608</v>
      </c>
      <c r="C457">
        <v>0.25</v>
      </c>
      <c r="D457" t="s">
        <v>142</v>
      </c>
      <c r="E457">
        <v>1</v>
      </c>
      <c r="F457" s="1">
        <v>42014</v>
      </c>
      <c r="G457" t="s">
        <v>191</v>
      </c>
      <c r="H457" s="2">
        <v>36526.817048611112</v>
      </c>
      <c r="I457">
        <v>16.5</v>
      </c>
      <c r="J457">
        <v>16.5</v>
      </c>
      <c r="K457" t="s">
        <v>196</v>
      </c>
      <c r="L457" t="s">
        <v>14</v>
      </c>
      <c r="M457" t="s">
        <v>15</v>
      </c>
      <c r="N457" t="s">
        <v>16</v>
      </c>
    </row>
    <row r="458" spans="1:14" x14ac:dyDescent="0.3">
      <c r="A458">
        <v>455</v>
      </c>
      <c r="B458">
        <v>193</v>
      </c>
      <c r="C458">
        <v>0.33333333333333331</v>
      </c>
      <c r="D458" t="s">
        <v>84</v>
      </c>
      <c r="E458">
        <v>1</v>
      </c>
      <c r="F458" s="1">
        <v>42007</v>
      </c>
      <c r="G458" t="s">
        <v>191</v>
      </c>
      <c r="H458" s="2">
        <v>36526.872071759259</v>
      </c>
      <c r="I458">
        <v>12</v>
      </c>
      <c r="J458">
        <v>12</v>
      </c>
      <c r="K458" t="s">
        <v>198</v>
      </c>
      <c r="L458" t="s">
        <v>14</v>
      </c>
      <c r="M458" t="s">
        <v>85</v>
      </c>
      <c r="N458" t="s">
        <v>86</v>
      </c>
    </row>
    <row r="459" spans="1:14" x14ac:dyDescent="0.3">
      <c r="A459">
        <v>1361</v>
      </c>
      <c r="B459">
        <v>606</v>
      </c>
      <c r="C459">
        <v>1</v>
      </c>
      <c r="D459" t="s">
        <v>77</v>
      </c>
      <c r="E459">
        <v>1</v>
      </c>
      <c r="F459" s="1">
        <v>42014</v>
      </c>
      <c r="G459" t="s">
        <v>191</v>
      </c>
      <c r="H459" s="2">
        <v>36526.810624999998</v>
      </c>
      <c r="I459">
        <v>15.25</v>
      </c>
      <c r="J459">
        <v>15.25</v>
      </c>
      <c r="K459" t="s">
        <v>196</v>
      </c>
      <c r="L459" t="s">
        <v>14</v>
      </c>
      <c r="M459" t="s">
        <v>78</v>
      </c>
      <c r="N459" t="s">
        <v>79</v>
      </c>
    </row>
    <row r="460" spans="1:14" x14ac:dyDescent="0.3">
      <c r="A460">
        <v>1360</v>
      </c>
      <c r="B460">
        <v>605</v>
      </c>
      <c r="C460">
        <v>0.5</v>
      </c>
      <c r="D460" t="s">
        <v>140</v>
      </c>
      <c r="E460">
        <v>1</v>
      </c>
      <c r="F460" s="1">
        <v>42014</v>
      </c>
      <c r="G460" t="s">
        <v>191</v>
      </c>
      <c r="H460" s="2">
        <v>36526.808229166665</v>
      </c>
      <c r="I460">
        <v>25.5</v>
      </c>
      <c r="J460">
        <v>25.5</v>
      </c>
      <c r="K460" t="s">
        <v>199</v>
      </c>
      <c r="L460" t="s">
        <v>14</v>
      </c>
      <c r="M460" t="s">
        <v>45</v>
      </c>
      <c r="N460" t="s">
        <v>46</v>
      </c>
    </row>
    <row r="461" spans="1:14" x14ac:dyDescent="0.3">
      <c r="A461">
        <v>1359</v>
      </c>
      <c r="B461">
        <v>605</v>
      </c>
      <c r="C461">
        <v>0.5</v>
      </c>
      <c r="D461" t="s">
        <v>119</v>
      </c>
      <c r="E461">
        <v>1</v>
      </c>
      <c r="F461" s="1">
        <v>42014</v>
      </c>
      <c r="G461" t="s">
        <v>191</v>
      </c>
      <c r="H461" s="2">
        <v>36526.808229166665</v>
      </c>
      <c r="I461">
        <v>12.5</v>
      </c>
      <c r="J461">
        <v>12.5</v>
      </c>
      <c r="K461" t="s">
        <v>197</v>
      </c>
      <c r="L461" t="s">
        <v>14</v>
      </c>
      <c r="M461" t="s">
        <v>78</v>
      </c>
      <c r="N461" t="s">
        <v>79</v>
      </c>
    </row>
    <row r="462" spans="1:14" x14ac:dyDescent="0.3">
      <c r="A462">
        <v>1353</v>
      </c>
      <c r="B462">
        <v>601</v>
      </c>
      <c r="C462">
        <v>0.33333333333333331</v>
      </c>
      <c r="D462" t="s">
        <v>50</v>
      </c>
      <c r="E462">
        <v>1</v>
      </c>
      <c r="F462" s="1">
        <v>42014</v>
      </c>
      <c r="G462" t="s">
        <v>191</v>
      </c>
      <c r="H462" s="2">
        <v>36526.790497685186</v>
      </c>
      <c r="I462">
        <v>12</v>
      </c>
      <c r="J462">
        <v>12</v>
      </c>
      <c r="K462" t="s">
        <v>198</v>
      </c>
      <c r="L462" t="s">
        <v>14</v>
      </c>
      <c r="M462" t="s">
        <v>18</v>
      </c>
      <c r="N462" t="s">
        <v>19</v>
      </c>
    </row>
    <row r="463" spans="1:14" x14ac:dyDescent="0.3">
      <c r="A463">
        <v>1348</v>
      </c>
      <c r="B463">
        <v>600</v>
      </c>
      <c r="C463">
        <v>0.25</v>
      </c>
      <c r="D463" t="s">
        <v>50</v>
      </c>
      <c r="E463">
        <v>1</v>
      </c>
      <c r="F463" s="1">
        <v>42014</v>
      </c>
      <c r="G463" t="s">
        <v>191</v>
      </c>
      <c r="H463" s="2">
        <v>36526.787407407406</v>
      </c>
      <c r="I463">
        <v>12</v>
      </c>
      <c r="J463">
        <v>12</v>
      </c>
      <c r="K463" t="s">
        <v>198</v>
      </c>
      <c r="L463" t="s">
        <v>14</v>
      </c>
      <c r="M463" t="s">
        <v>18</v>
      </c>
      <c r="N463" t="s">
        <v>19</v>
      </c>
    </row>
    <row r="464" spans="1:14" x14ac:dyDescent="0.3">
      <c r="A464">
        <v>1341</v>
      </c>
      <c r="B464">
        <v>596</v>
      </c>
      <c r="C464">
        <v>0.5</v>
      </c>
      <c r="D464" t="s">
        <v>143</v>
      </c>
      <c r="E464">
        <v>1</v>
      </c>
      <c r="F464" s="1">
        <v>42014</v>
      </c>
      <c r="G464" t="s">
        <v>191</v>
      </c>
      <c r="H464" s="2">
        <v>36526.766747685186</v>
      </c>
      <c r="I464">
        <v>11</v>
      </c>
      <c r="J464">
        <v>11</v>
      </c>
      <c r="K464" t="s">
        <v>198</v>
      </c>
      <c r="L464" t="s">
        <v>14</v>
      </c>
      <c r="M464" t="s">
        <v>130</v>
      </c>
      <c r="N464" t="s">
        <v>131</v>
      </c>
    </row>
    <row r="465" spans="1:14" x14ac:dyDescent="0.3">
      <c r="A465">
        <v>1339</v>
      </c>
      <c r="B465">
        <v>595</v>
      </c>
      <c r="C465">
        <v>0.5</v>
      </c>
      <c r="D465" t="s">
        <v>138</v>
      </c>
      <c r="E465">
        <v>1</v>
      </c>
      <c r="F465" s="1">
        <v>42014</v>
      </c>
      <c r="G465" t="s">
        <v>191</v>
      </c>
      <c r="H465" s="2">
        <v>36526.758657407408</v>
      </c>
      <c r="I465">
        <v>20.5</v>
      </c>
      <c r="J465">
        <v>20.5</v>
      </c>
      <c r="K465" t="s">
        <v>196</v>
      </c>
      <c r="L465" t="s">
        <v>14</v>
      </c>
      <c r="M465" t="s">
        <v>18</v>
      </c>
      <c r="N465" t="s">
        <v>19</v>
      </c>
    </row>
    <row r="466" spans="1:14" x14ac:dyDescent="0.3">
      <c r="A466">
        <v>1334</v>
      </c>
      <c r="B466">
        <v>592</v>
      </c>
      <c r="C466">
        <v>0.33333333333333331</v>
      </c>
      <c r="D466" t="s">
        <v>148</v>
      </c>
      <c r="E466">
        <v>1</v>
      </c>
      <c r="F466" s="1">
        <v>42014</v>
      </c>
      <c r="G466" t="s">
        <v>191</v>
      </c>
      <c r="H466" s="2">
        <v>36526.737442129626</v>
      </c>
      <c r="I466">
        <v>14.5</v>
      </c>
      <c r="J466">
        <v>14.5</v>
      </c>
      <c r="K466" t="s">
        <v>197</v>
      </c>
      <c r="L466" t="s">
        <v>14</v>
      </c>
      <c r="M466" t="s">
        <v>130</v>
      </c>
      <c r="N466" t="s">
        <v>131</v>
      </c>
    </row>
    <row r="467" spans="1:14" x14ac:dyDescent="0.3">
      <c r="A467">
        <v>464</v>
      </c>
      <c r="B467">
        <v>197</v>
      </c>
      <c r="C467">
        <v>0.25</v>
      </c>
      <c r="D467" t="s">
        <v>54</v>
      </c>
      <c r="E467">
        <v>1</v>
      </c>
      <c r="F467" s="1">
        <v>42007</v>
      </c>
      <c r="G467" t="s">
        <v>191</v>
      </c>
      <c r="H467" s="2">
        <v>36526.908194444448</v>
      </c>
      <c r="I467">
        <v>20.5</v>
      </c>
      <c r="J467">
        <v>20.5</v>
      </c>
      <c r="K467" t="s">
        <v>196</v>
      </c>
      <c r="L467" t="s">
        <v>14</v>
      </c>
      <c r="M467" t="s">
        <v>55</v>
      </c>
      <c r="N467" t="s">
        <v>56</v>
      </c>
    </row>
    <row r="468" spans="1:14" x14ac:dyDescent="0.3">
      <c r="A468">
        <v>1321</v>
      </c>
      <c r="B468">
        <v>586</v>
      </c>
      <c r="C468">
        <v>0.5</v>
      </c>
      <c r="D468" t="s">
        <v>116</v>
      </c>
      <c r="E468">
        <v>1</v>
      </c>
      <c r="F468" s="1">
        <v>42014</v>
      </c>
      <c r="G468" t="s">
        <v>191</v>
      </c>
      <c r="H468" s="2">
        <v>36526.673576388886</v>
      </c>
      <c r="I468">
        <v>16</v>
      </c>
      <c r="J468">
        <v>16</v>
      </c>
      <c r="K468" t="s">
        <v>197</v>
      </c>
      <c r="L468" t="s">
        <v>14</v>
      </c>
      <c r="M468" t="s">
        <v>55</v>
      </c>
      <c r="N468" t="s">
        <v>56</v>
      </c>
    </row>
    <row r="469" spans="1:14" x14ac:dyDescent="0.3">
      <c r="A469">
        <v>1312</v>
      </c>
      <c r="B469">
        <v>580</v>
      </c>
      <c r="C469">
        <v>0.5</v>
      </c>
      <c r="D469" t="s">
        <v>12</v>
      </c>
      <c r="E469">
        <v>1</v>
      </c>
      <c r="F469" s="1">
        <v>42014</v>
      </c>
      <c r="G469" t="s">
        <v>191</v>
      </c>
      <c r="H469" s="2">
        <v>36526.580567129633</v>
      </c>
      <c r="I469">
        <v>13.25</v>
      </c>
      <c r="J469">
        <v>13.25</v>
      </c>
      <c r="K469" t="s">
        <v>197</v>
      </c>
      <c r="L469" t="s">
        <v>14</v>
      </c>
      <c r="M469" t="s">
        <v>15</v>
      </c>
      <c r="N469" t="s">
        <v>16</v>
      </c>
    </row>
    <row r="470" spans="1:14" x14ac:dyDescent="0.3">
      <c r="A470">
        <v>467</v>
      </c>
      <c r="B470">
        <v>198</v>
      </c>
      <c r="C470">
        <v>0.5</v>
      </c>
      <c r="D470" t="s">
        <v>84</v>
      </c>
      <c r="E470">
        <v>1</v>
      </c>
      <c r="F470" s="1">
        <v>42007</v>
      </c>
      <c r="G470" t="s">
        <v>191</v>
      </c>
      <c r="H470" s="2">
        <v>36526.913680555554</v>
      </c>
      <c r="I470">
        <v>12</v>
      </c>
      <c r="J470">
        <v>12</v>
      </c>
      <c r="K470" t="s">
        <v>198</v>
      </c>
      <c r="L470" t="s">
        <v>14</v>
      </c>
      <c r="M470" t="s">
        <v>85</v>
      </c>
      <c r="N470" t="s">
        <v>86</v>
      </c>
    </row>
    <row r="471" spans="1:14" x14ac:dyDescent="0.3">
      <c r="A471">
        <v>1310</v>
      </c>
      <c r="B471">
        <v>578</v>
      </c>
      <c r="C471">
        <v>0.2</v>
      </c>
      <c r="D471" t="s">
        <v>140</v>
      </c>
      <c r="E471">
        <v>1</v>
      </c>
      <c r="F471" s="1">
        <v>42014</v>
      </c>
      <c r="G471" t="s">
        <v>191</v>
      </c>
      <c r="H471" s="2">
        <v>36526.575567129628</v>
      </c>
      <c r="I471">
        <v>25.5</v>
      </c>
      <c r="J471">
        <v>25.5</v>
      </c>
      <c r="K471" t="s">
        <v>199</v>
      </c>
      <c r="L471" t="s">
        <v>14</v>
      </c>
      <c r="M471" t="s">
        <v>45</v>
      </c>
      <c r="N471" t="s">
        <v>46</v>
      </c>
    </row>
    <row r="472" spans="1:14" x14ac:dyDescent="0.3">
      <c r="A472">
        <v>1308</v>
      </c>
      <c r="B472">
        <v>578</v>
      </c>
      <c r="C472">
        <v>0.2</v>
      </c>
      <c r="D472" t="s">
        <v>77</v>
      </c>
      <c r="E472">
        <v>1</v>
      </c>
      <c r="F472" s="1">
        <v>42014</v>
      </c>
      <c r="G472" t="s">
        <v>191</v>
      </c>
      <c r="H472" s="2">
        <v>36526.575567129628</v>
      </c>
      <c r="I472">
        <v>15.25</v>
      </c>
      <c r="J472">
        <v>15.25</v>
      </c>
      <c r="K472" t="s">
        <v>196</v>
      </c>
      <c r="L472" t="s">
        <v>14</v>
      </c>
      <c r="M472" t="s">
        <v>78</v>
      </c>
      <c r="N472" t="s">
        <v>79</v>
      </c>
    </row>
    <row r="473" spans="1:14" x14ac:dyDescent="0.3">
      <c r="A473">
        <v>470</v>
      </c>
      <c r="B473">
        <v>200</v>
      </c>
      <c r="C473">
        <v>1</v>
      </c>
      <c r="D473" t="s">
        <v>140</v>
      </c>
      <c r="E473">
        <v>1</v>
      </c>
      <c r="F473" s="1">
        <v>42007</v>
      </c>
      <c r="G473" t="s">
        <v>191</v>
      </c>
      <c r="H473" s="2">
        <v>36526.933391203704</v>
      </c>
      <c r="I473">
        <v>25.5</v>
      </c>
      <c r="J473">
        <v>25.5</v>
      </c>
      <c r="K473" t="s">
        <v>199</v>
      </c>
      <c r="L473" t="s">
        <v>14</v>
      </c>
      <c r="M473" t="s">
        <v>45</v>
      </c>
      <c r="N473" t="s">
        <v>46</v>
      </c>
    </row>
    <row r="474" spans="1:14" x14ac:dyDescent="0.3">
      <c r="A474">
        <v>1301</v>
      </c>
      <c r="B474">
        <v>576</v>
      </c>
      <c r="C474">
        <v>0.33333333333333331</v>
      </c>
      <c r="D474" t="s">
        <v>84</v>
      </c>
      <c r="E474">
        <v>1</v>
      </c>
      <c r="F474" s="1">
        <v>42014</v>
      </c>
      <c r="G474" t="s">
        <v>191</v>
      </c>
      <c r="H474" s="2">
        <v>36526.572476851848</v>
      </c>
      <c r="I474">
        <v>12</v>
      </c>
      <c r="J474">
        <v>12</v>
      </c>
      <c r="K474" t="s">
        <v>198</v>
      </c>
      <c r="L474" t="s">
        <v>14</v>
      </c>
      <c r="M474" t="s">
        <v>85</v>
      </c>
      <c r="N474" t="s">
        <v>86</v>
      </c>
    </row>
    <row r="475" spans="1:14" x14ac:dyDescent="0.3">
      <c r="A475">
        <v>1299</v>
      </c>
      <c r="B475">
        <v>575</v>
      </c>
      <c r="C475">
        <v>0.25</v>
      </c>
      <c r="D475" t="s">
        <v>77</v>
      </c>
      <c r="E475">
        <v>1</v>
      </c>
      <c r="F475" s="1">
        <v>42014</v>
      </c>
      <c r="G475" t="s">
        <v>191</v>
      </c>
      <c r="H475" s="2">
        <v>36526.570185185185</v>
      </c>
      <c r="I475">
        <v>15.25</v>
      </c>
      <c r="J475">
        <v>15.25</v>
      </c>
      <c r="K475" t="s">
        <v>196</v>
      </c>
      <c r="L475" t="s">
        <v>14</v>
      </c>
      <c r="M475" t="s">
        <v>78</v>
      </c>
      <c r="N475" t="s">
        <v>79</v>
      </c>
    </row>
    <row r="476" spans="1:14" x14ac:dyDescent="0.3">
      <c r="A476">
        <v>1298</v>
      </c>
      <c r="B476">
        <v>575</v>
      </c>
      <c r="C476">
        <v>0.25</v>
      </c>
      <c r="D476" t="s">
        <v>112</v>
      </c>
      <c r="E476">
        <v>1</v>
      </c>
      <c r="F476" s="1">
        <v>42014</v>
      </c>
      <c r="G476" t="s">
        <v>191</v>
      </c>
      <c r="H476" s="2">
        <v>36526.570185185185</v>
      </c>
      <c r="I476">
        <v>20.5</v>
      </c>
      <c r="J476">
        <v>20.5</v>
      </c>
      <c r="K476" t="s">
        <v>196</v>
      </c>
      <c r="L476" t="s">
        <v>14</v>
      </c>
      <c r="M476" t="s">
        <v>94</v>
      </c>
      <c r="N476" t="s">
        <v>95</v>
      </c>
    </row>
    <row r="477" spans="1:14" x14ac:dyDescent="0.3">
      <c r="A477">
        <v>474</v>
      </c>
      <c r="B477">
        <v>201</v>
      </c>
      <c r="C477">
        <v>0.25</v>
      </c>
      <c r="D477" t="s">
        <v>140</v>
      </c>
      <c r="E477">
        <v>1</v>
      </c>
      <c r="F477" s="1">
        <v>42007</v>
      </c>
      <c r="G477" t="s">
        <v>191</v>
      </c>
      <c r="H477" s="2">
        <v>36526.937488425923</v>
      </c>
      <c r="I477">
        <v>25.5</v>
      </c>
      <c r="J477">
        <v>25.5</v>
      </c>
      <c r="K477" t="s">
        <v>199</v>
      </c>
      <c r="L477" t="s">
        <v>14</v>
      </c>
      <c r="M477" t="s">
        <v>45</v>
      </c>
      <c r="N477" t="s">
        <v>46</v>
      </c>
    </row>
    <row r="478" spans="1:14" x14ac:dyDescent="0.3">
      <c r="A478">
        <v>1297</v>
      </c>
      <c r="B478">
        <v>575</v>
      </c>
      <c r="C478">
        <v>0.25</v>
      </c>
      <c r="D478" t="s">
        <v>138</v>
      </c>
      <c r="E478">
        <v>1</v>
      </c>
      <c r="F478" s="1">
        <v>42014</v>
      </c>
      <c r="G478" t="s">
        <v>191</v>
      </c>
      <c r="H478" s="2">
        <v>36526.570185185185</v>
      </c>
      <c r="I478">
        <v>20.5</v>
      </c>
      <c r="J478">
        <v>20.5</v>
      </c>
      <c r="K478" t="s">
        <v>196</v>
      </c>
      <c r="L478" t="s">
        <v>14</v>
      </c>
      <c r="M478" t="s">
        <v>18</v>
      </c>
      <c r="N478" t="s">
        <v>19</v>
      </c>
    </row>
    <row r="479" spans="1:14" x14ac:dyDescent="0.3">
      <c r="A479">
        <v>1294</v>
      </c>
      <c r="B479">
        <v>573</v>
      </c>
      <c r="C479">
        <v>0.5</v>
      </c>
      <c r="D479" t="s">
        <v>17</v>
      </c>
      <c r="E479">
        <v>1</v>
      </c>
      <c r="F479" s="1">
        <v>42014</v>
      </c>
      <c r="G479" t="s">
        <v>191</v>
      </c>
      <c r="H479" s="2">
        <v>36526.569131944445</v>
      </c>
      <c r="I479">
        <v>16</v>
      </c>
      <c r="J479">
        <v>16</v>
      </c>
      <c r="K479" t="s">
        <v>197</v>
      </c>
      <c r="L479" t="s">
        <v>14</v>
      </c>
      <c r="M479" t="s">
        <v>18</v>
      </c>
      <c r="N479" t="s">
        <v>19</v>
      </c>
    </row>
    <row r="480" spans="1:14" x14ac:dyDescent="0.3">
      <c r="A480">
        <v>1292</v>
      </c>
      <c r="B480">
        <v>571</v>
      </c>
      <c r="C480">
        <v>1</v>
      </c>
      <c r="D480" t="s">
        <v>84</v>
      </c>
      <c r="E480">
        <v>1</v>
      </c>
      <c r="F480" s="1">
        <v>42014</v>
      </c>
      <c r="G480" t="s">
        <v>191</v>
      </c>
      <c r="H480" s="2">
        <v>36526.551932870374</v>
      </c>
      <c r="I480">
        <v>12</v>
      </c>
      <c r="J480">
        <v>12</v>
      </c>
      <c r="K480" t="s">
        <v>198</v>
      </c>
      <c r="L480" t="s">
        <v>14</v>
      </c>
      <c r="M480" t="s">
        <v>85</v>
      </c>
      <c r="N480" t="s">
        <v>86</v>
      </c>
    </row>
    <row r="481" spans="1:14" x14ac:dyDescent="0.3">
      <c r="A481">
        <v>478</v>
      </c>
      <c r="B481">
        <v>203</v>
      </c>
      <c r="C481">
        <v>0.25</v>
      </c>
      <c r="D481" t="s">
        <v>129</v>
      </c>
      <c r="E481">
        <v>1</v>
      </c>
      <c r="F481" s="1">
        <v>42008</v>
      </c>
      <c r="G481" t="s">
        <v>185</v>
      </c>
      <c r="H481" s="2">
        <v>36526.479722222219</v>
      </c>
      <c r="I481">
        <v>17.5</v>
      </c>
      <c r="J481">
        <v>17.5</v>
      </c>
      <c r="K481" t="s">
        <v>196</v>
      </c>
      <c r="L481" t="s">
        <v>14</v>
      </c>
      <c r="M481" t="s">
        <v>130</v>
      </c>
      <c r="N481" t="s">
        <v>131</v>
      </c>
    </row>
    <row r="482" spans="1:14" x14ac:dyDescent="0.3">
      <c r="A482">
        <v>479</v>
      </c>
      <c r="B482">
        <v>203</v>
      </c>
      <c r="C482">
        <v>0.25</v>
      </c>
      <c r="D482" t="s">
        <v>44</v>
      </c>
      <c r="E482">
        <v>1</v>
      </c>
      <c r="F482" s="1">
        <v>42008</v>
      </c>
      <c r="G482" t="s">
        <v>185</v>
      </c>
      <c r="H482" s="2">
        <v>36526.479722222219</v>
      </c>
      <c r="I482">
        <v>12</v>
      </c>
      <c r="J482">
        <v>12</v>
      </c>
      <c r="K482" t="s">
        <v>198</v>
      </c>
      <c r="L482" t="s">
        <v>14</v>
      </c>
      <c r="M482" t="s">
        <v>45</v>
      </c>
      <c r="N482" t="s">
        <v>46</v>
      </c>
    </row>
    <row r="483" spans="1:14" x14ac:dyDescent="0.3">
      <c r="A483">
        <v>1289</v>
      </c>
      <c r="B483">
        <v>569</v>
      </c>
      <c r="C483">
        <v>0.33333333333333331</v>
      </c>
      <c r="D483" t="s">
        <v>50</v>
      </c>
      <c r="E483">
        <v>1</v>
      </c>
      <c r="F483" s="1">
        <v>42014</v>
      </c>
      <c r="G483" t="s">
        <v>191</v>
      </c>
      <c r="H483" s="2">
        <v>36526.525810185187</v>
      </c>
      <c r="I483">
        <v>12</v>
      </c>
      <c r="J483">
        <v>12</v>
      </c>
      <c r="K483" t="s">
        <v>198</v>
      </c>
      <c r="L483" t="s">
        <v>14</v>
      </c>
      <c r="M483" t="s">
        <v>18</v>
      </c>
      <c r="N483" t="s">
        <v>19</v>
      </c>
    </row>
    <row r="484" spans="1:14" x14ac:dyDescent="0.3">
      <c r="A484">
        <v>1279</v>
      </c>
      <c r="B484">
        <v>567</v>
      </c>
      <c r="C484">
        <v>0.1</v>
      </c>
      <c r="D484" t="s">
        <v>119</v>
      </c>
      <c r="E484">
        <v>1</v>
      </c>
      <c r="F484" s="1">
        <v>42014</v>
      </c>
      <c r="G484" t="s">
        <v>191</v>
      </c>
      <c r="H484" s="2">
        <v>36526.519293981481</v>
      </c>
      <c r="I484">
        <v>12.5</v>
      </c>
      <c r="J484">
        <v>12.5</v>
      </c>
      <c r="K484" t="s">
        <v>197</v>
      </c>
      <c r="L484" t="s">
        <v>14</v>
      </c>
      <c r="M484" t="s">
        <v>78</v>
      </c>
      <c r="N484" t="s">
        <v>79</v>
      </c>
    </row>
    <row r="485" spans="1:14" x14ac:dyDescent="0.3">
      <c r="A485">
        <v>1272</v>
      </c>
      <c r="B485">
        <v>564</v>
      </c>
      <c r="C485">
        <v>0.33333333333333331</v>
      </c>
      <c r="D485" t="s">
        <v>119</v>
      </c>
      <c r="E485">
        <v>1</v>
      </c>
      <c r="F485" s="1">
        <v>42013</v>
      </c>
      <c r="G485" t="s">
        <v>190</v>
      </c>
      <c r="H485" s="2">
        <v>36526.939259259256</v>
      </c>
      <c r="I485">
        <v>12.5</v>
      </c>
      <c r="J485">
        <v>12.5</v>
      </c>
      <c r="K485" t="s">
        <v>197</v>
      </c>
      <c r="L485" t="s">
        <v>14</v>
      </c>
      <c r="M485" t="s">
        <v>78</v>
      </c>
      <c r="N485" t="s">
        <v>79</v>
      </c>
    </row>
    <row r="486" spans="1:14" x14ac:dyDescent="0.3">
      <c r="A486">
        <v>1264</v>
      </c>
      <c r="B486">
        <v>559</v>
      </c>
      <c r="C486">
        <v>1</v>
      </c>
      <c r="D486" t="s">
        <v>50</v>
      </c>
      <c r="E486">
        <v>1</v>
      </c>
      <c r="F486" s="1">
        <v>42013</v>
      </c>
      <c r="G486" t="s">
        <v>190</v>
      </c>
      <c r="H486" s="2">
        <v>36526.88212962963</v>
      </c>
      <c r="I486">
        <v>12</v>
      </c>
      <c r="J486">
        <v>12</v>
      </c>
      <c r="K486" t="s">
        <v>198</v>
      </c>
      <c r="L486" t="s">
        <v>14</v>
      </c>
      <c r="M486" t="s">
        <v>18</v>
      </c>
      <c r="N486" t="s">
        <v>19</v>
      </c>
    </row>
    <row r="487" spans="1:14" x14ac:dyDescent="0.3">
      <c r="A487">
        <v>484</v>
      </c>
      <c r="B487">
        <v>206</v>
      </c>
      <c r="C487">
        <v>0.33333333333333331</v>
      </c>
      <c r="D487" t="s">
        <v>163</v>
      </c>
      <c r="E487">
        <v>1</v>
      </c>
      <c r="F487" s="1">
        <v>42008</v>
      </c>
      <c r="G487" t="s">
        <v>185</v>
      </c>
      <c r="H487" s="2">
        <v>36526.489699074074</v>
      </c>
      <c r="I487">
        <v>16</v>
      </c>
      <c r="J487">
        <v>16</v>
      </c>
      <c r="K487" t="s">
        <v>197</v>
      </c>
      <c r="L487" t="s">
        <v>14</v>
      </c>
      <c r="M487" t="s">
        <v>94</v>
      </c>
      <c r="N487" t="s">
        <v>95</v>
      </c>
    </row>
    <row r="488" spans="1:14" x14ac:dyDescent="0.3">
      <c r="A488">
        <v>485</v>
      </c>
      <c r="B488">
        <v>206</v>
      </c>
      <c r="C488">
        <v>0.33333333333333331</v>
      </c>
      <c r="D488" t="s">
        <v>126</v>
      </c>
      <c r="E488">
        <v>1</v>
      </c>
      <c r="F488" s="1">
        <v>42008</v>
      </c>
      <c r="G488" t="s">
        <v>185</v>
      </c>
      <c r="H488" s="2">
        <v>36526.489699074074</v>
      </c>
      <c r="I488">
        <v>9.75</v>
      </c>
      <c r="J488">
        <v>9.75</v>
      </c>
      <c r="K488" t="s">
        <v>198</v>
      </c>
      <c r="L488" t="s">
        <v>14</v>
      </c>
      <c r="M488" t="s">
        <v>78</v>
      </c>
      <c r="N488" t="s">
        <v>79</v>
      </c>
    </row>
    <row r="489" spans="1:14" x14ac:dyDescent="0.3">
      <c r="A489">
        <v>1263</v>
      </c>
      <c r="B489">
        <v>558</v>
      </c>
      <c r="C489">
        <v>1</v>
      </c>
      <c r="D489" t="s">
        <v>12</v>
      </c>
      <c r="E489">
        <v>1</v>
      </c>
      <c r="F489" s="1">
        <v>42013</v>
      </c>
      <c r="G489" t="s">
        <v>190</v>
      </c>
      <c r="H489" s="2">
        <v>36526.86886574074</v>
      </c>
      <c r="I489">
        <v>13.25</v>
      </c>
      <c r="J489">
        <v>13.25</v>
      </c>
      <c r="K489" t="s">
        <v>197</v>
      </c>
      <c r="L489" t="s">
        <v>14</v>
      </c>
      <c r="M489" t="s">
        <v>15</v>
      </c>
      <c r="N489" t="s">
        <v>16</v>
      </c>
    </row>
    <row r="490" spans="1:14" x14ac:dyDescent="0.3">
      <c r="A490">
        <v>1260</v>
      </c>
      <c r="B490">
        <v>556</v>
      </c>
      <c r="C490">
        <v>0.5</v>
      </c>
      <c r="D490" t="s">
        <v>140</v>
      </c>
      <c r="E490">
        <v>1</v>
      </c>
      <c r="F490" s="1">
        <v>42013</v>
      </c>
      <c r="G490" t="s">
        <v>190</v>
      </c>
      <c r="H490" s="2">
        <v>36526.849444444444</v>
      </c>
      <c r="I490">
        <v>25.5</v>
      </c>
      <c r="J490">
        <v>25.5</v>
      </c>
      <c r="K490" t="s">
        <v>199</v>
      </c>
      <c r="L490" t="s">
        <v>14</v>
      </c>
      <c r="M490" t="s">
        <v>45</v>
      </c>
      <c r="N490" t="s">
        <v>46</v>
      </c>
    </row>
    <row r="491" spans="1:14" x14ac:dyDescent="0.3">
      <c r="A491">
        <v>1258</v>
      </c>
      <c r="B491">
        <v>555</v>
      </c>
      <c r="C491">
        <v>0.5</v>
      </c>
      <c r="D491" t="s">
        <v>132</v>
      </c>
      <c r="E491">
        <v>1</v>
      </c>
      <c r="F491" s="1">
        <v>42013</v>
      </c>
      <c r="G491" t="s">
        <v>190</v>
      </c>
      <c r="H491" s="2">
        <v>36526.846122685187</v>
      </c>
      <c r="I491">
        <v>10.5</v>
      </c>
      <c r="J491">
        <v>10.5</v>
      </c>
      <c r="K491" t="s">
        <v>198</v>
      </c>
      <c r="L491" t="s">
        <v>14</v>
      </c>
      <c r="M491" t="s">
        <v>15</v>
      </c>
      <c r="N491" t="s">
        <v>16</v>
      </c>
    </row>
    <row r="492" spans="1:14" x14ac:dyDescent="0.3">
      <c r="A492">
        <v>1250</v>
      </c>
      <c r="B492">
        <v>551</v>
      </c>
      <c r="C492">
        <v>0.25</v>
      </c>
      <c r="D492" t="s">
        <v>155</v>
      </c>
      <c r="E492">
        <v>1</v>
      </c>
      <c r="F492" s="1">
        <v>42013</v>
      </c>
      <c r="G492" t="s">
        <v>190</v>
      </c>
      <c r="H492" s="2">
        <v>36526.81</v>
      </c>
      <c r="I492">
        <v>16</v>
      </c>
      <c r="J492">
        <v>16</v>
      </c>
      <c r="K492" t="s">
        <v>197</v>
      </c>
      <c r="L492" t="s">
        <v>14</v>
      </c>
      <c r="M492" t="s">
        <v>45</v>
      </c>
      <c r="N492" t="s">
        <v>46</v>
      </c>
    </row>
    <row r="493" spans="1:14" x14ac:dyDescent="0.3">
      <c r="A493">
        <v>1246</v>
      </c>
      <c r="B493">
        <v>550</v>
      </c>
      <c r="C493">
        <v>0.5</v>
      </c>
      <c r="D493" t="s">
        <v>155</v>
      </c>
      <c r="E493">
        <v>1</v>
      </c>
      <c r="F493" s="1">
        <v>42013</v>
      </c>
      <c r="G493" t="s">
        <v>190</v>
      </c>
      <c r="H493" s="2">
        <v>36526.800682870373</v>
      </c>
      <c r="I493">
        <v>16</v>
      </c>
      <c r="J493">
        <v>16</v>
      </c>
      <c r="K493" t="s">
        <v>197</v>
      </c>
      <c r="L493" t="s">
        <v>14</v>
      </c>
      <c r="M493" t="s">
        <v>45</v>
      </c>
      <c r="N493" t="s">
        <v>46</v>
      </c>
    </row>
    <row r="494" spans="1:14" x14ac:dyDescent="0.3">
      <c r="A494">
        <v>491</v>
      </c>
      <c r="B494">
        <v>208</v>
      </c>
      <c r="C494">
        <v>0.2</v>
      </c>
      <c r="D494" t="s">
        <v>119</v>
      </c>
      <c r="E494">
        <v>1</v>
      </c>
      <c r="F494" s="1">
        <v>42008</v>
      </c>
      <c r="G494" t="s">
        <v>185</v>
      </c>
      <c r="H494" s="2">
        <v>36526.508391203701</v>
      </c>
      <c r="I494">
        <v>12.5</v>
      </c>
      <c r="J494">
        <v>12.5</v>
      </c>
      <c r="K494" t="s">
        <v>197</v>
      </c>
      <c r="L494" t="s">
        <v>14</v>
      </c>
      <c r="M494" t="s">
        <v>78</v>
      </c>
      <c r="N494" t="s">
        <v>79</v>
      </c>
    </row>
    <row r="495" spans="1:14" x14ac:dyDescent="0.3">
      <c r="A495">
        <v>492</v>
      </c>
      <c r="B495">
        <v>208</v>
      </c>
      <c r="C495">
        <v>0.2</v>
      </c>
      <c r="D495" t="s">
        <v>155</v>
      </c>
      <c r="E495">
        <v>1</v>
      </c>
      <c r="F495" s="1">
        <v>42008</v>
      </c>
      <c r="G495" t="s">
        <v>185</v>
      </c>
      <c r="H495" s="2">
        <v>36526.508391203701</v>
      </c>
      <c r="I495">
        <v>16</v>
      </c>
      <c r="J495">
        <v>16</v>
      </c>
      <c r="K495" t="s">
        <v>197</v>
      </c>
      <c r="L495" t="s">
        <v>14</v>
      </c>
      <c r="M495" t="s">
        <v>45</v>
      </c>
      <c r="N495" t="s">
        <v>46</v>
      </c>
    </row>
    <row r="496" spans="1:14" x14ac:dyDescent="0.3">
      <c r="A496">
        <v>1243</v>
      </c>
      <c r="B496">
        <v>549</v>
      </c>
      <c r="C496">
        <v>0.5</v>
      </c>
      <c r="D496" t="s">
        <v>84</v>
      </c>
      <c r="E496">
        <v>1</v>
      </c>
      <c r="F496" s="1">
        <v>42013</v>
      </c>
      <c r="G496" t="s">
        <v>190</v>
      </c>
      <c r="H496" s="2">
        <v>36526.796226851853</v>
      </c>
      <c r="I496">
        <v>12</v>
      </c>
      <c r="J496">
        <v>12</v>
      </c>
      <c r="K496" t="s">
        <v>198</v>
      </c>
      <c r="L496" t="s">
        <v>14</v>
      </c>
      <c r="M496" t="s">
        <v>85</v>
      </c>
      <c r="N496" t="s">
        <v>86</v>
      </c>
    </row>
    <row r="497" spans="1:14" x14ac:dyDescent="0.3">
      <c r="A497">
        <v>1242</v>
      </c>
      <c r="B497">
        <v>548</v>
      </c>
      <c r="C497">
        <v>1</v>
      </c>
      <c r="D497" t="s">
        <v>142</v>
      </c>
      <c r="E497">
        <v>1</v>
      </c>
      <c r="F497" s="1">
        <v>42013</v>
      </c>
      <c r="G497" t="s">
        <v>190</v>
      </c>
      <c r="H497" s="2">
        <v>36526.795937499999</v>
      </c>
      <c r="I497">
        <v>16.5</v>
      </c>
      <c r="J497">
        <v>16.5</v>
      </c>
      <c r="K497" t="s">
        <v>196</v>
      </c>
      <c r="L497" t="s">
        <v>14</v>
      </c>
      <c r="M497" t="s">
        <v>15</v>
      </c>
      <c r="N497" t="s">
        <v>16</v>
      </c>
    </row>
    <row r="498" spans="1:14" x14ac:dyDescent="0.3">
      <c r="A498">
        <v>495</v>
      </c>
      <c r="B498">
        <v>211</v>
      </c>
      <c r="C498">
        <v>1</v>
      </c>
      <c r="D498" t="s">
        <v>126</v>
      </c>
      <c r="E498">
        <v>1</v>
      </c>
      <c r="F498" s="1">
        <v>42008</v>
      </c>
      <c r="G498" t="s">
        <v>185</v>
      </c>
      <c r="H498" s="2">
        <v>36526.537731481483</v>
      </c>
      <c r="I498">
        <v>9.75</v>
      </c>
      <c r="J498">
        <v>9.75</v>
      </c>
      <c r="K498" t="s">
        <v>198</v>
      </c>
      <c r="L498" t="s">
        <v>14</v>
      </c>
      <c r="M498" t="s">
        <v>78</v>
      </c>
      <c r="N498" t="s">
        <v>79</v>
      </c>
    </row>
    <row r="499" spans="1:14" x14ac:dyDescent="0.3">
      <c r="A499">
        <v>496</v>
      </c>
      <c r="B499">
        <v>212</v>
      </c>
      <c r="C499">
        <v>1</v>
      </c>
      <c r="D499" t="s">
        <v>54</v>
      </c>
      <c r="E499">
        <v>1</v>
      </c>
      <c r="F499" s="1">
        <v>42008</v>
      </c>
      <c r="G499" t="s">
        <v>185</v>
      </c>
      <c r="H499" s="2">
        <v>36526.552812499998</v>
      </c>
      <c r="I499">
        <v>20.5</v>
      </c>
      <c r="J499">
        <v>20.5</v>
      </c>
      <c r="K499" t="s">
        <v>196</v>
      </c>
      <c r="L499" t="s">
        <v>14</v>
      </c>
      <c r="M499" t="s">
        <v>55</v>
      </c>
      <c r="N499" t="s">
        <v>56</v>
      </c>
    </row>
    <row r="500" spans="1:14" x14ac:dyDescent="0.3">
      <c r="A500">
        <v>1241</v>
      </c>
      <c r="B500">
        <v>547</v>
      </c>
      <c r="C500">
        <v>1</v>
      </c>
      <c r="D500" t="s">
        <v>84</v>
      </c>
      <c r="E500">
        <v>1</v>
      </c>
      <c r="F500" s="1">
        <v>42013</v>
      </c>
      <c r="G500" t="s">
        <v>190</v>
      </c>
      <c r="H500" s="2">
        <v>36526.78429398148</v>
      </c>
      <c r="I500">
        <v>12</v>
      </c>
      <c r="J500">
        <v>12</v>
      </c>
      <c r="K500" t="s">
        <v>198</v>
      </c>
      <c r="L500" t="s">
        <v>14</v>
      </c>
      <c r="M500" t="s">
        <v>85</v>
      </c>
      <c r="N500" t="s">
        <v>86</v>
      </c>
    </row>
    <row r="501" spans="1:14" x14ac:dyDescent="0.3">
      <c r="A501">
        <v>498</v>
      </c>
      <c r="B501">
        <v>214</v>
      </c>
      <c r="C501">
        <v>0.25</v>
      </c>
      <c r="D501" t="s">
        <v>54</v>
      </c>
      <c r="E501">
        <v>1</v>
      </c>
      <c r="F501" s="1">
        <v>42008</v>
      </c>
      <c r="G501" t="s">
        <v>185</v>
      </c>
      <c r="H501" s="2">
        <v>36526.568935185183</v>
      </c>
      <c r="I501">
        <v>20.5</v>
      </c>
      <c r="J501">
        <v>20.5</v>
      </c>
      <c r="K501" t="s">
        <v>196</v>
      </c>
      <c r="L501" t="s">
        <v>14</v>
      </c>
      <c r="M501" t="s">
        <v>55</v>
      </c>
      <c r="N501" t="s">
        <v>56</v>
      </c>
    </row>
    <row r="502" spans="1:14" x14ac:dyDescent="0.3">
      <c r="A502">
        <v>1237</v>
      </c>
      <c r="B502">
        <v>545</v>
      </c>
      <c r="C502">
        <v>0.25</v>
      </c>
      <c r="D502" t="s">
        <v>126</v>
      </c>
      <c r="E502">
        <v>1</v>
      </c>
      <c r="F502" s="1">
        <v>42013</v>
      </c>
      <c r="G502" t="s">
        <v>190</v>
      </c>
      <c r="H502" s="2">
        <v>36526.782268518517</v>
      </c>
      <c r="I502">
        <v>9.75</v>
      </c>
      <c r="J502">
        <v>9.75</v>
      </c>
      <c r="K502" t="s">
        <v>198</v>
      </c>
      <c r="L502" t="s">
        <v>14</v>
      </c>
      <c r="M502" t="s">
        <v>78</v>
      </c>
      <c r="N502" t="s">
        <v>79</v>
      </c>
    </row>
    <row r="503" spans="1:14" x14ac:dyDescent="0.3">
      <c r="A503">
        <v>1236</v>
      </c>
      <c r="B503">
        <v>545</v>
      </c>
      <c r="C503">
        <v>0.25</v>
      </c>
      <c r="D503" t="s">
        <v>77</v>
      </c>
      <c r="E503">
        <v>1</v>
      </c>
      <c r="F503" s="1">
        <v>42013</v>
      </c>
      <c r="G503" t="s">
        <v>190</v>
      </c>
      <c r="H503" s="2">
        <v>36526.782268518517</v>
      </c>
      <c r="I503">
        <v>15.25</v>
      </c>
      <c r="J503">
        <v>15.25</v>
      </c>
      <c r="K503" t="s">
        <v>196</v>
      </c>
      <c r="L503" t="s">
        <v>14</v>
      </c>
      <c r="M503" t="s">
        <v>78</v>
      </c>
      <c r="N503" t="s">
        <v>79</v>
      </c>
    </row>
    <row r="504" spans="1:14" x14ac:dyDescent="0.3">
      <c r="A504">
        <v>1234</v>
      </c>
      <c r="B504">
        <v>544</v>
      </c>
      <c r="C504">
        <v>0.5</v>
      </c>
      <c r="D504" t="s">
        <v>163</v>
      </c>
      <c r="E504">
        <v>1</v>
      </c>
      <c r="F504" s="1">
        <v>42013</v>
      </c>
      <c r="G504" t="s">
        <v>190</v>
      </c>
      <c r="H504" s="2">
        <v>36526.771574074075</v>
      </c>
      <c r="I504">
        <v>16</v>
      </c>
      <c r="J504">
        <v>16</v>
      </c>
      <c r="K504" t="s">
        <v>197</v>
      </c>
      <c r="L504" t="s">
        <v>14</v>
      </c>
      <c r="M504" t="s">
        <v>94</v>
      </c>
      <c r="N504" t="s">
        <v>95</v>
      </c>
    </row>
    <row r="505" spans="1:14" x14ac:dyDescent="0.3">
      <c r="A505">
        <v>1232</v>
      </c>
      <c r="B505">
        <v>543</v>
      </c>
      <c r="C505">
        <v>0.33333333333333331</v>
      </c>
      <c r="D505" t="s">
        <v>17</v>
      </c>
      <c r="E505">
        <v>1</v>
      </c>
      <c r="F505" s="1">
        <v>42013</v>
      </c>
      <c r="G505" t="s">
        <v>190</v>
      </c>
      <c r="H505" s="2">
        <v>36526.766655092593</v>
      </c>
      <c r="I505">
        <v>16</v>
      </c>
      <c r="J505">
        <v>16</v>
      </c>
      <c r="K505" t="s">
        <v>197</v>
      </c>
      <c r="L505" t="s">
        <v>14</v>
      </c>
      <c r="M505" t="s">
        <v>18</v>
      </c>
      <c r="N505" t="s">
        <v>19</v>
      </c>
    </row>
    <row r="506" spans="1:14" x14ac:dyDescent="0.3">
      <c r="A506">
        <v>1228</v>
      </c>
      <c r="B506">
        <v>541</v>
      </c>
      <c r="C506">
        <v>1</v>
      </c>
      <c r="D506" t="s">
        <v>84</v>
      </c>
      <c r="E506">
        <v>1</v>
      </c>
      <c r="F506" s="1">
        <v>42013</v>
      </c>
      <c r="G506" t="s">
        <v>190</v>
      </c>
      <c r="H506" s="2">
        <v>36526.75540509259</v>
      </c>
      <c r="I506">
        <v>12</v>
      </c>
      <c r="J506">
        <v>12</v>
      </c>
      <c r="K506" t="s">
        <v>198</v>
      </c>
      <c r="L506" t="s">
        <v>14</v>
      </c>
      <c r="M506" t="s">
        <v>85</v>
      </c>
      <c r="N506" t="s">
        <v>86</v>
      </c>
    </row>
    <row r="507" spans="1:14" x14ac:dyDescent="0.3">
      <c r="A507">
        <v>1221</v>
      </c>
      <c r="B507">
        <v>537</v>
      </c>
      <c r="C507">
        <v>0.33333333333333331</v>
      </c>
      <c r="D507" t="s">
        <v>132</v>
      </c>
      <c r="E507">
        <v>1</v>
      </c>
      <c r="F507" s="1">
        <v>42013</v>
      </c>
      <c r="G507" t="s">
        <v>190</v>
      </c>
      <c r="H507" s="2">
        <v>36526.724907407406</v>
      </c>
      <c r="I507">
        <v>10.5</v>
      </c>
      <c r="J507">
        <v>10.5</v>
      </c>
      <c r="K507" t="s">
        <v>198</v>
      </c>
      <c r="L507" t="s">
        <v>14</v>
      </c>
      <c r="M507" t="s">
        <v>15</v>
      </c>
      <c r="N507" t="s">
        <v>16</v>
      </c>
    </row>
    <row r="508" spans="1:14" x14ac:dyDescent="0.3">
      <c r="A508">
        <v>505</v>
      </c>
      <c r="B508">
        <v>216</v>
      </c>
      <c r="C508">
        <v>0.33333333333333331</v>
      </c>
      <c r="D508" t="s">
        <v>142</v>
      </c>
      <c r="E508">
        <v>1</v>
      </c>
      <c r="F508" s="1">
        <v>42008</v>
      </c>
      <c r="G508" t="s">
        <v>185</v>
      </c>
      <c r="H508" s="2">
        <v>36526.605509259258</v>
      </c>
      <c r="I508">
        <v>16.5</v>
      </c>
      <c r="J508">
        <v>16.5</v>
      </c>
      <c r="K508" t="s">
        <v>196</v>
      </c>
      <c r="L508" t="s">
        <v>14</v>
      </c>
      <c r="M508" t="s">
        <v>15</v>
      </c>
      <c r="N508" t="s">
        <v>16</v>
      </c>
    </row>
    <row r="509" spans="1:14" x14ac:dyDescent="0.3">
      <c r="A509">
        <v>506</v>
      </c>
      <c r="B509">
        <v>217</v>
      </c>
      <c r="C509">
        <v>0.5</v>
      </c>
      <c r="D509" t="s">
        <v>17</v>
      </c>
      <c r="E509">
        <v>1</v>
      </c>
      <c r="F509" s="1">
        <v>42008</v>
      </c>
      <c r="G509" t="s">
        <v>185</v>
      </c>
      <c r="H509" s="2">
        <v>36526.607673611114</v>
      </c>
      <c r="I509">
        <v>16</v>
      </c>
      <c r="J509">
        <v>16</v>
      </c>
      <c r="K509" t="s">
        <v>197</v>
      </c>
      <c r="L509" t="s">
        <v>14</v>
      </c>
      <c r="M509" t="s">
        <v>18</v>
      </c>
      <c r="N509" t="s">
        <v>19</v>
      </c>
    </row>
    <row r="510" spans="1:14" x14ac:dyDescent="0.3">
      <c r="A510">
        <v>1220</v>
      </c>
      <c r="B510">
        <v>537</v>
      </c>
      <c r="C510">
        <v>0.33333333333333331</v>
      </c>
      <c r="D510" t="s">
        <v>50</v>
      </c>
      <c r="E510">
        <v>1</v>
      </c>
      <c r="F510" s="1">
        <v>42013</v>
      </c>
      <c r="G510" t="s">
        <v>190</v>
      </c>
      <c r="H510" s="2">
        <v>36526.724907407406</v>
      </c>
      <c r="I510">
        <v>12</v>
      </c>
      <c r="J510">
        <v>12</v>
      </c>
      <c r="K510" t="s">
        <v>198</v>
      </c>
      <c r="L510" t="s">
        <v>14</v>
      </c>
      <c r="M510" t="s">
        <v>18</v>
      </c>
      <c r="N510" t="s">
        <v>19</v>
      </c>
    </row>
    <row r="511" spans="1:14" x14ac:dyDescent="0.3">
      <c r="A511">
        <v>1217</v>
      </c>
      <c r="B511">
        <v>535</v>
      </c>
      <c r="C511">
        <v>1</v>
      </c>
      <c r="D511" t="s">
        <v>17</v>
      </c>
      <c r="E511">
        <v>1</v>
      </c>
      <c r="F511" s="1">
        <v>42013</v>
      </c>
      <c r="G511" t="s">
        <v>190</v>
      </c>
      <c r="H511" s="2">
        <v>36526.714432870373</v>
      </c>
      <c r="I511">
        <v>16</v>
      </c>
      <c r="J511">
        <v>16</v>
      </c>
      <c r="K511" t="s">
        <v>197</v>
      </c>
      <c r="L511" t="s">
        <v>14</v>
      </c>
      <c r="M511" t="s">
        <v>18</v>
      </c>
      <c r="N511" t="s">
        <v>19</v>
      </c>
    </row>
    <row r="512" spans="1:14" x14ac:dyDescent="0.3">
      <c r="A512">
        <v>1214</v>
      </c>
      <c r="B512">
        <v>533</v>
      </c>
      <c r="C512">
        <v>0.33333333333333331</v>
      </c>
      <c r="D512" t="s">
        <v>140</v>
      </c>
      <c r="E512">
        <v>1</v>
      </c>
      <c r="F512" s="1">
        <v>42013</v>
      </c>
      <c r="G512" t="s">
        <v>190</v>
      </c>
      <c r="H512" s="2">
        <v>36526.686608796299</v>
      </c>
      <c r="I512">
        <v>25.5</v>
      </c>
      <c r="J512">
        <v>25.5</v>
      </c>
      <c r="K512" t="s">
        <v>199</v>
      </c>
      <c r="L512" t="s">
        <v>14</v>
      </c>
      <c r="M512" t="s">
        <v>45</v>
      </c>
      <c r="N512" t="s">
        <v>46</v>
      </c>
    </row>
    <row r="513" spans="1:14" x14ac:dyDescent="0.3">
      <c r="A513">
        <v>1207</v>
      </c>
      <c r="B513">
        <v>530</v>
      </c>
      <c r="C513">
        <v>0.5</v>
      </c>
      <c r="D513" t="s">
        <v>138</v>
      </c>
      <c r="E513">
        <v>1</v>
      </c>
      <c r="F513" s="1">
        <v>42013</v>
      </c>
      <c r="G513" t="s">
        <v>190</v>
      </c>
      <c r="H513" s="2">
        <v>36526.654872685183</v>
      </c>
      <c r="I513">
        <v>20.5</v>
      </c>
      <c r="J513">
        <v>20.5</v>
      </c>
      <c r="K513" t="s">
        <v>196</v>
      </c>
      <c r="L513" t="s">
        <v>14</v>
      </c>
      <c r="M513" t="s">
        <v>18</v>
      </c>
      <c r="N513" t="s">
        <v>19</v>
      </c>
    </row>
    <row r="514" spans="1:14" x14ac:dyDescent="0.3">
      <c r="A514">
        <v>1206</v>
      </c>
      <c r="B514">
        <v>529</v>
      </c>
      <c r="C514">
        <v>0.33333333333333331</v>
      </c>
      <c r="D514" t="s">
        <v>132</v>
      </c>
      <c r="E514">
        <v>1</v>
      </c>
      <c r="F514" s="1">
        <v>42013</v>
      </c>
      <c r="G514" t="s">
        <v>190</v>
      </c>
      <c r="H514" s="2">
        <v>36526.646539351852</v>
      </c>
      <c r="I514">
        <v>10.5</v>
      </c>
      <c r="J514">
        <v>10.5</v>
      </c>
      <c r="K514" t="s">
        <v>198</v>
      </c>
      <c r="L514" t="s">
        <v>14</v>
      </c>
      <c r="M514" t="s">
        <v>15</v>
      </c>
      <c r="N514" t="s">
        <v>16</v>
      </c>
    </row>
    <row r="515" spans="1:14" x14ac:dyDescent="0.3">
      <c r="A515">
        <v>1203</v>
      </c>
      <c r="B515">
        <v>528</v>
      </c>
      <c r="C515">
        <v>1</v>
      </c>
      <c r="D515" t="s">
        <v>116</v>
      </c>
      <c r="E515">
        <v>1</v>
      </c>
      <c r="F515" s="1">
        <v>42013</v>
      </c>
      <c r="G515" t="s">
        <v>190</v>
      </c>
      <c r="H515" s="2">
        <v>36526.643993055557</v>
      </c>
      <c r="I515">
        <v>16</v>
      </c>
      <c r="J515">
        <v>16</v>
      </c>
      <c r="K515" t="s">
        <v>197</v>
      </c>
      <c r="L515" t="s">
        <v>14</v>
      </c>
      <c r="M515" t="s">
        <v>55</v>
      </c>
      <c r="N515" t="s">
        <v>56</v>
      </c>
    </row>
    <row r="516" spans="1:14" x14ac:dyDescent="0.3">
      <c r="A516">
        <v>513</v>
      </c>
      <c r="B516">
        <v>220</v>
      </c>
      <c r="C516">
        <v>0.25</v>
      </c>
      <c r="D516" t="s">
        <v>132</v>
      </c>
      <c r="E516">
        <v>1</v>
      </c>
      <c r="F516" s="1">
        <v>42008</v>
      </c>
      <c r="G516" t="s">
        <v>185</v>
      </c>
      <c r="H516" s="2">
        <v>36526.647210648145</v>
      </c>
      <c r="I516">
        <v>10.5</v>
      </c>
      <c r="J516">
        <v>10.5</v>
      </c>
      <c r="K516" t="s">
        <v>198</v>
      </c>
      <c r="L516" t="s">
        <v>14</v>
      </c>
      <c r="M516" t="s">
        <v>15</v>
      </c>
      <c r="N516" t="s">
        <v>16</v>
      </c>
    </row>
    <row r="517" spans="1:14" x14ac:dyDescent="0.3">
      <c r="A517">
        <v>514</v>
      </c>
      <c r="B517">
        <v>220</v>
      </c>
      <c r="C517">
        <v>0.25</v>
      </c>
      <c r="D517" t="s">
        <v>160</v>
      </c>
      <c r="E517">
        <v>1</v>
      </c>
      <c r="F517" s="1">
        <v>42008</v>
      </c>
      <c r="G517" t="s">
        <v>185</v>
      </c>
      <c r="H517" s="2">
        <v>36526.647210648145</v>
      </c>
      <c r="I517">
        <v>12</v>
      </c>
      <c r="J517">
        <v>12</v>
      </c>
      <c r="K517" t="s">
        <v>198</v>
      </c>
      <c r="L517" t="s">
        <v>14</v>
      </c>
      <c r="M517" t="s">
        <v>55</v>
      </c>
      <c r="N517" t="s">
        <v>56</v>
      </c>
    </row>
    <row r="518" spans="1:14" x14ac:dyDescent="0.3">
      <c r="A518">
        <v>515</v>
      </c>
      <c r="B518">
        <v>220</v>
      </c>
      <c r="C518">
        <v>0.25</v>
      </c>
      <c r="D518" t="s">
        <v>112</v>
      </c>
      <c r="E518">
        <v>1</v>
      </c>
      <c r="F518" s="1">
        <v>42008</v>
      </c>
      <c r="G518" t="s">
        <v>185</v>
      </c>
      <c r="H518" s="2">
        <v>36526.647210648145</v>
      </c>
      <c r="I518">
        <v>20.5</v>
      </c>
      <c r="J518">
        <v>20.5</v>
      </c>
      <c r="K518" t="s">
        <v>196</v>
      </c>
      <c r="L518" t="s">
        <v>14</v>
      </c>
      <c r="M518" t="s">
        <v>94</v>
      </c>
      <c r="N518" t="s">
        <v>95</v>
      </c>
    </row>
    <row r="519" spans="1:14" x14ac:dyDescent="0.3">
      <c r="A519">
        <v>1198</v>
      </c>
      <c r="B519">
        <v>525</v>
      </c>
      <c r="C519">
        <v>1</v>
      </c>
      <c r="D519" t="s">
        <v>77</v>
      </c>
      <c r="E519">
        <v>1</v>
      </c>
      <c r="F519" s="1">
        <v>42013</v>
      </c>
      <c r="G519" t="s">
        <v>190</v>
      </c>
      <c r="H519" s="2">
        <v>36526.63108796296</v>
      </c>
      <c r="I519">
        <v>15.25</v>
      </c>
      <c r="J519">
        <v>15.25</v>
      </c>
      <c r="K519" t="s">
        <v>196</v>
      </c>
      <c r="L519" t="s">
        <v>14</v>
      </c>
      <c r="M519" t="s">
        <v>78</v>
      </c>
      <c r="N519" t="s">
        <v>79</v>
      </c>
    </row>
    <row r="520" spans="1:14" x14ac:dyDescent="0.3">
      <c r="A520">
        <v>1194</v>
      </c>
      <c r="B520">
        <v>522</v>
      </c>
      <c r="C520">
        <v>9.0909090909090912E-2</v>
      </c>
      <c r="D520" t="s">
        <v>155</v>
      </c>
      <c r="E520">
        <v>1</v>
      </c>
      <c r="F520" s="1">
        <v>42013</v>
      </c>
      <c r="G520" t="s">
        <v>190</v>
      </c>
      <c r="H520" s="2">
        <v>36526.589965277781</v>
      </c>
      <c r="I520">
        <v>16</v>
      </c>
      <c r="J520">
        <v>16</v>
      </c>
      <c r="K520" t="s">
        <v>197</v>
      </c>
      <c r="L520" t="s">
        <v>14</v>
      </c>
      <c r="M520" t="s">
        <v>45</v>
      </c>
      <c r="N520" t="s">
        <v>46</v>
      </c>
    </row>
    <row r="521" spans="1:14" x14ac:dyDescent="0.3">
      <c r="A521">
        <v>1193</v>
      </c>
      <c r="B521">
        <v>522</v>
      </c>
      <c r="C521">
        <v>9.0909090909090912E-2</v>
      </c>
      <c r="D521" t="s">
        <v>170</v>
      </c>
      <c r="E521">
        <v>1</v>
      </c>
      <c r="F521" s="1">
        <v>42013</v>
      </c>
      <c r="G521" t="s">
        <v>190</v>
      </c>
      <c r="H521" s="2">
        <v>36526.589965277781</v>
      </c>
      <c r="I521">
        <v>20.5</v>
      </c>
      <c r="J521">
        <v>20.5</v>
      </c>
      <c r="K521" t="s">
        <v>196</v>
      </c>
      <c r="L521" t="s">
        <v>14</v>
      </c>
      <c r="M521" t="s">
        <v>45</v>
      </c>
      <c r="N521" t="s">
        <v>46</v>
      </c>
    </row>
    <row r="522" spans="1:14" x14ac:dyDescent="0.3">
      <c r="A522">
        <v>519</v>
      </c>
      <c r="B522">
        <v>221</v>
      </c>
      <c r="C522">
        <v>0.33333333333333331</v>
      </c>
      <c r="D522" t="s">
        <v>44</v>
      </c>
      <c r="E522">
        <v>1</v>
      </c>
      <c r="F522" s="1">
        <v>42008</v>
      </c>
      <c r="G522" t="s">
        <v>185</v>
      </c>
      <c r="H522" s="2">
        <v>36526.648125</v>
      </c>
      <c r="I522">
        <v>12</v>
      </c>
      <c r="J522">
        <v>12</v>
      </c>
      <c r="K522" t="s">
        <v>198</v>
      </c>
      <c r="L522" t="s">
        <v>14</v>
      </c>
      <c r="M522" t="s">
        <v>45</v>
      </c>
      <c r="N522" t="s">
        <v>46</v>
      </c>
    </row>
    <row r="523" spans="1:14" x14ac:dyDescent="0.3">
      <c r="A523">
        <v>1190</v>
      </c>
      <c r="B523">
        <v>522</v>
      </c>
      <c r="C523">
        <v>9.0909090909090912E-2</v>
      </c>
      <c r="D523" t="s">
        <v>116</v>
      </c>
      <c r="E523">
        <v>2</v>
      </c>
      <c r="F523" s="1">
        <v>42013</v>
      </c>
      <c r="G523" t="s">
        <v>190</v>
      </c>
      <c r="H523" s="2">
        <v>36526.589965277781</v>
      </c>
      <c r="I523">
        <v>16</v>
      </c>
      <c r="J523">
        <v>32</v>
      </c>
      <c r="K523" t="s">
        <v>197</v>
      </c>
      <c r="L523" t="s">
        <v>14</v>
      </c>
      <c r="M523" t="s">
        <v>55</v>
      </c>
      <c r="N523" t="s">
        <v>56</v>
      </c>
    </row>
    <row r="524" spans="1:14" x14ac:dyDescent="0.3">
      <c r="A524">
        <v>1186</v>
      </c>
      <c r="B524">
        <v>522</v>
      </c>
      <c r="C524">
        <v>9.0909090909090912E-2</v>
      </c>
      <c r="D524" t="s">
        <v>50</v>
      </c>
      <c r="E524">
        <v>1</v>
      </c>
      <c r="F524" s="1">
        <v>42013</v>
      </c>
      <c r="G524" t="s">
        <v>190</v>
      </c>
      <c r="H524" s="2">
        <v>36526.589965277781</v>
      </c>
      <c r="I524">
        <v>12</v>
      </c>
      <c r="J524">
        <v>12</v>
      </c>
      <c r="K524" t="s">
        <v>198</v>
      </c>
      <c r="L524" t="s">
        <v>14</v>
      </c>
      <c r="M524" t="s">
        <v>18</v>
      </c>
      <c r="N524" t="s">
        <v>19</v>
      </c>
    </row>
    <row r="525" spans="1:14" x14ac:dyDescent="0.3">
      <c r="A525">
        <v>522</v>
      </c>
      <c r="B525">
        <v>223</v>
      </c>
      <c r="C525">
        <v>1</v>
      </c>
      <c r="D525" t="s">
        <v>143</v>
      </c>
      <c r="E525">
        <v>1</v>
      </c>
      <c r="F525" s="1">
        <v>42008</v>
      </c>
      <c r="G525" t="s">
        <v>185</v>
      </c>
      <c r="H525" s="2">
        <v>36526.672453703701</v>
      </c>
      <c r="I525">
        <v>11</v>
      </c>
      <c r="J525">
        <v>11</v>
      </c>
      <c r="K525" t="s">
        <v>198</v>
      </c>
      <c r="L525" t="s">
        <v>14</v>
      </c>
      <c r="M525" t="s">
        <v>130</v>
      </c>
      <c r="N525" t="s">
        <v>131</v>
      </c>
    </row>
    <row r="526" spans="1:14" x14ac:dyDescent="0.3">
      <c r="A526">
        <v>1185</v>
      </c>
      <c r="B526">
        <v>522</v>
      </c>
      <c r="C526">
        <v>9.0909090909090912E-2</v>
      </c>
      <c r="D526" t="s">
        <v>84</v>
      </c>
      <c r="E526">
        <v>1</v>
      </c>
      <c r="F526" s="1">
        <v>42013</v>
      </c>
      <c r="G526" t="s">
        <v>190</v>
      </c>
      <c r="H526" s="2">
        <v>36526.589965277781</v>
      </c>
      <c r="I526">
        <v>12</v>
      </c>
      <c r="J526">
        <v>12</v>
      </c>
      <c r="K526" t="s">
        <v>198</v>
      </c>
      <c r="L526" t="s">
        <v>14</v>
      </c>
      <c r="M526" t="s">
        <v>85</v>
      </c>
      <c r="N526" t="s">
        <v>86</v>
      </c>
    </row>
    <row r="527" spans="1:14" x14ac:dyDescent="0.3">
      <c r="A527">
        <v>1178</v>
      </c>
      <c r="B527">
        <v>518</v>
      </c>
      <c r="C527">
        <v>0.33333333333333331</v>
      </c>
      <c r="D527" t="s">
        <v>84</v>
      </c>
      <c r="E527">
        <v>1</v>
      </c>
      <c r="F527" s="1">
        <v>42013</v>
      </c>
      <c r="G527" t="s">
        <v>190</v>
      </c>
      <c r="H527" s="2">
        <v>36526.54959490741</v>
      </c>
      <c r="I527">
        <v>12</v>
      </c>
      <c r="J527">
        <v>12</v>
      </c>
      <c r="K527" t="s">
        <v>198</v>
      </c>
      <c r="L527" t="s">
        <v>14</v>
      </c>
      <c r="M527" t="s">
        <v>85</v>
      </c>
      <c r="N527" t="s">
        <v>86</v>
      </c>
    </row>
    <row r="528" spans="1:14" x14ac:dyDescent="0.3">
      <c r="A528">
        <v>525</v>
      </c>
      <c r="B528">
        <v>224</v>
      </c>
      <c r="C528">
        <v>0.25</v>
      </c>
      <c r="D528" t="s">
        <v>163</v>
      </c>
      <c r="E528">
        <v>1</v>
      </c>
      <c r="F528" s="1">
        <v>42008</v>
      </c>
      <c r="G528" t="s">
        <v>185</v>
      </c>
      <c r="H528" s="2">
        <v>36526.694421296299</v>
      </c>
      <c r="I528">
        <v>16</v>
      </c>
      <c r="J528">
        <v>16</v>
      </c>
      <c r="K528" t="s">
        <v>197</v>
      </c>
      <c r="L528" t="s">
        <v>14</v>
      </c>
      <c r="M528" t="s">
        <v>94</v>
      </c>
      <c r="N528" t="s">
        <v>95</v>
      </c>
    </row>
    <row r="529" spans="1:14" x14ac:dyDescent="0.3">
      <c r="A529">
        <v>1175</v>
      </c>
      <c r="B529">
        <v>516</v>
      </c>
      <c r="C529">
        <v>0.5</v>
      </c>
      <c r="D529" t="s">
        <v>112</v>
      </c>
      <c r="E529">
        <v>1</v>
      </c>
      <c r="F529" s="1">
        <v>42013</v>
      </c>
      <c r="G529" t="s">
        <v>190</v>
      </c>
      <c r="H529" s="2">
        <v>36526.548020833332</v>
      </c>
      <c r="I529">
        <v>20.5</v>
      </c>
      <c r="J529">
        <v>20.5</v>
      </c>
      <c r="K529" t="s">
        <v>196</v>
      </c>
      <c r="L529" t="s">
        <v>14</v>
      </c>
      <c r="M529" t="s">
        <v>94</v>
      </c>
      <c r="N529" t="s">
        <v>95</v>
      </c>
    </row>
    <row r="530" spans="1:14" x14ac:dyDescent="0.3">
      <c r="A530">
        <v>1172</v>
      </c>
      <c r="B530">
        <v>514</v>
      </c>
      <c r="C530">
        <v>1</v>
      </c>
      <c r="D530" t="s">
        <v>50</v>
      </c>
      <c r="E530">
        <v>1</v>
      </c>
      <c r="F530" s="1">
        <v>42013</v>
      </c>
      <c r="G530" t="s">
        <v>190</v>
      </c>
      <c r="H530" s="2">
        <v>36526.518599537034</v>
      </c>
      <c r="I530">
        <v>12</v>
      </c>
      <c r="J530">
        <v>12</v>
      </c>
      <c r="K530" t="s">
        <v>198</v>
      </c>
      <c r="L530" t="s">
        <v>14</v>
      </c>
      <c r="M530" t="s">
        <v>18</v>
      </c>
      <c r="N530" t="s">
        <v>19</v>
      </c>
    </row>
    <row r="531" spans="1:14" x14ac:dyDescent="0.3">
      <c r="A531">
        <v>1170</v>
      </c>
      <c r="B531">
        <v>513</v>
      </c>
      <c r="C531">
        <v>0.25</v>
      </c>
      <c r="D531" t="s">
        <v>77</v>
      </c>
      <c r="E531">
        <v>1</v>
      </c>
      <c r="F531" s="1">
        <v>42013</v>
      </c>
      <c r="G531" t="s">
        <v>190</v>
      </c>
      <c r="H531" s="2">
        <v>36526.515833333331</v>
      </c>
      <c r="I531">
        <v>15.25</v>
      </c>
      <c r="J531">
        <v>15.25</v>
      </c>
      <c r="K531" t="s">
        <v>196</v>
      </c>
      <c r="L531" t="s">
        <v>14</v>
      </c>
      <c r="M531" t="s">
        <v>78</v>
      </c>
      <c r="N531" t="s">
        <v>79</v>
      </c>
    </row>
    <row r="532" spans="1:14" x14ac:dyDescent="0.3">
      <c r="A532">
        <v>1163</v>
      </c>
      <c r="B532">
        <v>510</v>
      </c>
      <c r="C532">
        <v>0.25</v>
      </c>
      <c r="D532" t="s">
        <v>50</v>
      </c>
      <c r="E532">
        <v>1</v>
      </c>
      <c r="F532" s="1">
        <v>42013</v>
      </c>
      <c r="G532" t="s">
        <v>190</v>
      </c>
      <c r="H532" s="2">
        <v>36526.510451388887</v>
      </c>
      <c r="I532">
        <v>12</v>
      </c>
      <c r="J532">
        <v>12</v>
      </c>
      <c r="K532" t="s">
        <v>198</v>
      </c>
      <c r="L532" t="s">
        <v>14</v>
      </c>
      <c r="M532" t="s">
        <v>18</v>
      </c>
      <c r="N532" t="s">
        <v>19</v>
      </c>
    </row>
    <row r="533" spans="1:14" x14ac:dyDescent="0.3">
      <c r="A533">
        <v>530</v>
      </c>
      <c r="B533">
        <v>226</v>
      </c>
      <c r="C533">
        <v>1</v>
      </c>
      <c r="D533" t="s">
        <v>138</v>
      </c>
      <c r="E533">
        <v>1</v>
      </c>
      <c r="F533" s="1">
        <v>42008</v>
      </c>
      <c r="G533" t="s">
        <v>185</v>
      </c>
      <c r="H533" s="2">
        <v>36526.708090277774</v>
      </c>
      <c r="I533">
        <v>20.5</v>
      </c>
      <c r="J533">
        <v>20.5</v>
      </c>
      <c r="K533" t="s">
        <v>196</v>
      </c>
      <c r="L533" t="s">
        <v>14</v>
      </c>
      <c r="M533" t="s">
        <v>18</v>
      </c>
      <c r="N533" t="s">
        <v>19</v>
      </c>
    </row>
    <row r="534" spans="1:14" x14ac:dyDescent="0.3">
      <c r="A534">
        <v>1162</v>
      </c>
      <c r="B534">
        <v>510</v>
      </c>
      <c r="C534">
        <v>0.25</v>
      </c>
      <c r="D534" t="s">
        <v>17</v>
      </c>
      <c r="E534">
        <v>1</v>
      </c>
      <c r="F534" s="1">
        <v>42013</v>
      </c>
      <c r="G534" t="s">
        <v>190</v>
      </c>
      <c r="H534" s="2">
        <v>36526.510451388887</v>
      </c>
      <c r="I534">
        <v>16</v>
      </c>
      <c r="J534">
        <v>16</v>
      </c>
      <c r="K534" t="s">
        <v>197</v>
      </c>
      <c r="L534" t="s">
        <v>14</v>
      </c>
      <c r="M534" t="s">
        <v>18</v>
      </c>
      <c r="N534" t="s">
        <v>19</v>
      </c>
    </row>
    <row r="535" spans="1:14" x14ac:dyDescent="0.3">
      <c r="A535">
        <v>532</v>
      </c>
      <c r="B535">
        <v>227</v>
      </c>
      <c r="C535">
        <v>0.5</v>
      </c>
      <c r="D535" t="s">
        <v>155</v>
      </c>
      <c r="E535">
        <v>1</v>
      </c>
      <c r="F535" s="1">
        <v>42008</v>
      </c>
      <c r="G535" t="s">
        <v>185</v>
      </c>
      <c r="H535" s="2">
        <v>36526.725451388891</v>
      </c>
      <c r="I535">
        <v>16</v>
      </c>
      <c r="J535">
        <v>16</v>
      </c>
      <c r="K535" t="s">
        <v>197</v>
      </c>
      <c r="L535" t="s">
        <v>14</v>
      </c>
      <c r="M535" t="s">
        <v>45</v>
      </c>
      <c r="N535" t="s">
        <v>46</v>
      </c>
    </row>
    <row r="536" spans="1:14" x14ac:dyDescent="0.3">
      <c r="A536">
        <v>1160</v>
      </c>
      <c r="B536">
        <v>508</v>
      </c>
      <c r="C536">
        <v>0.33333333333333331</v>
      </c>
      <c r="D536" t="s">
        <v>119</v>
      </c>
      <c r="E536">
        <v>1</v>
      </c>
      <c r="F536" s="1">
        <v>42013</v>
      </c>
      <c r="G536" t="s">
        <v>190</v>
      </c>
      <c r="H536" s="2">
        <v>36526.509398148148</v>
      </c>
      <c r="I536">
        <v>12.5</v>
      </c>
      <c r="J536">
        <v>12.5</v>
      </c>
      <c r="K536" t="s">
        <v>197</v>
      </c>
      <c r="L536" t="s">
        <v>14</v>
      </c>
      <c r="M536" t="s">
        <v>78</v>
      </c>
      <c r="N536" t="s">
        <v>79</v>
      </c>
    </row>
    <row r="537" spans="1:14" x14ac:dyDescent="0.3">
      <c r="A537">
        <v>1155</v>
      </c>
      <c r="B537">
        <v>505</v>
      </c>
      <c r="C537">
        <v>0.5</v>
      </c>
      <c r="D537" t="s">
        <v>140</v>
      </c>
      <c r="E537">
        <v>1</v>
      </c>
      <c r="F537" s="1">
        <v>42013</v>
      </c>
      <c r="G537" t="s">
        <v>190</v>
      </c>
      <c r="H537" s="2">
        <v>36526.49664351852</v>
      </c>
      <c r="I537">
        <v>25.5</v>
      </c>
      <c r="J537">
        <v>25.5</v>
      </c>
      <c r="K537" t="s">
        <v>199</v>
      </c>
      <c r="L537" t="s">
        <v>14</v>
      </c>
      <c r="M537" t="s">
        <v>45</v>
      </c>
      <c r="N537" t="s">
        <v>46</v>
      </c>
    </row>
    <row r="538" spans="1:14" x14ac:dyDescent="0.3">
      <c r="A538">
        <v>1154</v>
      </c>
      <c r="B538">
        <v>505</v>
      </c>
      <c r="C538">
        <v>0.5</v>
      </c>
      <c r="D538" t="s">
        <v>119</v>
      </c>
      <c r="E538">
        <v>1</v>
      </c>
      <c r="F538" s="1">
        <v>42013</v>
      </c>
      <c r="G538" t="s">
        <v>190</v>
      </c>
      <c r="H538" s="2">
        <v>36526.49664351852</v>
      </c>
      <c r="I538">
        <v>12.5</v>
      </c>
      <c r="J538">
        <v>12.5</v>
      </c>
      <c r="K538" t="s">
        <v>197</v>
      </c>
      <c r="L538" t="s">
        <v>14</v>
      </c>
      <c r="M538" t="s">
        <v>78</v>
      </c>
      <c r="N538" t="s">
        <v>79</v>
      </c>
    </row>
    <row r="539" spans="1:14" x14ac:dyDescent="0.3">
      <c r="A539">
        <v>1153</v>
      </c>
      <c r="B539">
        <v>504</v>
      </c>
      <c r="C539">
        <v>1</v>
      </c>
      <c r="D539" t="s">
        <v>170</v>
      </c>
      <c r="E539">
        <v>1</v>
      </c>
      <c r="F539" s="1">
        <v>42013</v>
      </c>
      <c r="G539" t="s">
        <v>190</v>
      </c>
      <c r="H539" s="2">
        <v>36526.491875</v>
      </c>
      <c r="I539">
        <v>20.5</v>
      </c>
      <c r="J539">
        <v>20.5</v>
      </c>
      <c r="K539" t="s">
        <v>196</v>
      </c>
      <c r="L539" t="s">
        <v>14</v>
      </c>
      <c r="M539" t="s">
        <v>45</v>
      </c>
      <c r="N539" t="s">
        <v>46</v>
      </c>
    </row>
    <row r="540" spans="1:14" x14ac:dyDescent="0.3">
      <c r="A540">
        <v>1151</v>
      </c>
      <c r="B540">
        <v>503</v>
      </c>
      <c r="C540">
        <v>0.5</v>
      </c>
      <c r="D540" t="s">
        <v>77</v>
      </c>
      <c r="E540">
        <v>1</v>
      </c>
      <c r="F540" s="1">
        <v>42013</v>
      </c>
      <c r="G540" t="s">
        <v>190</v>
      </c>
      <c r="H540" s="2">
        <v>36526.469687500001</v>
      </c>
      <c r="I540">
        <v>15.25</v>
      </c>
      <c r="J540">
        <v>15.25</v>
      </c>
      <c r="K540" t="s">
        <v>196</v>
      </c>
      <c r="L540" t="s">
        <v>14</v>
      </c>
      <c r="M540" t="s">
        <v>78</v>
      </c>
      <c r="N540" t="s">
        <v>79</v>
      </c>
    </row>
    <row r="541" spans="1:14" x14ac:dyDescent="0.3">
      <c r="A541">
        <v>1148</v>
      </c>
      <c r="B541">
        <v>501</v>
      </c>
      <c r="C541">
        <v>0.33333333333333331</v>
      </c>
      <c r="D541" t="s">
        <v>132</v>
      </c>
      <c r="E541">
        <v>1</v>
      </c>
      <c r="F541" s="1">
        <v>42012</v>
      </c>
      <c r="G541" t="s">
        <v>189</v>
      </c>
      <c r="H541" s="2">
        <v>36526.910775462966</v>
      </c>
      <c r="I541">
        <v>10.5</v>
      </c>
      <c r="J541">
        <v>10.5</v>
      </c>
      <c r="K541" t="s">
        <v>198</v>
      </c>
      <c r="L541" t="s">
        <v>14</v>
      </c>
      <c r="M541" t="s">
        <v>15</v>
      </c>
      <c r="N541" t="s">
        <v>16</v>
      </c>
    </row>
    <row r="542" spans="1:14" x14ac:dyDescent="0.3">
      <c r="A542">
        <v>539</v>
      </c>
      <c r="B542">
        <v>231</v>
      </c>
      <c r="C542">
        <v>0.33333333333333331</v>
      </c>
      <c r="D542" t="s">
        <v>93</v>
      </c>
      <c r="E542">
        <v>1</v>
      </c>
      <c r="F542" s="1">
        <v>42008</v>
      </c>
      <c r="G542" t="s">
        <v>185</v>
      </c>
      <c r="H542" s="2">
        <v>36526.752986111111</v>
      </c>
      <c r="I542">
        <v>12</v>
      </c>
      <c r="J542">
        <v>12</v>
      </c>
      <c r="K542" t="s">
        <v>198</v>
      </c>
      <c r="L542" t="s">
        <v>14</v>
      </c>
      <c r="M542" t="s">
        <v>94</v>
      </c>
      <c r="N542" t="s">
        <v>95</v>
      </c>
    </row>
    <row r="543" spans="1:14" x14ac:dyDescent="0.3">
      <c r="A543">
        <v>1145</v>
      </c>
      <c r="B543">
        <v>499</v>
      </c>
      <c r="C543">
        <v>0.25</v>
      </c>
      <c r="D543" t="s">
        <v>148</v>
      </c>
      <c r="E543">
        <v>1</v>
      </c>
      <c r="F543" s="1">
        <v>42012</v>
      </c>
      <c r="G543" t="s">
        <v>189</v>
      </c>
      <c r="H543" s="2">
        <v>36526.882476851853</v>
      </c>
      <c r="I543">
        <v>14.5</v>
      </c>
      <c r="J543">
        <v>14.5</v>
      </c>
      <c r="K543" t="s">
        <v>197</v>
      </c>
      <c r="L543" t="s">
        <v>14</v>
      </c>
      <c r="M543" t="s">
        <v>130</v>
      </c>
      <c r="N543" t="s">
        <v>131</v>
      </c>
    </row>
    <row r="544" spans="1:14" x14ac:dyDescent="0.3">
      <c r="A544">
        <v>1138</v>
      </c>
      <c r="B544">
        <v>496</v>
      </c>
      <c r="C544">
        <v>0.5</v>
      </c>
      <c r="D544" t="s">
        <v>142</v>
      </c>
      <c r="E544">
        <v>1</v>
      </c>
      <c r="F544" s="1">
        <v>42012</v>
      </c>
      <c r="G544" t="s">
        <v>189</v>
      </c>
      <c r="H544" s="2">
        <v>36526.823819444442</v>
      </c>
      <c r="I544">
        <v>16.5</v>
      </c>
      <c r="J544">
        <v>16.5</v>
      </c>
      <c r="K544" t="s">
        <v>196</v>
      </c>
      <c r="L544" t="s">
        <v>14</v>
      </c>
      <c r="M544" t="s">
        <v>15</v>
      </c>
      <c r="N544" t="s">
        <v>16</v>
      </c>
    </row>
    <row r="545" spans="1:14" x14ac:dyDescent="0.3">
      <c r="A545">
        <v>1125</v>
      </c>
      <c r="B545">
        <v>491</v>
      </c>
      <c r="C545">
        <v>0.25</v>
      </c>
      <c r="D545" t="s">
        <v>77</v>
      </c>
      <c r="E545">
        <v>1</v>
      </c>
      <c r="F545" s="1">
        <v>42012</v>
      </c>
      <c r="G545" t="s">
        <v>189</v>
      </c>
      <c r="H545" s="2">
        <v>36526.792500000003</v>
      </c>
      <c r="I545">
        <v>15.25</v>
      </c>
      <c r="J545">
        <v>15.25</v>
      </c>
      <c r="K545" t="s">
        <v>196</v>
      </c>
      <c r="L545" t="s">
        <v>14</v>
      </c>
      <c r="M545" t="s">
        <v>78</v>
      </c>
      <c r="N545" t="s">
        <v>79</v>
      </c>
    </row>
    <row r="546" spans="1:14" x14ac:dyDescent="0.3">
      <c r="A546">
        <v>1124</v>
      </c>
      <c r="B546">
        <v>491</v>
      </c>
      <c r="C546">
        <v>0.25</v>
      </c>
      <c r="D546" t="s">
        <v>93</v>
      </c>
      <c r="E546">
        <v>1</v>
      </c>
      <c r="F546" s="1">
        <v>42012</v>
      </c>
      <c r="G546" t="s">
        <v>189</v>
      </c>
      <c r="H546" s="2">
        <v>36526.792500000003</v>
      </c>
      <c r="I546">
        <v>12</v>
      </c>
      <c r="J546">
        <v>12</v>
      </c>
      <c r="K546" t="s">
        <v>198</v>
      </c>
      <c r="L546" t="s">
        <v>14</v>
      </c>
      <c r="M546" t="s">
        <v>94</v>
      </c>
      <c r="N546" t="s">
        <v>95</v>
      </c>
    </row>
    <row r="547" spans="1:14" x14ac:dyDescent="0.3">
      <c r="A547">
        <v>1123</v>
      </c>
      <c r="B547">
        <v>490</v>
      </c>
      <c r="C547">
        <v>0.33333333333333331</v>
      </c>
      <c r="D547" t="s">
        <v>163</v>
      </c>
      <c r="E547">
        <v>1</v>
      </c>
      <c r="F547" s="1">
        <v>42012</v>
      </c>
      <c r="G547" t="s">
        <v>189</v>
      </c>
      <c r="H547" s="2">
        <v>36526.784305555557</v>
      </c>
      <c r="I547">
        <v>16</v>
      </c>
      <c r="J547">
        <v>16</v>
      </c>
      <c r="K547" t="s">
        <v>197</v>
      </c>
      <c r="L547" t="s">
        <v>14</v>
      </c>
      <c r="M547" t="s">
        <v>94</v>
      </c>
      <c r="N547" t="s">
        <v>95</v>
      </c>
    </row>
    <row r="548" spans="1:14" x14ac:dyDescent="0.3">
      <c r="A548">
        <v>1122</v>
      </c>
      <c r="B548">
        <v>490</v>
      </c>
      <c r="C548">
        <v>0.33333333333333331</v>
      </c>
      <c r="D548" t="s">
        <v>17</v>
      </c>
      <c r="E548">
        <v>1</v>
      </c>
      <c r="F548" s="1">
        <v>42012</v>
      </c>
      <c r="G548" t="s">
        <v>189</v>
      </c>
      <c r="H548" s="2">
        <v>36526.784305555557</v>
      </c>
      <c r="I548">
        <v>16</v>
      </c>
      <c r="J548">
        <v>16</v>
      </c>
      <c r="K548" t="s">
        <v>197</v>
      </c>
      <c r="L548" t="s">
        <v>14</v>
      </c>
      <c r="M548" t="s">
        <v>18</v>
      </c>
      <c r="N548" t="s">
        <v>19</v>
      </c>
    </row>
    <row r="549" spans="1:14" x14ac:dyDescent="0.3">
      <c r="A549">
        <v>546</v>
      </c>
      <c r="B549">
        <v>234</v>
      </c>
      <c r="C549">
        <v>0.33333333333333331</v>
      </c>
      <c r="D549" t="s">
        <v>163</v>
      </c>
      <c r="E549">
        <v>1</v>
      </c>
      <c r="F549" s="1">
        <v>42008</v>
      </c>
      <c r="G549" t="s">
        <v>185</v>
      </c>
      <c r="H549" s="2">
        <v>36526.775104166663</v>
      </c>
      <c r="I549">
        <v>16</v>
      </c>
      <c r="J549">
        <v>16</v>
      </c>
      <c r="K549" t="s">
        <v>197</v>
      </c>
      <c r="L549" t="s">
        <v>14</v>
      </c>
      <c r="M549" t="s">
        <v>94</v>
      </c>
      <c r="N549" t="s">
        <v>95</v>
      </c>
    </row>
    <row r="550" spans="1:14" x14ac:dyDescent="0.3">
      <c r="A550">
        <v>1121</v>
      </c>
      <c r="B550">
        <v>490</v>
      </c>
      <c r="C550">
        <v>0.33333333333333331</v>
      </c>
      <c r="D550" t="s">
        <v>84</v>
      </c>
      <c r="E550">
        <v>1</v>
      </c>
      <c r="F550" s="1">
        <v>42012</v>
      </c>
      <c r="G550" t="s">
        <v>189</v>
      </c>
      <c r="H550" s="2">
        <v>36526.784305555557</v>
      </c>
      <c r="I550">
        <v>12</v>
      </c>
      <c r="J550">
        <v>12</v>
      </c>
      <c r="K550" t="s">
        <v>198</v>
      </c>
      <c r="L550" t="s">
        <v>14</v>
      </c>
      <c r="M550" t="s">
        <v>85</v>
      </c>
      <c r="N550" t="s">
        <v>86</v>
      </c>
    </row>
    <row r="551" spans="1:14" x14ac:dyDescent="0.3">
      <c r="A551">
        <v>548</v>
      </c>
      <c r="B551">
        <v>236</v>
      </c>
      <c r="C551">
        <v>0.5</v>
      </c>
      <c r="D551" t="s">
        <v>138</v>
      </c>
      <c r="E551">
        <v>1</v>
      </c>
      <c r="F551" s="1">
        <v>42008</v>
      </c>
      <c r="G551" t="s">
        <v>185</v>
      </c>
      <c r="H551" s="2">
        <v>36526.806296296294</v>
      </c>
      <c r="I551">
        <v>20.5</v>
      </c>
      <c r="J551">
        <v>20.5</v>
      </c>
      <c r="K551" t="s">
        <v>196</v>
      </c>
      <c r="L551" t="s">
        <v>14</v>
      </c>
      <c r="M551" t="s">
        <v>18</v>
      </c>
      <c r="N551" t="s">
        <v>19</v>
      </c>
    </row>
    <row r="552" spans="1:14" x14ac:dyDescent="0.3">
      <c r="A552">
        <v>1116</v>
      </c>
      <c r="B552">
        <v>487</v>
      </c>
      <c r="C552">
        <v>0.33333333333333331</v>
      </c>
      <c r="D552" t="s">
        <v>132</v>
      </c>
      <c r="E552">
        <v>1</v>
      </c>
      <c r="F552" s="1">
        <v>42012</v>
      </c>
      <c r="G552" t="s">
        <v>189</v>
      </c>
      <c r="H552" s="2">
        <v>36526.771018518521</v>
      </c>
      <c r="I552">
        <v>10.5</v>
      </c>
      <c r="J552">
        <v>10.5</v>
      </c>
      <c r="K552" t="s">
        <v>198</v>
      </c>
      <c r="L552" t="s">
        <v>14</v>
      </c>
      <c r="M552" t="s">
        <v>15</v>
      </c>
      <c r="N552" t="s">
        <v>16</v>
      </c>
    </row>
    <row r="553" spans="1:14" x14ac:dyDescent="0.3">
      <c r="A553">
        <v>1110</v>
      </c>
      <c r="B553">
        <v>483</v>
      </c>
      <c r="C553">
        <v>0.25</v>
      </c>
      <c r="D553" t="s">
        <v>143</v>
      </c>
      <c r="E553">
        <v>1</v>
      </c>
      <c r="F553" s="1">
        <v>42012</v>
      </c>
      <c r="G553" t="s">
        <v>189</v>
      </c>
      <c r="H553" s="2">
        <v>36526.745891203704</v>
      </c>
      <c r="I553">
        <v>11</v>
      </c>
      <c r="J553">
        <v>11</v>
      </c>
      <c r="K553" t="s">
        <v>198</v>
      </c>
      <c r="L553" t="s">
        <v>14</v>
      </c>
      <c r="M553" t="s">
        <v>130</v>
      </c>
      <c r="N553" t="s">
        <v>131</v>
      </c>
    </row>
    <row r="554" spans="1:14" x14ac:dyDescent="0.3">
      <c r="A554">
        <v>1109</v>
      </c>
      <c r="B554">
        <v>483</v>
      </c>
      <c r="C554">
        <v>0.25</v>
      </c>
      <c r="D554" t="s">
        <v>93</v>
      </c>
      <c r="E554">
        <v>1</v>
      </c>
      <c r="F554" s="1">
        <v>42012</v>
      </c>
      <c r="G554" t="s">
        <v>189</v>
      </c>
      <c r="H554" s="2">
        <v>36526.745891203704</v>
      </c>
      <c r="I554">
        <v>12</v>
      </c>
      <c r="J554">
        <v>12</v>
      </c>
      <c r="K554" t="s">
        <v>198</v>
      </c>
      <c r="L554" t="s">
        <v>14</v>
      </c>
      <c r="M554" t="s">
        <v>94</v>
      </c>
      <c r="N554" t="s">
        <v>95</v>
      </c>
    </row>
    <row r="555" spans="1:14" x14ac:dyDescent="0.3">
      <c r="A555">
        <v>1103</v>
      </c>
      <c r="B555">
        <v>481</v>
      </c>
      <c r="C555">
        <v>0.5</v>
      </c>
      <c r="D555" t="s">
        <v>126</v>
      </c>
      <c r="E555">
        <v>1</v>
      </c>
      <c r="F555" s="1">
        <v>42012</v>
      </c>
      <c r="G555" t="s">
        <v>189</v>
      </c>
      <c r="H555" s="2">
        <v>36526.737233796295</v>
      </c>
      <c r="I555">
        <v>9.75</v>
      </c>
      <c r="J555">
        <v>9.75</v>
      </c>
      <c r="K555" t="s">
        <v>198</v>
      </c>
      <c r="L555" t="s">
        <v>14</v>
      </c>
      <c r="M555" t="s">
        <v>78</v>
      </c>
      <c r="N555" t="s">
        <v>79</v>
      </c>
    </row>
    <row r="556" spans="1:14" x14ac:dyDescent="0.3">
      <c r="A556">
        <v>1102</v>
      </c>
      <c r="B556">
        <v>480</v>
      </c>
      <c r="C556">
        <v>1</v>
      </c>
      <c r="D556" t="s">
        <v>119</v>
      </c>
      <c r="E556">
        <v>1</v>
      </c>
      <c r="F556" s="1">
        <v>42012</v>
      </c>
      <c r="G556" t="s">
        <v>189</v>
      </c>
      <c r="H556" s="2">
        <v>36526.737164351849</v>
      </c>
      <c r="I556">
        <v>12.5</v>
      </c>
      <c r="J556">
        <v>12.5</v>
      </c>
      <c r="K556" t="s">
        <v>197</v>
      </c>
      <c r="L556" t="s">
        <v>14</v>
      </c>
      <c r="M556" t="s">
        <v>78</v>
      </c>
      <c r="N556" t="s">
        <v>79</v>
      </c>
    </row>
    <row r="557" spans="1:14" x14ac:dyDescent="0.3">
      <c r="A557">
        <v>1101</v>
      </c>
      <c r="B557">
        <v>479</v>
      </c>
      <c r="C557">
        <v>0.5</v>
      </c>
      <c r="D557" t="s">
        <v>54</v>
      </c>
      <c r="E557">
        <v>2</v>
      </c>
      <c r="F557" s="1">
        <v>42012</v>
      </c>
      <c r="G557" t="s">
        <v>189</v>
      </c>
      <c r="H557" s="2">
        <v>36526.7340625</v>
      </c>
      <c r="I557">
        <v>20.5</v>
      </c>
      <c r="J557">
        <v>41</v>
      </c>
      <c r="K557" t="s">
        <v>196</v>
      </c>
      <c r="L557" t="s">
        <v>14</v>
      </c>
      <c r="M557" t="s">
        <v>55</v>
      </c>
      <c r="N557" t="s">
        <v>56</v>
      </c>
    </row>
    <row r="558" spans="1:14" x14ac:dyDescent="0.3">
      <c r="A558">
        <v>1093</v>
      </c>
      <c r="B558">
        <v>476</v>
      </c>
      <c r="C558">
        <v>0.33333333333333331</v>
      </c>
      <c r="D558" t="s">
        <v>119</v>
      </c>
      <c r="E558">
        <v>1</v>
      </c>
      <c r="F558" s="1">
        <v>42012</v>
      </c>
      <c r="G558" t="s">
        <v>189</v>
      </c>
      <c r="H558" s="2">
        <v>36526.727731481478</v>
      </c>
      <c r="I558">
        <v>12.5</v>
      </c>
      <c r="J558">
        <v>12.5</v>
      </c>
      <c r="K558" t="s">
        <v>197</v>
      </c>
      <c r="L558" t="s">
        <v>14</v>
      </c>
      <c r="M558" t="s">
        <v>78</v>
      </c>
      <c r="N558" t="s">
        <v>79</v>
      </c>
    </row>
    <row r="559" spans="1:14" x14ac:dyDescent="0.3">
      <c r="A559">
        <v>1091</v>
      </c>
      <c r="B559">
        <v>475</v>
      </c>
      <c r="C559">
        <v>0.5</v>
      </c>
      <c r="D559" t="s">
        <v>84</v>
      </c>
      <c r="E559">
        <v>1</v>
      </c>
      <c r="F559" s="1">
        <v>42012</v>
      </c>
      <c r="G559" t="s">
        <v>189</v>
      </c>
      <c r="H559" s="2">
        <v>36526.718946759262</v>
      </c>
      <c r="I559">
        <v>12</v>
      </c>
      <c r="J559">
        <v>12</v>
      </c>
      <c r="K559" t="s">
        <v>198</v>
      </c>
      <c r="L559" t="s">
        <v>14</v>
      </c>
      <c r="M559" t="s">
        <v>85</v>
      </c>
      <c r="N559" t="s">
        <v>86</v>
      </c>
    </row>
    <row r="560" spans="1:14" x14ac:dyDescent="0.3">
      <c r="A560">
        <v>1090</v>
      </c>
      <c r="B560">
        <v>474</v>
      </c>
      <c r="C560">
        <v>0.5</v>
      </c>
      <c r="D560" t="s">
        <v>126</v>
      </c>
      <c r="E560">
        <v>1</v>
      </c>
      <c r="F560" s="1">
        <v>42012</v>
      </c>
      <c r="G560" t="s">
        <v>189</v>
      </c>
      <c r="H560" s="2">
        <v>36526.699861111112</v>
      </c>
      <c r="I560">
        <v>9.75</v>
      </c>
      <c r="J560">
        <v>9.75</v>
      </c>
      <c r="K560" t="s">
        <v>198</v>
      </c>
      <c r="L560" t="s">
        <v>14</v>
      </c>
      <c r="M560" t="s">
        <v>78</v>
      </c>
      <c r="N560" t="s">
        <v>79</v>
      </c>
    </row>
    <row r="561" spans="1:14" x14ac:dyDescent="0.3">
      <c r="A561">
        <v>1086</v>
      </c>
      <c r="B561">
        <v>473</v>
      </c>
      <c r="C561">
        <v>0.33333333333333331</v>
      </c>
      <c r="D561" t="s">
        <v>142</v>
      </c>
      <c r="E561">
        <v>1</v>
      </c>
      <c r="F561" s="1">
        <v>42012</v>
      </c>
      <c r="G561" t="s">
        <v>189</v>
      </c>
      <c r="H561" s="2">
        <v>36526.695451388892</v>
      </c>
      <c r="I561">
        <v>16.5</v>
      </c>
      <c r="J561">
        <v>16.5</v>
      </c>
      <c r="K561" t="s">
        <v>196</v>
      </c>
      <c r="L561" t="s">
        <v>14</v>
      </c>
      <c r="M561" t="s">
        <v>15</v>
      </c>
      <c r="N561" t="s">
        <v>16</v>
      </c>
    </row>
    <row r="562" spans="1:14" x14ac:dyDescent="0.3">
      <c r="A562">
        <v>1079</v>
      </c>
      <c r="B562">
        <v>468</v>
      </c>
      <c r="C562">
        <v>0.5</v>
      </c>
      <c r="D562" t="s">
        <v>77</v>
      </c>
      <c r="E562">
        <v>1</v>
      </c>
      <c r="F562" s="1">
        <v>42012</v>
      </c>
      <c r="G562" t="s">
        <v>189</v>
      </c>
      <c r="H562" s="2">
        <v>36526.650138888886</v>
      </c>
      <c r="I562">
        <v>15.25</v>
      </c>
      <c r="J562">
        <v>15.25</v>
      </c>
      <c r="K562" t="s">
        <v>196</v>
      </c>
      <c r="L562" t="s">
        <v>14</v>
      </c>
      <c r="M562" t="s">
        <v>78</v>
      </c>
      <c r="N562" t="s">
        <v>79</v>
      </c>
    </row>
    <row r="563" spans="1:14" x14ac:dyDescent="0.3">
      <c r="A563">
        <v>560</v>
      </c>
      <c r="B563">
        <v>243</v>
      </c>
      <c r="C563">
        <v>0.5</v>
      </c>
      <c r="D563" t="s">
        <v>138</v>
      </c>
      <c r="E563">
        <v>1</v>
      </c>
      <c r="F563" s="1">
        <v>42008</v>
      </c>
      <c r="G563" t="s">
        <v>185</v>
      </c>
      <c r="H563" s="2">
        <v>36526.851585648146</v>
      </c>
      <c r="I563">
        <v>20.5</v>
      </c>
      <c r="J563">
        <v>20.5</v>
      </c>
      <c r="K563" t="s">
        <v>196</v>
      </c>
      <c r="L563" t="s">
        <v>14</v>
      </c>
      <c r="M563" t="s">
        <v>18</v>
      </c>
      <c r="N563" t="s">
        <v>19</v>
      </c>
    </row>
    <row r="564" spans="1:14" x14ac:dyDescent="0.3">
      <c r="A564">
        <v>1076</v>
      </c>
      <c r="B564">
        <v>466</v>
      </c>
      <c r="C564">
        <v>0.5</v>
      </c>
      <c r="D564" t="s">
        <v>140</v>
      </c>
      <c r="E564">
        <v>1</v>
      </c>
      <c r="F564" s="1">
        <v>42012</v>
      </c>
      <c r="G564" t="s">
        <v>189</v>
      </c>
      <c r="H564" s="2">
        <v>36526.645949074074</v>
      </c>
      <c r="I564">
        <v>25.5</v>
      </c>
      <c r="J564">
        <v>25.5</v>
      </c>
      <c r="K564" t="s">
        <v>199</v>
      </c>
      <c r="L564" t="s">
        <v>14</v>
      </c>
      <c r="M564" t="s">
        <v>45</v>
      </c>
      <c r="N564" t="s">
        <v>46</v>
      </c>
    </row>
    <row r="565" spans="1:14" x14ac:dyDescent="0.3">
      <c r="A565">
        <v>1074</v>
      </c>
      <c r="B565">
        <v>465</v>
      </c>
      <c r="C565">
        <v>1</v>
      </c>
      <c r="D565" t="s">
        <v>93</v>
      </c>
      <c r="E565">
        <v>1</v>
      </c>
      <c r="F565" s="1">
        <v>42012</v>
      </c>
      <c r="G565" t="s">
        <v>189</v>
      </c>
      <c r="H565" s="2">
        <v>36526.621793981481</v>
      </c>
      <c r="I565">
        <v>12</v>
      </c>
      <c r="J565">
        <v>12</v>
      </c>
      <c r="K565" t="s">
        <v>198</v>
      </c>
      <c r="L565" t="s">
        <v>14</v>
      </c>
      <c r="M565" t="s">
        <v>94</v>
      </c>
      <c r="N565" t="s">
        <v>95</v>
      </c>
    </row>
    <row r="566" spans="1:14" x14ac:dyDescent="0.3">
      <c r="A566">
        <v>1068</v>
      </c>
      <c r="B566">
        <v>461</v>
      </c>
      <c r="C566">
        <v>0.5</v>
      </c>
      <c r="D566" t="s">
        <v>132</v>
      </c>
      <c r="E566">
        <v>1</v>
      </c>
      <c r="F566" s="1">
        <v>42012</v>
      </c>
      <c r="G566" t="s">
        <v>189</v>
      </c>
      <c r="H566" s="2">
        <v>36526.598136574074</v>
      </c>
      <c r="I566">
        <v>10.5</v>
      </c>
      <c r="J566">
        <v>10.5</v>
      </c>
      <c r="K566" t="s">
        <v>198</v>
      </c>
      <c r="L566" t="s">
        <v>14</v>
      </c>
      <c r="M566" t="s">
        <v>15</v>
      </c>
      <c r="N566" t="s">
        <v>16</v>
      </c>
    </row>
    <row r="567" spans="1:14" x14ac:dyDescent="0.3">
      <c r="A567">
        <v>1063</v>
      </c>
      <c r="B567">
        <v>458</v>
      </c>
      <c r="C567">
        <v>0.33333333333333331</v>
      </c>
      <c r="D567" t="s">
        <v>44</v>
      </c>
      <c r="E567">
        <v>1</v>
      </c>
      <c r="F567" s="1">
        <v>42012</v>
      </c>
      <c r="G567" t="s">
        <v>189</v>
      </c>
      <c r="H567" s="2">
        <v>36526.583391203705</v>
      </c>
      <c r="I567">
        <v>12</v>
      </c>
      <c r="J567">
        <v>12</v>
      </c>
      <c r="K567" t="s">
        <v>198</v>
      </c>
      <c r="L567" t="s">
        <v>14</v>
      </c>
      <c r="M567" t="s">
        <v>45</v>
      </c>
      <c r="N567" t="s">
        <v>46</v>
      </c>
    </row>
    <row r="568" spans="1:14" x14ac:dyDescent="0.3">
      <c r="A568">
        <v>1060</v>
      </c>
      <c r="B568">
        <v>457</v>
      </c>
      <c r="C568">
        <v>0.33333333333333331</v>
      </c>
      <c r="D568" t="s">
        <v>17</v>
      </c>
      <c r="E568">
        <v>1</v>
      </c>
      <c r="F568" s="1">
        <v>42012</v>
      </c>
      <c r="G568" t="s">
        <v>189</v>
      </c>
      <c r="H568" s="2">
        <v>36526.582685185182</v>
      </c>
      <c r="I568">
        <v>16</v>
      </c>
      <c r="J568">
        <v>16</v>
      </c>
      <c r="K568" t="s">
        <v>197</v>
      </c>
      <c r="L568" t="s">
        <v>14</v>
      </c>
      <c r="M568" t="s">
        <v>18</v>
      </c>
      <c r="N568" t="s">
        <v>19</v>
      </c>
    </row>
    <row r="569" spans="1:14" x14ac:dyDescent="0.3">
      <c r="A569">
        <v>1049</v>
      </c>
      <c r="B569">
        <v>452</v>
      </c>
      <c r="C569">
        <v>0.33333333333333331</v>
      </c>
      <c r="D569" t="s">
        <v>84</v>
      </c>
      <c r="E569">
        <v>1</v>
      </c>
      <c r="F569" s="1">
        <v>42012</v>
      </c>
      <c r="G569" t="s">
        <v>189</v>
      </c>
      <c r="H569" s="2">
        <v>36526.55846064815</v>
      </c>
      <c r="I569">
        <v>12</v>
      </c>
      <c r="J569">
        <v>12</v>
      </c>
      <c r="K569" t="s">
        <v>198</v>
      </c>
      <c r="L569" t="s">
        <v>14</v>
      </c>
      <c r="M569" t="s">
        <v>85</v>
      </c>
      <c r="N569" t="s">
        <v>86</v>
      </c>
    </row>
    <row r="570" spans="1:14" x14ac:dyDescent="0.3">
      <c r="A570">
        <v>567</v>
      </c>
      <c r="B570">
        <v>246</v>
      </c>
      <c r="C570">
        <v>0.5</v>
      </c>
      <c r="D570" t="s">
        <v>77</v>
      </c>
      <c r="E570">
        <v>1</v>
      </c>
      <c r="F570" s="1">
        <v>42008</v>
      </c>
      <c r="G570" t="s">
        <v>185</v>
      </c>
      <c r="H570" s="2">
        <v>36526.854722222219</v>
      </c>
      <c r="I570">
        <v>15.25</v>
      </c>
      <c r="J570">
        <v>15.25</v>
      </c>
      <c r="K570" t="s">
        <v>196</v>
      </c>
      <c r="L570" t="s">
        <v>14</v>
      </c>
      <c r="M570" t="s">
        <v>78</v>
      </c>
      <c r="N570" t="s">
        <v>79</v>
      </c>
    </row>
    <row r="571" spans="1:14" x14ac:dyDescent="0.3">
      <c r="A571">
        <v>568</v>
      </c>
      <c r="B571">
        <v>247</v>
      </c>
      <c r="C571">
        <v>0.33333333333333331</v>
      </c>
      <c r="D571" t="s">
        <v>12</v>
      </c>
      <c r="E571">
        <v>1</v>
      </c>
      <c r="F571" s="1">
        <v>42008</v>
      </c>
      <c r="G571" t="s">
        <v>185</v>
      </c>
      <c r="H571" s="2">
        <v>36526.871863425928</v>
      </c>
      <c r="I571">
        <v>13.25</v>
      </c>
      <c r="J571">
        <v>13.25</v>
      </c>
      <c r="K571" t="s">
        <v>197</v>
      </c>
      <c r="L571" t="s">
        <v>14</v>
      </c>
      <c r="M571" t="s">
        <v>15</v>
      </c>
      <c r="N571" t="s">
        <v>16</v>
      </c>
    </row>
    <row r="572" spans="1:14" x14ac:dyDescent="0.3">
      <c r="A572">
        <v>1046</v>
      </c>
      <c r="B572">
        <v>451</v>
      </c>
      <c r="C572">
        <v>0.33333333333333331</v>
      </c>
      <c r="D572" t="s">
        <v>116</v>
      </c>
      <c r="E572">
        <v>1</v>
      </c>
      <c r="F572" s="1">
        <v>42012</v>
      </c>
      <c r="G572" t="s">
        <v>189</v>
      </c>
      <c r="H572" s="2">
        <v>36526.554930555554</v>
      </c>
      <c r="I572">
        <v>16</v>
      </c>
      <c r="J572">
        <v>16</v>
      </c>
      <c r="K572" t="s">
        <v>197</v>
      </c>
      <c r="L572" t="s">
        <v>14</v>
      </c>
      <c r="M572" t="s">
        <v>55</v>
      </c>
      <c r="N572" t="s">
        <v>56</v>
      </c>
    </row>
    <row r="573" spans="1:14" x14ac:dyDescent="0.3">
      <c r="A573">
        <v>1044</v>
      </c>
      <c r="B573">
        <v>450</v>
      </c>
      <c r="C573">
        <v>1</v>
      </c>
      <c r="D573" t="s">
        <v>84</v>
      </c>
      <c r="E573">
        <v>1</v>
      </c>
      <c r="F573" s="1">
        <v>42012</v>
      </c>
      <c r="G573" t="s">
        <v>189</v>
      </c>
      <c r="H573" s="2">
        <v>36526.5471412037</v>
      </c>
      <c r="I573">
        <v>12</v>
      </c>
      <c r="J573">
        <v>12</v>
      </c>
      <c r="K573" t="s">
        <v>198</v>
      </c>
      <c r="L573" t="s">
        <v>14</v>
      </c>
      <c r="M573" t="s">
        <v>85</v>
      </c>
      <c r="N573" t="s">
        <v>86</v>
      </c>
    </row>
    <row r="574" spans="1:14" x14ac:dyDescent="0.3">
      <c r="A574">
        <v>571</v>
      </c>
      <c r="B574">
        <v>248</v>
      </c>
      <c r="C574">
        <v>0.5</v>
      </c>
      <c r="D574" t="s">
        <v>132</v>
      </c>
      <c r="E574">
        <v>1</v>
      </c>
      <c r="F574" s="1">
        <v>42008</v>
      </c>
      <c r="G574" t="s">
        <v>185</v>
      </c>
      <c r="H574" s="2">
        <v>36526.873831018522</v>
      </c>
      <c r="I574">
        <v>10.5</v>
      </c>
      <c r="J574">
        <v>10.5</v>
      </c>
      <c r="K574" t="s">
        <v>198</v>
      </c>
      <c r="L574" t="s">
        <v>14</v>
      </c>
      <c r="M574" t="s">
        <v>15</v>
      </c>
      <c r="N574" t="s">
        <v>16</v>
      </c>
    </row>
    <row r="575" spans="1:14" x14ac:dyDescent="0.3">
      <c r="A575">
        <v>1041</v>
      </c>
      <c r="B575">
        <v>448</v>
      </c>
      <c r="C575">
        <v>0.33333333333333331</v>
      </c>
      <c r="D575" t="s">
        <v>148</v>
      </c>
      <c r="E575">
        <v>1</v>
      </c>
      <c r="F575" s="1">
        <v>42012</v>
      </c>
      <c r="G575" t="s">
        <v>189</v>
      </c>
      <c r="H575" s="2">
        <v>36526.54414351852</v>
      </c>
      <c r="I575">
        <v>14.5</v>
      </c>
      <c r="J575">
        <v>14.5</v>
      </c>
      <c r="K575" t="s">
        <v>197</v>
      </c>
      <c r="L575" t="s">
        <v>14</v>
      </c>
      <c r="M575" t="s">
        <v>130</v>
      </c>
      <c r="N575" t="s">
        <v>131</v>
      </c>
    </row>
    <row r="576" spans="1:14" x14ac:dyDescent="0.3">
      <c r="A576">
        <v>1040</v>
      </c>
      <c r="B576">
        <v>448</v>
      </c>
      <c r="C576">
        <v>0.33333333333333331</v>
      </c>
      <c r="D576" t="s">
        <v>132</v>
      </c>
      <c r="E576">
        <v>1</v>
      </c>
      <c r="F576" s="1">
        <v>42012</v>
      </c>
      <c r="G576" t="s">
        <v>189</v>
      </c>
      <c r="H576" s="2">
        <v>36526.54414351852</v>
      </c>
      <c r="I576">
        <v>10.5</v>
      </c>
      <c r="J576">
        <v>10.5</v>
      </c>
      <c r="K576" t="s">
        <v>198</v>
      </c>
      <c r="L576" t="s">
        <v>14</v>
      </c>
      <c r="M576" t="s">
        <v>15</v>
      </c>
      <c r="N576" t="s">
        <v>16</v>
      </c>
    </row>
    <row r="577" spans="1:14" x14ac:dyDescent="0.3">
      <c r="A577">
        <v>1036</v>
      </c>
      <c r="B577">
        <v>446</v>
      </c>
      <c r="C577">
        <v>0.33333333333333331</v>
      </c>
      <c r="D577" t="s">
        <v>84</v>
      </c>
      <c r="E577">
        <v>1</v>
      </c>
      <c r="F577" s="1">
        <v>42012</v>
      </c>
      <c r="G577" t="s">
        <v>189</v>
      </c>
      <c r="H577" s="2">
        <v>36526.540289351855</v>
      </c>
      <c r="I577">
        <v>12</v>
      </c>
      <c r="J577">
        <v>12</v>
      </c>
      <c r="K577" t="s">
        <v>198</v>
      </c>
      <c r="L577" t="s">
        <v>14</v>
      </c>
      <c r="M577" t="s">
        <v>85</v>
      </c>
      <c r="N577" t="s">
        <v>86</v>
      </c>
    </row>
    <row r="578" spans="1:14" x14ac:dyDescent="0.3">
      <c r="A578">
        <v>1035</v>
      </c>
      <c r="B578">
        <v>445</v>
      </c>
      <c r="C578">
        <v>1</v>
      </c>
      <c r="D578" t="s">
        <v>142</v>
      </c>
      <c r="E578">
        <v>1</v>
      </c>
      <c r="F578" s="1">
        <v>42012</v>
      </c>
      <c r="G578" t="s">
        <v>189</v>
      </c>
      <c r="H578" s="2">
        <v>36526.540034722224</v>
      </c>
      <c r="I578">
        <v>16.5</v>
      </c>
      <c r="J578">
        <v>16.5</v>
      </c>
      <c r="K578" t="s">
        <v>196</v>
      </c>
      <c r="L578" t="s">
        <v>14</v>
      </c>
      <c r="M578" t="s">
        <v>15</v>
      </c>
      <c r="N578" t="s">
        <v>16</v>
      </c>
    </row>
    <row r="579" spans="1:14" x14ac:dyDescent="0.3">
      <c r="A579">
        <v>1026</v>
      </c>
      <c r="B579">
        <v>443</v>
      </c>
      <c r="C579">
        <v>7.1428571428571425E-2</v>
      </c>
      <c r="D579" t="s">
        <v>77</v>
      </c>
      <c r="E579">
        <v>1</v>
      </c>
      <c r="F579" s="1">
        <v>42012</v>
      </c>
      <c r="G579" t="s">
        <v>189</v>
      </c>
      <c r="H579" s="2">
        <v>36526.523842592593</v>
      </c>
      <c r="I579">
        <v>15.25</v>
      </c>
      <c r="J579">
        <v>15.25</v>
      </c>
      <c r="K579" t="s">
        <v>196</v>
      </c>
      <c r="L579" t="s">
        <v>14</v>
      </c>
      <c r="M579" t="s">
        <v>78</v>
      </c>
      <c r="N579" t="s">
        <v>79</v>
      </c>
    </row>
    <row r="580" spans="1:14" x14ac:dyDescent="0.3">
      <c r="A580">
        <v>1023</v>
      </c>
      <c r="B580">
        <v>443</v>
      </c>
      <c r="C580">
        <v>7.1428571428571425E-2</v>
      </c>
      <c r="D580" t="s">
        <v>116</v>
      </c>
      <c r="E580">
        <v>1</v>
      </c>
      <c r="F580" s="1">
        <v>42012</v>
      </c>
      <c r="G580" t="s">
        <v>189</v>
      </c>
      <c r="H580" s="2">
        <v>36526.523842592593</v>
      </c>
      <c r="I580">
        <v>16</v>
      </c>
      <c r="J580">
        <v>16</v>
      </c>
      <c r="K580" t="s">
        <v>197</v>
      </c>
      <c r="L580" t="s">
        <v>14</v>
      </c>
      <c r="M580" t="s">
        <v>55</v>
      </c>
      <c r="N580" t="s">
        <v>56</v>
      </c>
    </row>
    <row r="581" spans="1:14" x14ac:dyDescent="0.3">
      <c r="A581">
        <v>1020</v>
      </c>
      <c r="B581">
        <v>443</v>
      </c>
      <c r="C581">
        <v>7.1428571428571425E-2</v>
      </c>
      <c r="D581" t="s">
        <v>84</v>
      </c>
      <c r="E581">
        <v>1</v>
      </c>
      <c r="F581" s="1">
        <v>42012</v>
      </c>
      <c r="G581" t="s">
        <v>189</v>
      </c>
      <c r="H581" s="2">
        <v>36526.523842592593</v>
      </c>
      <c r="I581">
        <v>12</v>
      </c>
      <c r="J581">
        <v>12</v>
      </c>
      <c r="K581" t="s">
        <v>198</v>
      </c>
      <c r="L581" t="s">
        <v>14</v>
      </c>
      <c r="M581" t="s">
        <v>85</v>
      </c>
      <c r="N581" t="s">
        <v>86</v>
      </c>
    </row>
    <row r="582" spans="1:14" x14ac:dyDescent="0.3">
      <c r="A582">
        <v>1012</v>
      </c>
      <c r="B582">
        <v>440</v>
      </c>
      <c r="C582">
        <v>7.1428571428571425E-2</v>
      </c>
      <c r="D582" t="s">
        <v>77</v>
      </c>
      <c r="E582">
        <v>1</v>
      </c>
      <c r="F582" s="1">
        <v>42012</v>
      </c>
      <c r="G582" t="s">
        <v>189</v>
      </c>
      <c r="H582" s="2">
        <v>36526.511504629627</v>
      </c>
      <c r="I582">
        <v>15.25</v>
      </c>
      <c r="J582">
        <v>15.25</v>
      </c>
      <c r="K582" t="s">
        <v>196</v>
      </c>
      <c r="L582" t="s">
        <v>14</v>
      </c>
      <c r="M582" t="s">
        <v>78</v>
      </c>
      <c r="N582" t="s">
        <v>79</v>
      </c>
    </row>
    <row r="583" spans="1:14" x14ac:dyDescent="0.3">
      <c r="A583">
        <v>1010</v>
      </c>
      <c r="B583">
        <v>440</v>
      </c>
      <c r="C583">
        <v>7.1428571428571425E-2</v>
      </c>
      <c r="D583" t="s">
        <v>142</v>
      </c>
      <c r="E583">
        <v>1</v>
      </c>
      <c r="F583" s="1">
        <v>42012</v>
      </c>
      <c r="G583" t="s">
        <v>189</v>
      </c>
      <c r="H583" s="2">
        <v>36526.511504629627</v>
      </c>
      <c r="I583">
        <v>16.5</v>
      </c>
      <c r="J583">
        <v>16.5</v>
      </c>
      <c r="K583" t="s">
        <v>196</v>
      </c>
      <c r="L583" t="s">
        <v>14</v>
      </c>
      <c r="M583" t="s">
        <v>15</v>
      </c>
      <c r="N583" t="s">
        <v>16</v>
      </c>
    </row>
    <row r="584" spans="1:14" x14ac:dyDescent="0.3">
      <c r="A584">
        <v>1002</v>
      </c>
      <c r="B584">
        <v>439</v>
      </c>
      <c r="C584">
        <v>0.33333333333333331</v>
      </c>
      <c r="D584" t="s">
        <v>44</v>
      </c>
      <c r="E584">
        <v>1</v>
      </c>
      <c r="F584" s="1">
        <v>42012</v>
      </c>
      <c r="G584" t="s">
        <v>189</v>
      </c>
      <c r="H584" s="2">
        <v>36526.509120370371</v>
      </c>
      <c r="I584">
        <v>12</v>
      </c>
      <c r="J584">
        <v>12</v>
      </c>
      <c r="K584" t="s">
        <v>198</v>
      </c>
      <c r="L584" t="s">
        <v>14</v>
      </c>
      <c r="M584" t="s">
        <v>45</v>
      </c>
      <c r="N584" t="s">
        <v>46</v>
      </c>
    </row>
    <row r="585" spans="1:14" x14ac:dyDescent="0.3">
      <c r="A585">
        <v>1001</v>
      </c>
      <c r="B585">
        <v>439</v>
      </c>
      <c r="C585">
        <v>0.33333333333333331</v>
      </c>
      <c r="D585" t="s">
        <v>119</v>
      </c>
      <c r="E585">
        <v>1</v>
      </c>
      <c r="F585" s="1">
        <v>42012</v>
      </c>
      <c r="G585" t="s">
        <v>189</v>
      </c>
      <c r="H585" s="2">
        <v>36526.509120370371</v>
      </c>
      <c r="I585">
        <v>12.5</v>
      </c>
      <c r="J585">
        <v>12.5</v>
      </c>
      <c r="K585" t="s">
        <v>197</v>
      </c>
      <c r="L585" t="s">
        <v>14</v>
      </c>
      <c r="M585" t="s">
        <v>78</v>
      </c>
      <c r="N585" t="s">
        <v>79</v>
      </c>
    </row>
    <row r="586" spans="1:14" x14ac:dyDescent="0.3">
      <c r="A586">
        <v>996</v>
      </c>
      <c r="B586">
        <v>436</v>
      </c>
      <c r="C586">
        <v>0.25</v>
      </c>
      <c r="D586" t="s">
        <v>143</v>
      </c>
      <c r="E586">
        <v>1</v>
      </c>
      <c r="F586" s="1">
        <v>42012</v>
      </c>
      <c r="G586" t="s">
        <v>189</v>
      </c>
      <c r="H586" s="2">
        <v>36526.505104166667</v>
      </c>
      <c r="I586">
        <v>11</v>
      </c>
      <c r="J586">
        <v>11</v>
      </c>
      <c r="K586" t="s">
        <v>198</v>
      </c>
      <c r="L586" t="s">
        <v>14</v>
      </c>
      <c r="M586" t="s">
        <v>130</v>
      </c>
      <c r="N586" t="s">
        <v>131</v>
      </c>
    </row>
    <row r="587" spans="1:14" x14ac:dyDescent="0.3">
      <c r="A587">
        <v>584</v>
      </c>
      <c r="B587">
        <v>255</v>
      </c>
      <c r="C587">
        <v>0.25</v>
      </c>
      <c r="D587" t="s">
        <v>142</v>
      </c>
      <c r="E587">
        <v>1</v>
      </c>
      <c r="F587" s="1">
        <v>42009</v>
      </c>
      <c r="G587" t="s">
        <v>186</v>
      </c>
      <c r="H587" s="2">
        <v>36526.474710648145</v>
      </c>
      <c r="I587">
        <v>16.5</v>
      </c>
      <c r="J587">
        <v>16.5</v>
      </c>
      <c r="K587" t="s">
        <v>196</v>
      </c>
      <c r="L587" t="s">
        <v>14</v>
      </c>
      <c r="M587" t="s">
        <v>15</v>
      </c>
      <c r="N587" t="s">
        <v>16</v>
      </c>
    </row>
    <row r="588" spans="1:14" x14ac:dyDescent="0.3">
      <c r="A588">
        <v>994</v>
      </c>
      <c r="B588">
        <v>436</v>
      </c>
      <c r="C588">
        <v>0.25</v>
      </c>
      <c r="D588" t="s">
        <v>138</v>
      </c>
      <c r="E588">
        <v>1</v>
      </c>
      <c r="F588" s="1">
        <v>42012</v>
      </c>
      <c r="G588" t="s">
        <v>189</v>
      </c>
      <c r="H588" s="2">
        <v>36526.505104166667</v>
      </c>
      <c r="I588">
        <v>20.5</v>
      </c>
      <c r="J588">
        <v>20.5</v>
      </c>
      <c r="K588" t="s">
        <v>196</v>
      </c>
      <c r="L588" t="s">
        <v>14</v>
      </c>
      <c r="M588" t="s">
        <v>18</v>
      </c>
      <c r="N588" t="s">
        <v>19</v>
      </c>
    </row>
    <row r="589" spans="1:14" x14ac:dyDescent="0.3">
      <c r="A589">
        <v>586</v>
      </c>
      <c r="B589">
        <v>256</v>
      </c>
      <c r="C589">
        <v>1</v>
      </c>
      <c r="D589" t="s">
        <v>129</v>
      </c>
      <c r="E589">
        <v>1</v>
      </c>
      <c r="F589" s="1">
        <v>42009</v>
      </c>
      <c r="G589" t="s">
        <v>186</v>
      </c>
      <c r="H589" s="2">
        <v>36526.497291666667</v>
      </c>
      <c r="I589">
        <v>17.5</v>
      </c>
      <c r="J589">
        <v>17.5</v>
      </c>
      <c r="K589" t="s">
        <v>196</v>
      </c>
      <c r="L589" t="s">
        <v>14</v>
      </c>
      <c r="M589" t="s">
        <v>130</v>
      </c>
      <c r="N589" t="s">
        <v>131</v>
      </c>
    </row>
    <row r="590" spans="1:14" x14ac:dyDescent="0.3">
      <c r="A590">
        <v>992</v>
      </c>
      <c r="B590">
        <v>435</v>
      </c>
      <c r="C590">
        <v>0.33333333333333331</v>
      </c>
      <c r="D590" t="s">
        <v>148</v>
      </c>
      <c r="E590">
        <v>1</v>
      </c>
      <c r="F590" s="1">
        <v>42012</v>
      </c>
      <c r="G590" t="s">
        <v>189</v>
      </c>
      <c r="H590" s="2">
        <v>36526.504270833335</v>
      </c>
      <c r="I590">
        <v>14.5</v>
      </c>
      <c r="J590">
        <v>14.5</v>
      </c>
      <c r="K590" t="s">
        <v>197</v>
      </c>
      <c r="L590" t="s">
        <v>14</v>
      </c>
      <c r="M590" t="s">
        <v>130</v>
      </c>
      <c r="N590" t="s">
        <v>131</v>
      </c>
    </row>
    <row r="591" spans="1:14" x14ac:dyDescent="0.3">
      <c r="A591">
        <v>991</v>
      </c>
      <c r="B591">
        <v>435</v>
      </c>
      <c r="C591">
        <v>0.33333333333333331</v>
      </c>
      <c r="D591" t="s">
        <v>17</v>
      </c>
      <c r="E591">
        <v>1</v>
      </c>
      <c r="F591" s="1">
        <v>42012</v>
      </c>
      <c r="G591" t="s">
        <v>189</v>
      </c>
      <c r="H591" s="2">
        <v>36526.504270833335</v>
      </c>
      <c r="I591">
        <v>16</v>
      </c>
      <c r="J591">
        <v>16</v>
      </c>
      <c r="K591" t="s">
        <v>197</v>
      </c>
      <c r="L591" t="s">
        <v>14</v>
      </c>
      <c r="M591" t="s">
        <v>18</v>
      </c>
      <c r="N591" t="s">
        <v>19</v>
      </c>
    </row>
    <row r="592" spans="1:14" x14ac:dyDescent="0.3">
      <c r="A592">
        <v>589</v>
      </c>
      <c r="B592">
        <v>258</v>
      </c>
      <c r="C592">
        <v>1</v>
      </c>
      <c r="D592" t="s">
        <v>17</v>
      </c>
      <c r="E592">
        <v>1</v>
      </c>
      <c r="F592" s="1">
        <v>42009</v>
      </c>
      <c r="G592" t="s">
        <v>186</v>
      </c>
      <c r="H592" s="2">
        <v>36526.499571759261</v>
      </c>
      <c r="I592">
        <v>16</v>
      </c>
      <c r="J592">
        <v>16</v>
      </c>
      <c r="K592" t="s">
        <v>197</v>
      </c>
      <c r="L592" t="s">
        <v>14</v>
      </c>
      <c r="M592" t="s">
        <v>18</v>
      </c>
      <c r="N592" t="s">
        <v>19</v>
      </c>
    </row>
    <row r="593" spans="1:14" x14ac:dyDescent="0.3">
      <c r="A593">
        <v>590</v>
      </c>
      <c r="B593">
        <v>259</v>
      </c>
      <c r="C593">
        <v>1</v>
      </c>
      <c r="D593" t="s">
        <v>77</v>
      </c>
      <c r="E593">
        <v>1</v>
      </c>
      <c r="F593" s="1">
        <v>42009</v>
      </c>
      <c r="G593" t="s">
        <v>186</v>
      </c>
      <c r="H593" s="2">
        <v>36526.503067129626</v>
      </c>
      <c r="I593">
        <v>15.25</v>
      </c>
      <c r="J593">
        <v>15.25</v>
      </c>
      <c r="K593" t="s">
        <v>196</v>
      </c>
      <c r="L593" t="s">
        <v>14</v>
      </c>
      <c r="M593" t="s">
        <v>78</v>
      </c>
      <c r="N593" t="s">
        <v>79</v>
      </c>
    </row>
    <row r="594" spans="1:14" x14ac:dyDescent="0.3">
      <c r="A594">
        <v>988</v>
      </c>
      <c r="B594">
        <v>434</v>
      </c>
      <c r="C594">
        <v>0.33333333333333331</v>
      </c>
      <c r="D594" t="s">
        <v>163</v>
      </c>
      <c r="E594">
        <v>1</v>
      </c>
      <c r="F594" s="1">
        <v>42012</v>
      </c>
      <c r="G594" t="s">
        <v>189</v>
      </c>
      <c r="H594" s="2">
        <v>36526.495995370373</v>
      </c>
      <c r="I594">
        <v>16</v>
      </c>
      <c r="J594">
        <v>16</v>
      </c>
      <c r="K594" t="s">
        <v>197</v>
      </c>
      <c r="L594" t="s">
        <v>14</v>
      </c>
      <c r="M594" t="s">
        <v>94</v>
      </c>
      <c r="N594" t="s">
        <v>95</v>
      </c>
    </row>
    <row r="595" spans="1:14" x14ac:dyDescent="0.3">
      <c r="A595">
        <v>592</v>
      </c>
      <c r="B595">
        <v>260</v>
      </c>
      <c r="C595">
        <v>0.5</v>
      </c>
      <c r="D595" t="s">
        <v>170</v>
      </c>
      <c r="E595">
        <v>1</v>
      </c>
      <c r="F595" s="1">
        <v>42009</v>
      </c>
      <c r="G595" t="s">
        <v>186</v>
      </c>
      <c r="H595" s="2">
        <v>36526.504479166666</v>
      </c>
      <c r="I595">
        <v>20.5</v>
      </c>
      <c r="J595">
        <v>20.5</v>
      </c>
      <c r="K595" t="s">
        <v>196</v>
      </c>
      <c r="L595" t="s">
        <v>14</v>
      </c>
      <c r="M595" t="s">
        <v>45</v>
      </c>
      <c r="N595" t="s">
        <v>46</v>
      </c>
    </row>
    <row r="596" spans="1:14" x14ac:dyDescent="0.3">
      <c r="A596">
        <v>984</v>
      </c>
      <c r="B596">
        <v>432</v>
      </c>
      <c r="C596">
        <v>0.33333333333333331</v>
      </c>
      <c r="D596" t="s">
        <v>160</v>
      </c>
      <c r="E596">
        <v>1</v>
      </c>
      <c r="F596" s="1">
        <v>42012</v>
      </c>
      <c r="G596" t="s">
        <v>189</v>
      </c>
      <c r="H596" s="2">
        <v>36526.485497685186</v>
      </c>
      <c r="I596">
        <v>12</v>
      </c>
      <c r="J596">
        <v>12</v>
      </c>
      <c r="K596" t="s">
        <v>198</v>
      </c>
      <c r="L596" t="s">
        <v>14</v>
      </c>
      <c r="M596" t="s">
        <v>55</v>
      </c>
      <c r="N596" t="s">
        <v>56</v>
      </c>
    </row>
    <row r="597" spans="1:14" x14ac:dyDescent="0.3">
      <c r="A597">
        <v>983</v>
      </c>
      <c r="B597">
        <v>431</v>
      </c>
      <c r="C597">
        <v>0.25</v>
      </c>
      <c r="D597" t="s">
        <v>142</v>
      </c>
      <c r="E597">
        <v>1</v>
      </c>
      <c r="F597" s="1">
        <v>42012</v>
      </c>
      <c r="G597" t="s">
        <v>189</v>
      </c>
      <c r="H597" s="2">
        <v>36526.470289351855</v>
      </c>
      <c r="I597">
        <v>16.5</v>
      </c>
      <c r="J597">
        <v>16.5</v>
      </c>
      <c r="K597" t="s">
        <v>196</v>
      </c>
      <c r="L597" t="s">
        <v>14</v>
      </c>
      <c r="M597" t="s">
        <v>15</v>
      </c>
      <c r="N597" t="s">
        <v>16</v>
      </c>
    </row>
    <row r="598" spans="1:14" x14ac:dyDescent="0.3">
      <c r="A598">
        <v>980</v>
      </c>
      <c r="B598">
        <v>431</v>
      </c>
      <c r="C598">
        <v>0.25</v>
      </c>
      <c r="D598" t="s">
        <v>84</v>
      </c>
      <c r="E598">
        <v>1</v>
      </c>
      <c r="F598" s="1">
        <v>42012</v>
      </c>
      <c r="G598" t="s">
        <v>189</v>
      </c>
      <c r="H598" s="2">
        <v>36526.470289351855</v>
      </c>
      <c r="I598">
        <v>12</v>
      </c>
      <c r="J598">
        <v>12</v>
      </c>
      <c r="K598" t="s">
        <v>198</v>
      </c>
      <c r="L598" t="s">
        <v>14</v>
      </c>
      <c r="M598" t="s">
        <v>85</v>
      </c>
      <c r="N598" t="s">
        <v>86</v>
      </c>
    </row>
    <row r="599" spans="1:14" x14ac:dyDescent="0.3">
      <c r="A599">
        <v>976</v>
      </c>
      <c r="B599">
        <v>428</v>
      </c>
      <c r="C599">
        <v>0.5</v>
      </c>
      <c r="D599" t="s">
        <v>160</v>
      </c>
      <c r="E599">
        <v>1</v>
      </c>
      <c r="F599" s="1">
        <v>42011</v>
      </c>
      <c r="G599" t="s">
        <v>188</v>
      </c>
      <c r="H599" s="2">
        <v>36526.920138888891</v>
      </c>
      <c r="I599">
        <v>12</v>
      </c>
      <c r="J599">
        <v>12</v>
      </c>
      <c r="K599" t="s">
        <v>198</v>
      </c>
      <c r="L599" t="s">
        <v>14</v>
      </c>
      <c r="M599" t="s">
        <v>55</v>
      </c>
      <c r="N599" t="s">
        <v>56</v>
      </c>
    </row>
    <row r="600" spans="1:14" x14ac:dyDescent="0.3">
      <c r="A600">
        <v>971</v>
      </c>
      <c r="B600">
        <v>426</v>
      </c>
      <c r="C600">
        <v>0.33333333333333331</v>
      </c>
      <c r="D600" t="s">
        <v>17</v>
      </c>
      <c r="E600">
        <v>1</v>
      </c>
      <c r="F600" s="1">
        <v>42011</v>
      </c>
      <c r="G600" t="s">
        <v>188</v>
      </c>
      <c r="H600" s="2">
        <v>36526.851215277777</v>
      </c>
      <c r="I600">
        <v>16</v>
      </c>
      <c r="J600">
        <v>16</v>
      </c>
      <c r="K600" t="s">
        <v>197</v>
      </c>
      <c r="L600" t="s">
        <v>14</v>
      </c>
      <c r="M600" t="s">
        <v>18</v>
      </c>
      <c r="N600" t="s">
        <v>19</v>
      </c>
    </row>
    <row r="601" spans="1:14" x14ac:dyDescent="0.3">
      <c r="A601">
        <v>969</v>
      </c>
      <c r="B601">
        <v>424</v>
      </c>
      <c r="C601">
        <v>1</v>
      </c>
      <c r="D601" t="s">
        <v>119</v>
      </c>
      <c r="E601">
        <v>1</v>
      </c>
      <c r="F601" s="1">
        <v>42011</v>
      </c>
      <c r="G601" t="s">
        <v>188</v>
      </c>
      <c r="H601" s="2">
        <v>36526.834351851852</v>
      </c>
      <c r="I601">
        <v>12.5</v>
      </c>
      <c r="J601">
        <v>12.5</v>
      </c>
      <c r="K601" t="s">
        <v>197</v>
      </c>
      <c r="L601" t="s">
        <v>14</v>
      </c>
      <c r="M601" t="s">
        <v>78</v>
      </c>
      <c r="N601" t="s">
        <v>79</v>
      </c>
    </row>
    <row r="602" spans="1:14" x14ac:dyDescent="0.3">
      <c r="A602">
        <v>960</v>
      </c>
      <c r="B602">
        <v>420</v>
      </c>
      <c r="C602">
        <v>0.5</v>
      </c>
      <c r="D602" t="s">
        <v>143</v>
      </c>
      <c r="E602">
        <v>1</v>
      </c>
      <c r="F602" s="1">
        <v>42011</v>
      </c>
      <c r="G602" t="s">
        <v>188</v>
      </c>
      <c r="H602" s="2">
        <v>36526.794907407406</v>
      </c>
      <c r="I602">
        <v>11</v>
      </c>
      <c r="J602">
        <v>11</v>
      </c>
      <c r="K602" t="s">
        <v>198</v>
      </c>
      <c r="L602" t="s">
        <v>14</v>
      </c>
      <c r="M602" t="s">
        <v>130</v>
      </c>
      <c r="N602" t="s">
        <v>131</v>
      </c>
    </row>
    <row r="603" spans="1:14" x14ac:dyDescent="0.3">
      <c r="A603">
        <v>956</v>
      </c>
      <c r="B603">
        <v>419</v>
      </c>
      <c r="C603">
        <v>0.25</v>
      </c>
      <c r="D603" t="s">
        <v>142</v>
      </c>
      <c r="E603">
        <v>1</v>
      </c>
      <c r="F603" s="1">
        <v>42011</v>
      </c>
      <c r="G603" t="s">
        <v>188</v>
      </c>
      <c r="H603" s="2">
        <v>36526.793414351851</v>
      </c>
      <c r="I603">
        <v>16.5</v>
      </c>
      <c r="J603">
        <v>16.5</v>
      </c>
      <c r="K603" t="s">
        <v>196</v>
      </c>
      <c r="L603" t="s">
        <v>14</v>
      </c>
      <c r="M603" t="s">
        <v>15</v>
      </c>
      <c r="N603" t="s">
        <v>16</v>
      </c>
    </row>
    <row r="604" spans="1:14" x14ac:dyDescent="0.3">
      <c r="A604">
        <v>952</v>
      </c>
      <c r="B604">
        <v>417</v>
      </c>
      <c r="C604">
        <v>1</v>
      </c>
      <c r="D604" t="s">
        <v>126</v>
      </c>
      <c r="E604">
        <v>1</v>
      </c>
      <c r="F604" s="1">
        <v>42011</v>
      </c>
      <c r="G604" t="s">
        <v>188</v>
      </c>
      <c r="H604" s="2">
        <v>36526.767129629632</v>
      </c>
      <c r="I604">
        <v>9.75</v>
      </c>
      <c r="J604">
        <v>9.75</v>
      </c>
      <c r="K604" t="s">
        <v>198</v>
      </c>
      <c r="L604" t="s">
        <v>14</v>
      </c>
      <c r="M604" t="s">
        <v>78</v>
      </c>
      <c r="N604" t="s">
        <v>79</v>
      </c>
    </row>
    <row r="605" spans="1:14" x14ac:dyDescent="0.3">
      <c r="A605">
        <v>947</v>
      </c>
      <c r="B605">
        <v>414</v>
      </c>
      <c r="C605">
        <v>0.33333333333333331</v>
      </c>
      <c r="D605" t="s">
        <v>50</v>
      </c>
      <c r="E605">
        <v>1</v>
      </c>
      <c r="F605" s="1">
        <v>42011</v>
      </c>
      <c r="G605" t="s">
        <v>188</v>
      </c>
      <c r="H605" s="2">
        <v>36526.759282407409</v>
      </c>
      <c r="I605">
        <v>12</v>
      </c>
      <c r="J605">
        <v>12</v>
      </c>
      <c r="K605" t="s">
        <v>198</v>
      </c>
      <c r="L605" t="s">
        <v>14</v>
      </c>
      <c r="M605" t="s">
        <v>18</v>
      </c>
      <c r="N605" t="s">
        <v>19</v>
      </c>
    </row>
    <row r="606" spans="1:14" x14ac:dyDescent="0.3">
      <c r="A606">
        <v>946</v>
      </c>
      <c r="B606">
        <v>413</v>
      </c>
      <c r="C606">
        <v>1</v>
      </c>
      <c r="D606" t="s">
        <v>44</v>
      </c>
      <c r="E606">
        <v>1</v>
      </c>
      <c r="F606" s="1">
        <v>42011</v>
      </c>
      <c r="G606" t="s">
        <v>188</v>
      </c>
      <c r="H606" s="2">
        <v>36526.758009259262</v>
      </c>
      <c r="I606">
        <v>12</v>
      </c>
      <c r="J606">
        <v>12</v>
      </c>
      <c r="K606" t="s">
        <v>198</v>
      </c>
      <c r="L606" t="s">
        <v>14</v>
      </c>
      <c r="M606" t="s">
        <v>45</v>
      </c>
      <c r="N606" t="s">
        <v>46</v>
      </c>
    </row>
    <row r="607" spans="1:14" x14ac:dyDescent="0.3">
      <c r="A607">
        <v>604</v>
      </c>
      <c r="B607">
        <v>267</v>
      </c>
      <c r="C607">
        <v>0.33333333333333331</v>
      </c>
      <c r="D607" t="s">
        <v>93</v>
      </c>
      <c r="E607">
        <v>1</v>
      </c>
      <c r="F607" s="1">
        <v>42009</v>
      </c>
      <c r="G607" t="s">
        <v>186</v>
      </c>
      <c r="H607" s="2">
        <v>36526.567939814813</v>
      </c>
      <c r="I607">
        <v>12</v>
      </c>
      <c r="J607">
        <v>12</v>
      </c>
      <c r="K607" t="s">
        <v>198</v>
      </c>
      <c r="L607" t="s">
        <v>14</v>
      </c>
      <c r="M607" t="s">
        <v>94</v>
      </c>
      <c r="N607" t="s">
        <v>95</v>
      </c>
    </row>
    <row r="608" spans="1:14" x14ac:dyDescent="0.3">
      <c r="A608">
        <v>941</v>
      </c>
      <c r="B608">
        <v>410</v>
      </c>
      <c r="C608">
        <v>0.33333333333333331</v>
      </c>
      <c r="D608" t="s">
        <v>140</v>
      </c>
      <c r="E608">
        <v>1</v>
      </c>
      <c r="F608" s="1">
        <v>42011</v>
      </c>
      <c r="G608" t="s">
        <v>188</v>
      </c>
      <c r="H608" s="2">
        <v>36526.731817129628</v>
      </c>
      <c r="I608">
        <v>25.5</v>
      </c>
      <c r="J608">
        <v>25.5</v>
      </c>
      <c r="K608" t="s">
        <v>199</v>
      </c>
      <c r="L608" t="s">
        <v>14</v>
      </c>
      <c r="M608" t="s">
        <v>45</v>
      </c>
      <c r="N608" t="s">
        <v>46</v>
      </c>
    </row>
    <row r="609" spans="1:14" x14ac:dyDescent="0.3">
      <c r="A609">
        <v>606</v>
      </c>
      <c r="B609">
        <v>268</v>
      </c>
      <c r="C609">
        <v>0.5</v>
      </c>
      <c r="D609" t="s">
        <v>126</v>
      </c>
      <c r="E609">
        <v>1</v>
      </c>
      <c r="F609" s="1">
        <v>42009</v>
      </c>
      <c r="G609" t="s">
        <v>186</v>
      </c>
      <c r="H609" s="2">
        <v>36526.569976851853</v>
      </c>
      <c r="I609">
        <v>9.75</v>
      </c>
      <c r="J609">
        <v>9.75</v>
      </c>
      <c r="K609" t="s">
        <v>198</v>
      </c>
      <c r="L609" t="s">
        <v>14</v>
      </c>
      <c r="M609" t="s">
        <v>78</v>
      </c>
      <c r="N609" t="s">
        <v>79</v>
      </c>
    </row>
    <row r="610" spans="1:14" x14ac:dyDescent="0.3">
      <c r="A610">
        <v>939</v>
      </c>
      <c r="B610">
        <v>410</v>
      </c>
      <c r="C610">
        <v>0.33333333333333331</v>
      </c>
      <c r="D610" t="s">
        <v>84</v>
      </c>
      <c r="E610">
        <v>2</v>
      </c>
      <c r="F610" s="1">
        <v>42011</v>
      </c>
      <c r="G610" t="s">
        <v>188</v>
      </c>
      <c r="H610" s="2">
        <v>36526.731817129628</v>
      </c>
      <c r="I610">
        <v>12</v>
      </c>
      <c r="J610">
        <v>24</v>
      </c>
      <c r="K610" t="s">
        <v>198</v>
      </c>
      <c r="L610" t="s">
        <v>14</v>
      </c>
      <c r="M610" t="s">
        <v>85</v>
      </c>
      <c r="N610" t="s">
        <v>86</v>
      </c>
    </row>
    <row r="611" spans="1:14" x14ac:dyDescent="0.3">
      <c r="A611">
        <v>938</v>
      </c>
      <c r="B611">
        <v>409</v>
      </c>
      <c r="C611">
        <v>1</v>
      </c>
      <c r="D611" t="s">
        <v>77</v>
      </c>
      <c r="E611">
        <v>1</v>
      </c>
      <c r="F611" s="1">
        <v>42011</v>
      </c>
      <c r="G611" t="s">
        <v>188</v>
      </c>
      <c r="H611" s="2">
        <v>36526.7187962963</v>
      </c>
      <c r="I611">
        <v>15.25</v>
      </c>
      <c r="J611">
        <v>15.25</v>
      </c>
      <c r="K611" t="s">
        <v>196</v>
      </c>
      <c r="L611" t="s">
        <v>14</v>
      </c>
      <c r="M611" t="s">
        <v>78</v>
      </c>
      <c r="N611" t="s">
        <v>79</v>
      </c>
    </row>
    <row r="612" spans="1:14" x14ac:dyDescent="0.3">
      <c r="A612">
        <v>935</v>
      </c>
      <c r="B612">
        <v>407</v>
      </c>
      <c r="C612">
        <v>0.33333333333333331</v>
      </c>
      <c r="D612" t="s">
        <v>119</v>
      </c>
      <c r="E612">
        <v>1</v>
      </c>
      <c r="F612" s="1">
        <v>42011</v>
      </c>
      <c r="G612" t="s">
        <v>188</v>
      </c>
      <c r="H612" s="2">
        <v>36526.706041666665</v>
      </c>
      <c r="I612">
        <v>12.5</v>
      </c>
      <c r="J612">
        <v>12.5</v>
      </c>
      <c r="K612" t="s">
        <v>197</v>
      </c>
      <c r="L612" t="s">
        <v>14</v>
      </c>
      <c r="M612" t="s">
        <v>78</v>
      </c>
      <c r="N612" t="s">
        <v>79</v>
      </c>
    </row>
    <row r="613" spans="1:14" x14ac:dyDescent="0.3">
      <c r="A613">
        <v>934</v>
      </c>
      <c r="B613">
        <v>407</v>
      </c>
      <c r="C613">
        <v>0.33333333333333331</v>
      </c>
      <c r="D613" t="s">
        <v>138</v>
      </c>
      <c r="E613">
        <v>1</v>
      </c>
      <c r="F613" s="1">
        <v>42011</v>
      </c>
      <c r="G613" t="s">
        <v>188</v>
      </c>
      <c r="H613" s="2">
        <v>36526.706041666665</v>
      </c>
      <c r="I613">
        <v>20.5</v>
      </c>
      <c r="J613">
        <v>20.5</v>
      </c>
      <c r="K613" t="s">
        <v>196</v>
      </c>
      <c r="L613" t="s">
        <v>14</v>
      </c>
      <c r="M613" t="s">
        <v>18</v>
      </c>
      <c r="N613" t="s">
        <v>19</v>
      </c>
    </row>
    <row r="614" spans="1:14" x14ac:dyDescent="0.3">
      <c r="A614">
        <v>611</v>
      </c>
      <c r="B614">
        <v>271</v>
      </c>
      <c r="C614">
        <v>0.1</v>
      </c>
      <c r="D614" t="s">
        <v>84</v>
      </c>
      <c r="E614">
        <v>1</v>
      </c>
      <c r="F614" s="1">
        <v>42009</v>
      </c>
      <c r="G614" t="s">
        <v>186</v>
      </c>
      <c r="H614" s="2">
        <v>36526.59883101852</v>
      </c>
      <c r="I614">
        <v>12</v>
      </c>
      <c r="J614">
        <v>12</v>
      </c>
      <c r="K614" t="s">
        <v>198</v>
      </c>
      <c r="L614" t="s">
        <v>14</v>
      </c>
      <c r="M614" t="s">
        <v>85</v>
      </c>
      <c r="N614" t="s">
        <v>86</v>
      </c>
    </row>
    <row r="615" spans="1:14" x14ac:dyDescent="0.3">
      <c r="A615">
        <v>931</v>
      </c>
      <c r="B615">
        <v>406</v>
      </c>
      <c r="C615">
        <v>0.33333333333333331</v>
      </c>
      <c r="D615" t="s">
        <v>17</v>
      </c>
      <c r="E615">
        <v>1</v>
      </c>
      <c r="F615" s="1">
        <v>42011</v>
      </c>
      <c r="G615" t="s">
        <v>188</v>
      </c>
      <c r="H615" s="2">
        <v>36526.701956018522</v>
      </c>
      <c r="I615">
        <v>16</v>
      </c>
      <c r="J615">
        <v>16</v>
      </c>
      <c r="K615" t="s">
        <v>197</v>
      </c>
      <c r="L615" t="s">
        <v>14</v>
      </c>
      <c r="M615" t="s">
        <v>18</v>
      </c>
      <c r="N615" t="s">
        <v>19</v>
      </c>
    </row>
    <row r="616" spans="1:14" x14ac:dyDescent="0.3">
      <c r="A616">
        <v>926</v>
      </c>
      <c r="B616">
        <v>403</v>
      </c>
      <c r="C616">
        <v>0.33333333333333331</v>
      </c>
      <c r="D616" t="s">
        <v>138</v>
      </c>
      <c r="E616">
        <v>1</v>
      </c>
      <c r="F616" s="1">
        <v>42011</v>
      </c>
      <c r="G616" t="s">
        <v>188</v>
      </c>
      <c r="H616" s="2">
        <v>36526.684837962966</v>
      </c>
      <c r="I616">
        <v>20.5</v>
      </c>
      <c r="J616">
        <v>20.5</v>
      </c>
      <c r="K616" t="s">
        <v>196</v>
      </c>
      <c r="L616" t="s">
        <v>14</v>
      </c>
      <c r="M616" t="s">
        <v>18</v>
      </c>
      <c r="N616" t="s">
        <v>19</v>
      </c>
    </row>
    <row r="617" spans="1:14" x14ac:dyDescent="0.3">
      <c r="A617">
        <v>920</v>
      </c>
      <c r="B617">
        <v>400</v>
      </c>
      <c r="C617">
        <v>0.5</v>
      </c>
      <c r="D617" t="s">
        <v>119</v>
      </c>
      <c r="E617">
        <v>1</v>
      </c>
      <c r="F617" s="1">
        <v>42011</v>
      </c>
      <c r="G617" t="s">
        <v>188</v>
      </c>
      <c r="H617" s="2">
        <v>36526.66883101852</v>
      </c>
      <c r="I617">
        <v>12.5</v>
      </c>
      <c r="J617">
        <v>12.5</v>
      </c>
      <c r="K617" t="s">
        <v>197</v>
      </c>
      <c r="L617" t="s">
        <v>14</v>
      </c>
      <c r="M617" t="s">
        <v>78</v>
      </c>
      <c r="N617" t="s">
        <v>79</v>
      </c>
    </row>
    <row r="618" spans="1:14" x14ac:dyDescent="0.3">
      <c r="A618">
        <v>615</v>
      </c>
      <c r="B618">
        <v>271</v>
      </c>
      <c r="C618">
        <v>0.1</v>
      </c>
      <c r="D618" t="s">
        <v>17</v>
      </c>
      <c r="E618">
        <v>1</v>
      </c>
      <c r="F618" s="1">
        <v>42009</v>
      </c>
      <c r="G618" t="s">
        <v>186</v>
      </c>
      <c r="H618" s="2">
        <v>36526.59883101852</v>
      </c>
      <c r="I618">
        <v>16</v>
      </c>
      <c r="J618">
        <v>16</v>
      </c>
      <c r="K618" t="s">
        <v>197</v>
      </c>
      <c r="L618" t="s">
        <v>14</v>
      </c>
      <c r="M618" t="s">
        <v>18</v>
      </c>
      <c r="N618" t="s">
        <v>19</v>
      </c>
    </row>
    <row r="619" spans="1:14" x14ac:dyDescent="0.3">
      <c r="A619">
        <v>919</v>
      </c>
      <c r="B619">
        <v>399</v>
      </c>
      <c r="C619">
        <v>0.25</v>
      </c>
      <c r="D619" t="s">
        <v>155</v>
      </c>
      <c r="E619">
        <v>1</v>
      </c>
      <c r="F619" s="1">
        <v>42011</v>
      </c>
      <c r="G619" t="s">
        <v>188</v>
      </c>
      <c r="H619" s="2">
        <v>36526.658206018517</v>
      </c>
      <c r="I619">
        <v>16</v>
      </c>
      <c r="J619">
        <v>16</v>
      </c>
      <c r="K619" t="s">
        <v>197</v>
      </c>
      <c r="L619" t="s">
        <v>14</v>
      </c>
      <c r="M619" t="s">
        <v>45</v>
      </c>
      <c r="N619" t="s">
        <v>46</v>
      </c>
    </row>
    <row r="620" spans="1:14" x14ac:dyDescent="0.3">
      <c r="A620">
        <v>915</v>
      </c>
      <c r="B620">
        <v>398</v>
      </c>
      <c r="C620">
        <v>1</v>
      </c>
      <c r="D620" t="s">
        <v>126</v>
      </c>
      <c r="E620">
        <v>1</v>
      </c>
      <c r="F620" s="1">
        <v>42011</v>
      </c>
      <c r="G620" t="s">
        <v>188</v>
      </c>
      <c r="H620" s="2">
        <v>36526.622523148151</v>
      </c>
      <c r="I620">
        <v>9.75</v>
      </c>
      <c r="J620">
        <v>9.75</v>
      </c>
      <c r="K620" t="s">
        <v>198</v>
      </c>
      <c r="L620" t="s">
        <v>14</v>
      </c>
      <c r="M620" t="s">
        <v>78</v>
      </c>
      <c r="N620" t="s">
        <v>79</v>
      </c>
    </row>
    <row r="621" spans="1:14" x14ac:dyDescent="0.3">
      <c r="A621">
        <v>914</v>
      </c>
      <c r="B621">
        <v>397</v>
      </c>
      <c r="C621">
        <v>0.33333333333333331</v>
      </c>
      <c r="D621" t="s">
        <v>119</v>
      </c>
      <c r="E621">
        <v>1</v>
      </c>
      <c r="F621" s="1">
        <v>42011</v>
      </c>
      <c r="G621" t="s">
        <v>188</v>
      </c>
      <c r="H621" s="2">
        <v>36526.60497685185</v>
      </c>
      <c r="I621">
        <v>12.5</v>
      </c>
      <c r="J621">
        <v>12.5</v>
      </c>
      <c r="K621" t="s">
        <v>197</v>
      </c>
      <c r="L621" t="s">
        <v>14</v>
      </c>
      <c r="M621" t="s">
        <v>78</v>
      </c>
      <c r="N621" t="s">
        <v>79</v>
      </c>
    </row>
    <row r="622" spans="1:14" x14ac:dyDescent="0.3">
      <c r="A622">
        <v>913</v>
      </c>
      <c r="B622">
        <v>397</v>
      </c>
      <c r="C622">
        <v>0.33333333333333331</v>
      </c>
      <c r="D622" t="s">
        <v>142</v>
      </c>
      <c r="E622">
        <v>1</v>
      </c>
      <c r="F622" s="1">
        <v>42011</v>
      </c>
      <c r="G622" t="s">
        <v>188</v>
      </c>
      <c r="H622" s="2">
        <v>36526.60497685185</v>
      </c>
      <c r="I622">
        <v>16.5</v>
      </c>
      <c r="J622">
        <v>16.5</v>
      </c>
      <c r="K622" t="s">
        <v>196</v>
      </c>
      <c r="L622" t="s">
        <v>14</v>
      </c>
      <c r="M622" t="s">
        <v>15</v>
      </c>
      <c r="N622" t="s">
        <v>16</v>
      </c>
    </row>
    <row r="623" spans="1:14" x14ac:dyDescent="0.3">
      <c r="A623">
        <v>620</v>
      </c>
      <c r="B623">
        <v>271</v>
      </c>
      <c r="C623">
        <v>0.1</v>
      </c>
      <c r="D623" t="s">
        <v>44</v>
      </c>
      <c r="E623">
        <v>1</v>
      </c>
      <c r="F623" s="1">
        <v>42009</v>
      </c>
      <c r="G623" t="s">
        <v>186</v>
      </c>
      <c r="H623" s="2">
        <v>36526.59883101852</v>
      </c>
      <c r="I623">
        <v>12</v>
      </c>
      <c r="J623">
        <v>12</v>
      </c>
      <c r="K623" t="s">
        <v>198</v>
      </c>
      <c r="L623" t="s">
        <v>14</v>
      </c>
      <c r="M623" t="s">
        <v>45</v>
      </c>
      <c r="N623" t="s">
        <v>46</v>
      </c>
    </row>
    <row r="624" spans="1:14" x14ac:dyDescent="0.3">
      <c r="A624">
        <v>910</v>
      </c>
      <c r="B624">
        <v>395</v>
      </c>
      <c r="C624">
        <v>1</v>
      </c>
      <c r="D624" t="s">
        <v>163</v>
      </c>
      <c r="E624">
        <v>1</v>
      </c>
      <c r="F624" s="1">
        <v>42011</v>
      </c>
      <c r="G624" t="s">
        <v>188</v>
      </c>
      <c r="H624" s="2">
        <v>36526.591064814813</v>
      </c>
      <c r="I624">
        <v>16</v>
      </c>
      <c r="J624">
        <v>16</v>
      </c>
      <c r="K624" t="s">
        <v>197</v>
      </c>
      <c r="L624" t="s">
        <v>14</v>
      </c>
      <c r="M624" t="s">
        <v>94</v>
      </c>
      <c r="N624" t="s">
        <v>95</v>
      </c>
    </row>
    <row r="625" spans="1:14" x14ac:dyDescent="0.3">
      <c r="A625">
        <v>904</v>
      </c>
      <c r="B625">
        <v>394</v>
      </c>
      <c r="C625">
        <v>8.3333333333333329E-2</v>
      </c>
      <c r="D625" t="s">
        <v>126</v>
      </c>
      <c r="E625">
        <v>1</v>
      </c>
      <c r="F625" s="1">
        <v>42011</v>
      </c>
      <c r="G625" t="s">
        <v>188</v>
      </c>
      <c r="H625" s="2">
        <v>36526.584930555553</v>
      </c>
      <c r="I625">
        <v>9.75</v>
      </c>
      <c r="J625">
        <v>9.75</v>
      </c>
      <c r="K625" t="s">
        <v>198</v>
      </c>
      <c r="L625" t="s">
        <v>14</v>
      </c>
      <c r="M625" t="s">
        <v>78</v>
      </c>
      <c r="N625" t="s">
        <v>79</v>
      </c>
    </row>
    <row r="626" spans="1:14" x14ac:dyDescent="0.3">
      <c r="A626">
        <v>903</v>
      </c>
      <c r="B626">
        <v>394</v>
      </c>
      <c r="C626">
        <v>8.3333333333333329E-2</v>
      </c>
      <c r="D626" t="s">
        <v>119</v>
      </c>
      <c r="E626">
        <v>3</v>
      </c>
      <c r="F626" s="1">
        <v>42011</v>
      </c>
      <c r="G626" t="s">
        <v>188</v>
      </c>
      <c r="H626" s="2">
        <v>36526.584930555553</v>
      </c>
      <c r="I626">
        <v>12.5</v>
      </c>
      <c r="J626">
        <v>37.5</v>
      </c>
      <c r="K626" t="s">
        <v>197</v>
      </c>
      <c r="L626" t="s">
        <v>14</v>
      </c>
      <c r="M626" t="s">
        <v>78</v>
      </c>
      <c r="N626" t="s">
        <v>79</v>
      </c>
    </row>
    <row r="627" spans="1:14" x14ac:dyDescent="0.3">
      <c r="A627">
        <v>902</v>
      </c>
      <c r="B627">
        <v>394</v>
      </c>
      <c r="C627">
        <v>8.3333333333333329E-2</v>
      </c>
      <c r="D627" t="s">
        <v>129</v>
      </c>
      <c r="E627">
        <v>1</v>
      </c>
      <c r="F627" s="1">
        <v>42011</v>
      </c>
      <c r="G627" t="s">
        <v>188</v>
      </c>
      <c r="H627" s="2">
        <v>36526.584930555553</v>
      </c>
      <c r="I627">
        <v>17.5</v>
      </c>
      <c r="J627">
        <v>17.5</v>
      </c>
      <c r="K627" t="s">
        <v>196</v>
      </c>
      <c r="L627" t="s">
        <v>14</v>
      </c>
      <c r="M627" t="s">
        <v>130</v>
      </c>
      <c r="N627" t="s">
        <v>131</v>
      </c>
    </row>
    <row r="628" spans="1:14" x14ac:dyDescent="0.3">
      <c r="A628">
        <v>625</v>
      </c>
      <c r="B628">
        <v>275</v>
      </c>
      <c r="C628">
        <v>0.25</v>
      </c>
      <c r="D628" t="s">
        <v>138</v>
      </c>
      <c r="E628">
        <v>1</v>
      </c>
      <c r="F628" s="1">
        <v>42009</v>
      </c>
      <c r="G628" t="s">
        <v>186</v>
      </c>
      <c r="H628" s="2">
        <v>36526.609884259262</v>
      </c>
      <c r="I628">
        <v>20.5</v>
      </c>
      <c r="J628">
        <v>20.5</v>
      </c>
      <c r="K628" t="s">
        <v>196</v>
      </c>
      <c r="L628" t="s">
        <v>14</v>
      </c>
      <c r="M628" t="s">
        <v>18</v>
      </c>
      <c r="N628" t="s">
        <v>19</v>
      </c>
    </row>
    <row r="629" spans="1:14" x14ac:dyDescent="0.3">
      <c r="A629">
        <v>901</v>
      </c>
      <c r="B629">
        <v>394</v>
      </c>
      <c r="C629">
        <v>8.3333333333333329E-2</v>
      </c>
      <c r="D629" t="s">
        <v>132</v>
      </c>
      <c r="E629">
        <v>1</v>
      </c>
      <c r="F629" s="1">
        <v>42011</v>
      </c>
      <c r="G629" t="s">
        <v>188</v>
      </c>
      <c r="H629" s="2">
        <v>36526.584930555553</v>
      </c>
      <c r="I629">
        <v>10.5</v>
      </c>
      <c r="J629">
        <v>10.5</v>
      </c>
      <c r="K629" t="s">
        <v>198</v>
      </c>
      <c r="L629" t="s">
        <v>14</v>
      </c>
      <c r="M629" t="s">
        <v>15</v>
      </c>
      <c r="N629" t="s">
        <v>16</v>
      </c>
    </row>
    <row r="630" spans="1:14" x14ac:dyDescent="0.3">
      <c r="A630">
        <v>627</v>
      </c>
      <c r="B630">
        <v>275</v>
      </c>
      <c r="C630">
        <v>0.25</v>
      </c>
      <c r="D630" t="s">
        <v>126</v>
      </c>
      <c r="E630">
        <v>1</v>
      </c>
      <c r="F630" s="1">
        <v>42009</v>
      </c>
      <c r="G630" t="s">
        <v>186</v>
      </c>
      <c r="H630" s="2">
        <v>36526.609884259262</v>
      </c>
      <c r="I630">
        <v>9.75</v>
      </c>
      <c r="J630">
        <v>9.75</v>
      </c>
      <c r="K630" t="s">
        <v>198</v>
      </c>
      <c r="L630" t="s">
        <v>14</v>
      </c>
      <c r="M630" t="s">
        <v>78</v>
      </c>
      <c r="N630" t="s">
        <v>79</v>
      </c>
    </row>
    <row r="631" spans="1:14" x14ac:dyDescent="0.3">
      <c r="A631">
        <v>900</v>
      </c>
      <c r="B631">
        <v>394</v>
      </c>
      <c r="C631">
        <v>8.3333333333333329E-2</v>
      </c>
      <c r="D631" t="s">
        <v>142</v>
      </c>
      <c r="E631">
        <v>1</v>
      </c>
      <c r="F631" s="1">
        <v>42011</v>
      </c>
      <c r="G631" t="s">
        <v>188</v>
      </c>
      <c r="H631" s="2">
        <v>36526.584930555553</v>
      </c>
      <c r="I631">
        <v>16.5</v>
      </c>
      <c r="J631">
        <v>16.5</v>
      </c>
      <c r="K631" t="s">
        <v>196</v>
      </c>
      <c r="L631" t="s">
        <v>14</v>
      </c>
      <c r="M631" t="s">
        <v>15</v>
      </c>
      <c r="N631" t="s">
        <v>16</v>
      </c>
    </row>
    <row r="632" spans="1:14" x14ac:dyDescent="0.3">
      <c r="A632">
        <v>898</v>
      </c>
      <c r="B632">
        <v>394</v>
      </c>
      <c r="C632">
        <v>8.3333333333333329E-2</v>
      </c>
      <c r="D632" t="s">
        <v>84</v>
      </c>
      <c r="E632">
        <v>1</v>
      </c>
      <c r="F632" s="1">
        <v>42011</v>
      </c>
      <c r="G632" t="s">
        <v>188</v>
      </c>
      <c r="H632" s="2">
        <v>36526.584930555553</v>
      </c>
      <c r="I632">
        <v>12</v>
      </c>
      <c r="J632">
        <v>12</v>
      </c>
      <c r="K632" t="s">
        <v>198</v>
      </c>
      <c r="L632" t="s">
        <v>14</v>
      </c>
      <c r="M632" t="s">
        <v>85</v>
      </c>
      <c r="N632" t="s">
        <v>86</v>
      </c>
    </row>
    <row r="633" spans="1:14" x14ac:dyDescent="0.3">
      <c r="A633">
        <v>897</v>
      </c>
      <c r="B633">
        <v>393</v>
      </c>
      <c r="C633">
        <v>0.5</v>
      </c>
      <c r="D633" t="s">
        <v>142</v>
      </c>
      <c r="E633">
        <v>1</v>
      </c>
      <c r="F633" s="1">
        <v>42011</v>
      </c>
      <c r="G633" t="s">
        <v>188</v>
      </c>
      <c r="H633" s="2">
        <v>36526.575358796297</v>
      </c>
      <c r="I633">
        <v>16.5</v>
      </c>
      <c r="J633">
        <v>16.5</v>
      </c>
      <c r="K633" t="s">
        <v>196</v>
      </c>
      <c r="L633" t="s">
        <v>14</v>
      </c>
      <c r="M633" t="s">
        <v>15</v>
      </c>
      <c r="N633" t="s">
        <v>16</v>
      </c>
    </row>
    <row r="634" spans="1:14" x14ac:dyDescent="0.3">
      <c r="A634">
        <v>891</v>
      </c>
      <c r="B634">
        <v>392</v>
      </c>
      <c r="C634">
        <v>0.125</v>
      </c>
      <c r="D634" t="s">
        <v>126</v>
      </c>
      <c r="E634">
        <v>2</v>
      </c>
      <c r="F634" s="1">
        <v>42011</v>
      </c>
      <c r="G634" t="s">
        <v>188</v>
      </c>
      <c r="H634" s="2">
        <v>36526.567210648151</v>
      </c>
      <c r="I634">
        <v>9.75</v>
      </c>
      <c r="J634">
        <v>19.5</v>
      </c>
      <c r="K634" t="s">
        <v>198</v>
      </c>
      <c r="L634" t="s">
        <v>14</v>
      </c>
      <c r="M634" t="s">
        <v>78</v>
      </c>
      <c r="N634" t="s">
        <v>79</v>
      </c>
    </row>
    <row r="635" spans="1:14" x14ac:dyDescent="0.3">
      <c r="A635">
        <v>888</v>
      </c>
      <c r="B635">
        <v>392</v>
      </c>
      <c r="C635">
        <v>0.125</v>
      </c>
      <c r="D635" t="s">
        <v>84</v>
      </c>
      <c r="E635">
        <v>1</v>
      </c>
      <c r="F635" s="1">
        <v>42011</v>
      </c>
      <c r="G635" t="s">
        <v>188</v>
      </c>
      <c r="H635" s="2">
        <v>36526.567210648151</v>
      </c>
      <c r="I635">
        <v>12</v>
      </c>
      <c r="J635">
        <v>12</v>
      </c>
      <c r="K635" t="s">
        <v>198</v>
      </c>
      <c r="L635" t="s">
        <v>14</v>
      </c>
      <c r="M635" t="s">
        <v>85</v>
      </c>
      <c r="N635" t="s">
        <v>86</v>
      </c>
    </row>
    <row r="636" spans="1:14" x14ac:dyDescent="0.3">
      <c r="A636">
        <v>887</v>
      </c>
      <c r="B636">
        <v>391</v>
      </c>
      <c r="C636">
        <v>1</v>
      </c>
      <c r="D636" t="s">
        <v>155</v>
      </c>
      <c r="E636">
        <v>1</v>
      </c>
      <c r="F636" s="1">
        <v>42011</v>
      </c>
      <c r="G636" t="s">
        <v>188</v>
      </c>
      <c r="H636" s="2">
        <v>36526.559386574074</v>
      </c>
      <c r="I636">
        <v>16</v>
      </c>
      <c r="J636">
        <v>16</v>
      </c>
      <c r="K636" t="s">
        <v>197</v>
      </c>
      <c r="L636" t="s">
        <v>14</v>
      </c>
      <c r="M636" t="s">
        <v>45</v>
      </c>
      <c r="N636" t="s">
        <v>46</v>
      </c>
    </row>
    <row r="637" spans="1:14" x14ac:dyDescent="0.3">
      <c r="A637">
        <v>886</v>
      </c>
      <c r="B637">
        <v>390</v>
      </c>
      <c r="C637">
        <v>1</v>
      </c>
      <c r="D637" t="s">
        <v>129</v>
      </c>
      <c r="E637">
        <v>1</v>
      </c>
      <c r="F637" s="1">
        <v>42011</v>
      </c>
      <c r="G637" t="s">
        <v>188</v>
      </c>
      <c r="H637" s="2">
        <v>36526.552453703705</v>
      </c>
      <c r="I637">
        <v>17.5</v>
      </c>
      <c r="J637">
        <v>17.5</v>
      </c>
      <c r="K637" t="s">
        <v>196</v>
      </c>
      <c r="L637" t="s">
        <v>14</v>
      </c>
      <c r="M637" t="s">
        <v>130</v>
      </c>
      <c r="N637" t="s">
        <v>131</v>
      </c>
    </row>
    <row r="638" spans="1:14" x14ac:dyDescent="0.3">
      <c r="A638">
        <v>878</v>
      </c>
      <c r="B638">
        <v>387</v>
      </c>
      <c r="C638">
        <v>0.14285714285714285</v>
      </c>
      <c r="D638" t="s">
        <v>126</v>
      </c>
      <c r="E638">
        <v>1</v>
      </c>
      <c r="F638" s="1">
        <v>42011</v>
      </c>
      <c r="G638" t="s">
        <v>188</v>
      </c>
      <c r="H638" s="2">
        <v>36526.543912037036</v>
      </c>
      <c r="I638">
        <v>9.75</v>
      </c>
      <c r="J638">
        <v>9.75</v>
      </c>
      <c r="K638" t="s">
        <v>198</v>
      </c>
      <c r="L638" t="s">
        <v>14</v>
      </c>
      <c r="M638" t="s">
        <v>78</v>
      </c>
      <c r="N638" t="s">
        <v>79</v>
      </c>
    </row>
    <row r="639" spans="1:14" x14ac:dyDescent="0.3">
      <c r="A639">
        <v>875</v>
      </c>
      <c r="B639">
        <v>387</v>
      </c>
      <c r="C639">
        <v>0.14285714285714285</v>
      </c>
      <c r="D639" t="s">
        <v>84</v>
      </c>
      <c r="E639">
        <v>1</v>
      </c>
      <c r="F639" s="1">
        <v>42011</v>
      </c>
      <c r="G639" t="s">
        <v>188</v>
      </c>
      <c r="H639" s="2">
        <v>36526.543912037036</v>
      </c>
      <c r="I639">
        <v>12</v>
      </c>
      <c r="J639">
        <v>12</v>
      </c>
      <c r="K639" t="s">
        <v>198</v>
      </c>
      <c r="L639" t="s">
        <v>14</v>
      </c>
      <c r="M639" t="s">
        <v>85</v>
      </c>
      <c r="N639" t="s">
        <v>86</v>
      </c>
    </row>
    <row r="640" spans="1:14" x14ac:dyDescent="0.3">
      <c r="A640">
        <v>869</v>
      </c>
      <c r="B640">
        <v>384</v>
      </c>
      <c r="C640">
        <v>0.25</v>
      </c>
      <c r="D640" t="s">
        <v>44</v>
      </c>
      <c r="E640">
        <v>1</v>
      </c>
      <c r="F640" s="1">
        <v>42011</v>
      </c>
      <c r="G640" t="s">
        <v>188</v>
      </c>
      <c r="H640" s="2">
        <v>36526.535949074074</v>
      </c>
      <c r="I640">
        <v>12</v>
      </c>
      <c r="J640">
        <v>12</v>
      </c>
      <c r="K640" t="s">
        <v>198</v>
      </c>
      <c r="L640" t="s">
        <v>14</v>
      </c>
      <c r="M640" t="s">
        <v>45</v>
      </c>
      <c r="N640" t="s">
        <v>46</v>
      </c>
    </row>
    <row r="641" spans="1:14" x14ac:dyDescent="0.3">
      <c r="A641">
        <v>867</v>
      </c>
      <c r="B641">
        <v>384</v>
      </c>
      <c r="C641">
        <v>0.25</v>
      </c>
      <c r="D641" t="s">
        <v>116</v>
      </c>
      <c r="E641">
        <v>1</v>
      </c>
      <c r="F641" s="1">
        <v>42011</v>
      </c>
      <c r="G641" t="s">
        <v>188</v>
      </c>
      <c r="H641" s="2">
        <v>36526.535949074074</v>
      </c>
      <c r="I641">
        <v>16</v>
      </c>
      <c r="J641">
        <v>16</v>
      </c>
      <c r="K641" t="s">
        <v>197</v>
      </c>
      <c r="L641" t="s">
        <v>14</v>
      </c>
      <c r="M641" t="s">
        <v>55</v>
      </c>
      <c r="N641" t="s">
        <v>56</v>
      </c>
    </row>
    <row r="642" spans="1:14" x14ac:dyDescent="0.3">
      <c r="A642">
        <v>639</v>
      </c>
      <c r="B642">
        <v>282</v>
      </c>
      <c r="C642">
        <v>0.25</v>
      </c>
      <c r="D642" t="s">
        <v>50</v>
      </c>
      <c r="E642">
        <v>1</v>
      </c>
      <c r="F642" s="1">
        <v>42009</v>
      </c>
      <c r="G642" t="s">
        <v>186</v>
      </c>
      <c r="H642" s="2">
        <v>36526.70113425926</v>
      </c>
      <c r="I642">
        <v>12</v>
      </c>
      <c r="J642">
        <v>12</v>
      </c>
      <c r="K642" t="s">
        <v>198</v>
      </c>
      <c r="L642" t="s">
        <v>14</v>
      </c>
      <c r="M642" t="s">
        <v>18</v>
      </c>
      <c r="N642" t="s">
        <v>19</v>
      </c>
    </row>
    <row r="643" spans="1:14" x14ac:dyDescent="0.3">
      <c r="A643">
        <v>866</v>
      </c>
      <c r="B643">
        <v>384</v>
      </c>
      <c r="C643">
        <v>0.25</v>
      </c>
      <c r="D643" t="s">
        <v>132</v>
      </c>
      <c r="E643">
        <v>1</v>
      </c>
      <c r="F643" s="1">
        <v>42011</v>
      </c>
      <c r="G643" t="s">
        <v>188</v>
      </c>
      <c r="H643" s="2">
        <v>36526.535949074074</v>
      </c>
      <c r="I643">
        <v>10.5</v>
      </c>
      <c r="J643">
        <v>10.5</v>
      </c>
      <c r="K643" t="s">
        <v>198</v>
      </c>
      <c r="L643" t="s">
        <v>14</v>
      </c>
      <c r="M643" t="s">
        <v>15</v>
      </c>
      <c r="N643" t="s">
        <v>16</v>
      </c>
    </row>
    <row r="644" spans="1:14" x14ac:dyDescent="0.3">
      <c r="A644">
        <v>856</v>
      </c>
      <c r="B644">
        <v>377</v>
      </c>
      <c r="C644">
        <v>0.5</v>
      </c>
      <c r="D644" t="s">
        <v>12</v>
      </c>
      <c r="E644">
        <v>1</v>
      </c>
      <c r="F644" s="1">
        <v>42011</v>
      </c>
      <c r="G644" t="s">
        <v>188</v>
      </c>
      <c r="H644" s="2">
        <v>36526.502291666664</v>
      </c>
      <c r="I644">
        <v>13.25</v>
      </c>
      <c r="J644">
        <v>13.25</v>
      </c>
      <c r="K644" t="s">
        <v>197</v>
      </c>
      <c r="L644" t="s">
        <v>14</v>
      </c>
      <c r="M644" t="s">
        <v>15</v>
      </c>
      <c r="N644" t="s">
        <v>16</v>
      </c>
    </row>
    <row r="645" spans="1:14" x14ac:dyDescent="0.3">
      <c r="A645">
        <v>854</v>
      </c>
      <c r="B645">
        <v>376</v>
      </c>
      <c r="C645">
        <v>0.5</v>
      </c>
      <c r="D645" t="s">
        <v>140</v>
      </c>
      <c r="E645">
        <v>1</v>
      </c>
      <c r="F645" s="1">
        <v>42011</v>
      </c>
      <c r="G645" t="s">
        <v>188</v>
      </c>
      <c r="H645" s="2">
        <v>36526.500891203701</v>
      </c>
      <c r="I645">
        <v>25.5</v>
      </c>
      <c r="J645">
        <v>25.5</v>
      </c>
      <c r="K645" t="s">
        <v>199</v>
      </c>
      <c r="L645" t="s">
        <v>14</v>
      </c>
      <c r="M645" t="s">
        <v>45</v>
      </c>
      <c r="N645" t="s">
        <v>46</v>
      </c>
    </row>
    <row r="646" spans="1:14" x14ac:dyDescent="0.3">
      <c r="A646">
        <v>643</v>
      </c>
      <c r="B646">
        <v>283</v>
      </c>
      <c r="C646">
        <v>1</v>
      </c>
      <c r="D646" t="s">
        <v>163</v>
      </c>
      <c r="E646">
        <v>1</v>
      </c>
      <c r="F646" s="1">
        <v>42009</v>
      </c>
      <c r="G646" t="s">
        <v>186</v>
      </c>
      <c r="H646" s="2">
        <v>36526.702581018515</v>
      </c>
      <c r="I646">
        <v>16</v>
      </c>
      <c r="J646">
        <v>16</v>
      </c>
      <c r="K646" t="s">
        <v>197</v>
      </c>
      <c r="L646" t="s">
        <v>14</v>
      </c>
      <c r="M646" t="s">
        <v>94</v>
      </c>
      <c r="N646" t="s">
        <v>95</v>
      </c>
    </row>
    <row r="647" spans="1:14" x14ac:dyDescent="0.3">
      <c r="A647">
        <v>850</v>
      </c>
      <c r="B647">
        <v>374</v>
      </c>
      <c r="C647">
        <v>0.33333333333333331</v>
      </c>
      <c r="D647" t="s">
        <v>84</v>
      </c>
      <c r="E647">
        <v>1</v>
      </c>
      <c r="F647" s="1">
        <v>42011</v>
      </c>
      <c r="G647" t="s">
        <v>188</v>
      </c>
      <c r="H647" s="2">
        <v>36526.497210648151</v>
      </c>
      <c r="I647">
        <v>12</v>
      </c>
      <c r="J647">
        <v>12</v>
      </c>
      <c r="K647" t="s">
        <v>198</v>
      </c>
      <c r="L647" t="s">
        <v>14</v>
      </c>
      <c r="M647" t="s">
        <v>85</v>
      </c>
      <c r="N647" t="s">
        <v>86</v>
      </c>
    </row>
    <row r="648" spans="1:14" x14ac:dyDescent="0.3">
      <c r="A648">
        <v>645</v>
      </c>
      <c r="B648">
        <v>284</v>
      </c>
      <c r="C648">
        <v>0.33333333333333331</v>
      </c>
      <c r="D648" t="s">
        <v>132</v>
      </c>
      <c r="E648">
        <v>1</v>
      </c>
      <c r="F648" s="1">
        <v>42009</v>
      </c>
      <c r="G648" t="s">
        <v>186</v>
      </c>
      <c r="H648" s="2">
        <v>36526.707129629627</v>
      </c>
      <c r="I648">
        <v>10.5</v>
      </c>
      <c r="J648">
        <v>10.5</v>
      </c>
      <c r="K648" t="s">
        <v>198</v>
      </c>
      <c r="L648" t="s">
        <v>14</v>
      </c>
      <c r="M648" t="s">
        <v>15</v>
      </c>
      <c r="N648" t="s">
        <v>16</v>
      </c>
    </row>
    <row r="649" spans="1:14" x14ac:dyDescent="0.3">
      <c r="A649">
        <v>646</v>
      </c>
      <c r="B649">
        <v>284</v>
      </c>
      <c r="C649">
        <v>0.33333333333333331</v>
      </c>
      <c r="D649" t="s">
        <v>163</v>
      </c>
      <c r="E649">
        <v>1</v>
      </c>
      <c r="F649" s="1">
        <v>42009</v>
      </c>
      <c r="G649" t="s">
        <v>186</v>
      </c>
      <c r="H649" s="2">
        <v>36526.707129629627</v>
      </c>
      <c r="I649">
        <v>16</v>
      </c>
      <c r="J649">
        <v>16</v>
      </c>
      <c r="K649" t="s">
        <v>197</v>
      </c>
      <c r="L649" t="s">
        <v>14</v>
      </c>
      <c r="M649" t="s">
        <v>94</v>
      </c>
      <c r="N649" t="s">
        <v>95</v>
      </c>
    </row>
    <row r="650" spans="1:14" x14ac:dyDescent="0.3">
      <c r="A650">
        <v>848</v>
      </c>
      <c r="B650">
        <v>373</v>
      </c>
      <c r="C650">
        <v>0.33333333333333331</v>
      </c>
      <c r="D650" t="s">
        <v>17</v>
      </c>
      <c r="E650">
        <v>1</v>
      </c>
      <c r="F650" s="1">
        <v>42011</v>
      </c>
      <c r="G650" t="s">
        <v>188</v>
      </c>
      <c r="H650" s="2">
        <v>36526.489791666667</v>
      </c>
      <c r="I650">
        <v>16</v>
      </c>
      <c r="J650">
        <v>16</v>
      </c>
      <c r="K650" t="s">
        <v>197</v>
      </c>
      <c r="L650" t="s">
        <v>14</v>
      </c>
      <c r="M650" t="s">
        <v>18</v>
      </c>
      <c r="N650" t="s">
        <v>19</v>
      </c>
    </row>
    <row r="651" spans="1:14" x14ac:dyDescent="0.3">
      <c r="A651">
        <v>845</v>
      </c>
      <c r="B651">
        <v>371</v>
      </c>
      <c r="C651">
        <v>1</v>
      </c>
      <c r="D651" t="s">
        <v>119</v>
      </c>
      <c r="E651">
        <v>1</v>
      </c>
      <c r="F651" s="1">
        <v>42010</v>
      </c>
      <c r="G651" t="s">
        <v>187</v>
      </c>
      <c r="H651" s="2">
        <v>36526.885648148149</v>
      </c>
      <c r="I651">
        <v>12.5</v>
      </c>
      <c r="J651">
        <v>12.5</v>
      </c>
      <c r="K651" t="s">
        <v>197</v>
      </c>
      <c r="L651" t="s">
        <v>14</v>
      </c>
      <c r="M651" t="s">
        <v>78</v>
      </c>
      <c r="N651" t="s">
        <v>79</v>
      </c>
    </row>
    <row r="652" spans="1:14" x14ac:dyDescent="0.3">
      <c r="A652">
        <v>844</v>
      </c>
      <c r="B652">
        <v>370</v>
      </c>
      <c r="C652">
        <v>0.5</v>
      </c>
      <c r="D652" t="s">
        <v>132</v>
      </c>
      <c r="E652">
        <v>1</v>
      </c>
      <c r="F652" s="1">
        <v>42010</v>
      </c>
      <c r="G652" t="s">
        <v>187</v>
      </c>
      <c r="H652" s="2">
        <v>36526.876736111109</v>
      </c>
      <c r="I652">
        <v>10.5</v>
      </c>
      <c r="J652">
        <v>10.5</v>
      </c>
      <c r="K652" t="s">
        <v>198</v>
      </c>
      <c r="L652" t="s">
        <v>14</v>
      </c>
      <c r="M652" t="s">
        <v>15</v>
      </c>
      <c r="N652" t="s">
        <v>16</v>
      </c>
    </row>
    <row r="653" spans="1:14" x14ac:dyDescent="0.3">
      <c r="A653">
        <v>838</v>
      </c>
      <c r="B653">
        <v>367</v>
      </c>
      <c r="C653">
        <v>0.5</v>
      </c>
      <c r="D653" t="s">
        <v>142</v>
      </c>
      <c r="E653">
        <v>1</v>
      </c>
      <c r="F653" s="1">
        <v>42010</v>
      </c>
      <c r="G653" t="s">
        <v>187</v>
      </c>
      <c r="H653" s="2">
        <v>36526.836944444447</v>
      </c>
      <c r="I653">
        <v>16.5</v>
      </c>
      <c r="J653">
        <v>16.5</v>
      </c>
      <c r="K653" t="s">
        <v>196</v>
      </c>
      <c r="L653" t="s">
        <v>14</v>
      </c>
      <c r="M653" t="s">
        <v>15</v>
      </c>
      <c r="N653" t="s">
        <v>16</v>
      </c>
    </row>
    <row r="654" spans="1:14" x14ac:dyDescent="0.3">
      <c r="A654">
        <v>651</v>
      </c>
      <c r="B654">
        <v>287</v>
      </c>
      <c r="C654">
        <v>0.25</v>
      </c>
      <c r="D654" t="s">
        <v>148</v>
      </c>
      <c r="E654">
        <v>1</v>
      </c>
      <c r="F654" s="1">
        <v>42009</v>
      </c>
      <c r="G654" t="s">
        <v>186</v>
      </c>
      <c r="H654" s="2">
        <v>36526.729270833333</v>
      </c>
      <c r="I654">
        <v>14.5</v>
      </c>
      <c r="J654">
        <v>14.5</v>
      </c>
      <c r="K654" t="s">
        <v>197</v>
      </c>
      <c r="L654" t="s">
        <v>14</v>
      </c>
      <c r="M654" t="s">
        <v>130</v>
      </c>
      <c r="N654" t="s">
        <v>131</v>
      </c>
    </row>
    <row r="655" spans="1:14" x14ac:dyDescent="0.3">
      <c r="A655">
        <v>652</v>
      </c>
      <c r="B655">
        <v>287</v>
      </c>
      <c r="C655">
        <v>0.25</v>
      </c>
      <c r="D655" t="s">
        <v>119</v>
      </c>
      <c r="E655">
        <v>1</v>
      </c>
      <c r="F655" s="1">
        <v>42009</v>
      </c>
      <c r="G655" t="s">
        <v>186</v>
      </c>
      <c r="H655" s="2">
        <v>36526.729270833333</v>
      </c>
      <c r="I655">
        <v>12.5</v>
      </c>
      <c r="J655">
        <v>12.5</v>
      </c>
      <c r="K655" t="s">
        <v>197</v>
      </c>
      <c r="L655" t="s">
        <v>14</v>
      </c>
      <c r="M655" t="s">
        <v>78</v>
      </c>
      <c r="N655" t="s">
        <v>79</v>
      </c>
    </row>
    <row r="656" spans="1:14" x14ac:dyDescent="0.3">
      <c r="A656">
        <v>837</v>
      </c>
      <c r="B656">
        <v>366</v>
      </c>
      <c r="C656">
        <v>1</v>
      </c>
      <c r="D656" t="s">
        <v>54</v>
      </c>
      <c r="E656">
        <v>1</v>
      </c>
      <c r="F656" s="1">
        <v>42010</v>
      </c>
      <c r="G656" t="s">
        <v>187</v>
      </c>
      <c r="H656" s="2">
        <v>36526.836342592593</v>
      </c>
      <c r="I656">
        <v>20.5</v>
      </c>
      <c r="J656">
        <v>20.5</v>
      </c>
      <c r="K656" t="s">
        <v>196</v>
      </c>
      <c r="L656" t="s">
        <v>14</v>
      </c>
      <c r="M656" t="s">
        <v>55</v>
      </c>
      <c r="N656" t="s">
        <v>56</v>
      </c>
    </row>
    <row r="657" spans="1:14" x14ac:dyDescent="0.3">
      <c r="A657">
        <v>836</v>
      </c>
      <c r="B657">
        <v>365</v>
      </c>
      <c r="C657">
        <v>0.33333333333333331</v>
      </c>
      <c r="D657" t="s">
        <v>119</v>
      </c>
      <c r="E657">
        <v>1</v>
      </c>
      <c r="F657" s="1">
        <v>42010</v>
      </c>
      <c r="G657" t="s">
        <v>187</v>
      </c>
      <c r="H657" s="2">
        <v>36526.817662037036</v>
      </c>
      <c r="I657">
        <v>12.5</v>
      </c>
      <c r="J657">
        <v>12.5</v>
      </c>
      <c r="K657" t="s">
        <v>197</v>
      </c>
      <c r="L657" t="s">
        <v>14</v>
      </c>
      <c r="M657" t="s">
        <v>78</v>
      </c>
      <c r="N657" t="s">
        <v>79</v>
      </c>
    </row>
    <row r="658" spans="1:14" x14ac:dyDescent="0.3">
      <c r="A658">
        <v>833</v>
      </c>
      <c r="B658">
        <v>364</v>
      </c>
      <c r="C658">
        <v>0.5</v>
      </c>
      <c r="D658" t="s">
        <v>140</v>
      </c>
      <c r="E658">
        <v>1</v>
      </c>
      <c r="F658" s="1">
        <v>42010</v>
      </c>
      <c r="G658" t="s">
        <v>187</v>
      </c>
      <c r="H658" s="2">
        <v>36526.810694444444</v>
      </c>
      <c r="I658">
        <v>25.5</v>
      </c>
      <c r="J658">
        <v>25.5</v>
      </c>
      <c r="K658" t="s">
        <v>199</v>
      </c>
      <c r="L658" t="s">
        <v>14</v>
      </c>
      <c r="M658" t="s">
        <v>45</v>
      </c>
      <c r="N658" t="s">
        <v>46</v>
      </c>
    </row>
    <row r="659" spans="1:14" x14ac:dyDescent="0.3">
      <c r="A659">
        <v>827</v>
      </c>
      <c r="B659">
        <v>361</v>
      </c>
      <c r="C659">
        <v>0.5</v>
      </c>
      <c r="D659" t="s">
        <v>160</v>
      </c>
      <c r="E659">
        <v>1</v>
      </c>
      <c r="F659" s="1">
        <v>42010</v>
      </c>
      <c r="G659" t="s">
        <v>187</v>
      </c>
      <c r="H659" s="2">
        <v>36526.800439814811</v>
      </c>
      <c r="I659">
        <v>12</v>
      </c>
      <c r="J659">
        <v>12</v>
      </c>
      <c r="K659" t="s">
        <v>198</v>
      </c>
      <c r="L659" t="s">
        <v>14</v>
      </c>
      <c r="M659" t="s">
        <v>55</v>
      </c>
      <c r="N659" t="s">
        <v>56</v>
      </c>
    </row>
    <row r="660" spans="1:14" x14ac:dyDescent="0.3">
      <c r="A660">
        <v>826</v>
      </c>
      <c r="B660">
        <v>361</v>
      </c>
      <c r="C660">
        <v>0.5</v>
      </c>
      <c r="D660" t="s">
        <v>84</v>
      </c>
      <c r="E660">
        <v>2</v>
      </c>
      <c r="F660" s="1">
        <v>42010</v>
      </c>
      <c r="G660" t="s">
        <v>187</v>
      </c>
      <c r="H660" s="2">
        <v>36526.800439814811</v>
      </c>
      <c r="I660">
        <v>12</v>
      </c>
      <c r="J660">
        <v>24</v>
      </c>
      <c r="K660" t="s">
        <v>198</v>
      </c>
      <c r="L660" t="s">
        <v>14</v>
      </c>
      <c r="M660" t="s">
        <v>85</v>
      </c>
      <c r="N660" t="s">
        <v>86</v>
      </c>
    </row>
    <row r="661" spans="1:14" x14ac:dyDescent="0.3">
      <c r="A661">
        <v>658</v>
      </c>
      <c r="B661">
        <v>290</v>
      </c>
      <c r="C661">
        <v>0.5</v>
      </c>
      <c r="D661" t="s">
        <v>50</v>
      </c>
      <c r="E661">
        <v>1</v>
      </c>
      <c r="F661" s="1">
        <v>42009</v>
      </c>
      <c r="G661" t="s">
        <v>186</v>
      </c>
      <c r="H661" s="2">
        <v>36526.736990740741</v>
      </c>
      <c r="I661">
        <v>12</v>
      </c>
      <c r="J661">
        <v>12</v>
      </c>
      <c r="K661" t="s">
        <v>198</v>
      </c>
      <c r="L661" t="s">
        <v>14</v>
      </c>
      <c r="M661" t="s">
        <v>18</v>
      </c>
      <c r="N661" t="s">
        <v>19</v>
      </c>
    </row>
    <row r="662" spans="1:14" x14ac:dyDescent="0.3">
      <c r="A662">
        <v>825</v>
      </c>
      <c r="B662">
        <v>360</v>
      </c>
      <c r="C662">
        <v>0.33333333333333331</v>
      </c>
      <c r="D662" t="s">
        <v>132</v>
      </c>
      <c r="E662">
        <v>1</v>
      </c>
      <c r="F662" s="1">
        <v>42010</v>
      </c>
      <c r="G662" t="s">
        <v>187</v>
      </c>
      <c r="H662" s="2">
        <v>36526.785162037035</v>
      </c>
      <c r="I662">
        <v>10.5</v>
      </c>
      <c r="J662">
        <v>10.5</v>
      </c>
      <c r="K662" t="s">
        <v>198</v>
      </c>
      <c r="L662" t="s">
        <v>14</v>
      </c>
      <c r="M662" t="s">
        <v>15</v>
      </c>
      <c r="N662" t="s">
        <v>16</v>
      </c>
    </row>
    <row r="663" spans="1:14" x14ac:dyDescent="0.3">
      <c r="A663">
        <v>808</v>
      </c>
      <c r="B663">
        <v>352</v>
      </c>
      <c r="C663">
        <v>0.5</v>
      </c>
      <c r="D663" t="s">
        <v>54</v>
      </c>
      <c r="E663">
        <v>1</v>
      </c>
      <c r="F663" s="1">
        <v>42010</v>
      </c>
      <c r="G663" t="s">
        <v>187</v>
      </c>
      <c r="H663" s="2">
        <v>36526.74013888889</v>
      </c>
      <c r="I663">
        <v>20.5</v>
      </c>
      <c r="J663">
        <v>20.5</v>
      </c>
      <c r="K663" t="s">
        <v>196</v>
      </c>
      <c r="L663" t="s">
        <v>14</v>
      </c>
      <c r="M663" t="s">
        <v>55</v>
      </c>
      <c r="N663" t="s">
        <v>56</v>
      </c>
    </row>
    <row r="664" spans="1:14" x14ac:dyDescent="0.3">
      <c r="A664">
        <v>807</v>
      </c>
      <c r="B664">
        <v>352</v>
      </c>
      <c r="C664">
        <v>0.5</v>
      </c>
      <c r="D664" t="s">
        <v>84</v>
      </c>
      <c r="E664">
        <v>1</v>
      </c>
      <c r="F664" s="1">
        <v>42010</v>
      </c>
      <c r="G664" t="s">
        <v>187</v>
      </c>
      <c r="H664" s="2">
        <v>36526.74013888889</v>
      </c>
      <c r="I664">
        <v>12</v>
      </c>
      <c r="J664">
        <v>12</v>
      </c>
      <c r="K664" t="s">
        <v>198</v>
      </c>
      <c r="L664" t="s">
        <v>14</v>
      </c>
      <c r="M664" t="s">
        <v>85</v>
      </c>
      <c r="N664" t="s">
        <v>86</v>
      </c>
    </row>
    <row r="665" spans="1:14" x14ac:dyDescent="0.3">
      <c r="A665">
        <v>806</v>
      </c>
      <c r="B665">
        <v>351</v>
      </c>
      <c r="C665">
        <v>0.5</v>
      </c>
      <c r="D665" t="s">
        <v>12</v>
      </c>
      <c r="E665">
        <v>1</v>
      </c>
      <c r="F665" s="1">
        <v>42010</v>
      </c>
      <c r="G665" t="s">
        <v>187</v>
      </c>
      <c r="H665" s="2">
        <v>36526.734363425923</v>
      </c>
      <c r="I665">
        <v>13.25</v>
      </c>
      <c r="J665">
        <v>13.25</v>
      </c>
      <c r="K665" t="s">
        <v>197</v>
      </c>
      <c r="L665" t="s">
        <v>14</v>
      </c>
      <c r="M665" t="s">
        <v>15</v>
      </c>
      <c r="N665" t="s">
        <v>16</v>
      </c>
    </row>
    <row r="666" spans="1:14" x14ac:dyDescent="0.3">
      <c r="A666">
        <v>805</v>
      </c>
      <c r="B666">
        <v>351</v>
      </c>
      <c r="C666">
        <v>0.5</v>
      </c>
      <c r="D666" t="s">
        <v>84</v>
      </c>
      <c r="E666">
        <v>1</v>
      </c>
      <c r="F666" s="1">
        <v>42010</v>
      </c>
      <c r="G666" t="s">
        <v>187</v>
      </c>
      <c r="H666" s="2">
        <v>36526.734363425923</v>
      </c>
      <c r="I666">
        <v>12</v>
      </c>
      <c r="J666">
        <v>12</v>
      </c>
      <c r="K666" t="s">
        <v>198</v>
      </c>
      <c r="L666" t="s">
        <v>14</v>
      </c>
      <c r="M666" t="s">
        <v>85</v>
      </c>
      <c r="N666" t="s">
        <v>86</v>
      </c>
    </row>
    <row r="667" spans="1:14" x14ac:dyDescent="0.3">
      <c r="A667">
        <v>803</v>
      </c>
      <c r="B667">
        <v>350</v>
      </c>
      <c r="C667">
        <v>0.33333333333333331</v>
      </c>
      <c r="D667" t="s">
        <v>119</v>
      </c>
      <c r="E667">
        <v>2</v>
      </c>
      <c r="F667" s="1">
        <v>42010</v>
      </c>
      <c r="G667" t="s">
        <v>187</v>
      </c>
      <c r="H667" s="2">
        <v>36526.734085648146</v>
      </c>
      <c r="I667">
        <v>12.5</v>
      </c>
      <c r="J667">
        <v>25</v>
      </c>
      <c r="K667" t="s">
        <v>197</v>
      </c>
      <c r="L667" t="s">
        <v>14</v>
      </c>
      <c r="M667" t="s">
        <v>78</v>
      </c>
      <c r="N667" t="s">
        <v>79</v>
      </c>
    </row>
    <row r="668" spans="1:14" x14ac:dyDescent="0.3">
      <c r="A668">
        <v>665</v>
      </c>
      <c r="B668">
        <v>293</v>
      </c>
      <c r="C668">
        <v>0.5</v>
      </c>
      <c r="D668" t="s">
        <v>50</v>
      </c>
      <c r="E668">
        <v>1</v>
      </c>
      <c r="F668" s="1">
        <v>42009</v>
      </c>
      <c r="G668" t="s">
        <v>186</v>
      </c>
      <c r="H668" s="2">
        <v>36526.749050925922</v>
      </c>
      <c r="I668">
        <v>12</v>
      </c>
      <c r="J668">
        <v>12</v>
      </c>
      <c r="K668" t="s">
        <v>198</v>
      </c>
      <c r="L668" t="s">
        <v>14</v>
      </c>
      <c r="M668" t="s">
        <v>18</v>
      </c>
      <c r="N668" t="s">
        <v>19</v>
      </c>
    </row>
    <row r="669" spans="1:14" x14ac:dyDescent="0.3">
      <c r="A669">
        <v>802</v>
      </c>
      <c r="B669">
        <v>350</v>
      </c>
      <c r="C669">
        <v>0.33333333333333331</v>
      </c>
      <c r="D669" t="s">
        <v>138</v>
      </c>
      <c r="E669">
        <v>1</v>
      </c>
      <c r="F669" s="1">
        <v>42010</v>
      </c>
      <c r="G669" t="s">
        <v>187</v>
      </c>
      <c r="H669" s="2">
        <v>36526.734085648146</v>
      </c>
      <c r="I669">
        <v>20.5</v>
      </c>
      <c r="J669">
        <v>20.5</v>
      </c>
      <c r="K669" t="s">
        <v>196</v>
      </c>
      <c r="L669" t="s">
        <v>14</v>
      </c>
      <c r="M669" t="s">
        <v>18</v>
      </c>
      <c r="N669" t="s">
        <v>19</v>
      </c>
    </row>
    <row r="670" spans="1:14" x14ac:dyDescent="0.3">
      <c r="A670">
        <v>801</v>
      </c>
      <c r="B670">
        <v>349</v>
      </c>
      <c r="C670">
        <v>1</v>
      </c>
      <c r="D670" t="s">
        <v>77</v>
      </c>
      <c r="E670">
        <v>1</v>
      </c>
      <c r="F670" s="1">
        <v>42010</v>
      </c>
      <c r="G670" t="s">
        <v>187</v>
      </c>
      <c r="H670" s="2">
        <v>36526.726365740738</v>
      </c>
      <c r="I670">
        <v>15.25</v>
      </c>
      <c r="J670">
        <v>15.25</v>
      </c>
      <c r="K670" t="s">
        <v>196</v>
      </c>
      <c r="L670" t="s">
        <v>14</v>
      </c>
      <c r="M670" t="s">
        <v>78</v>
      </c>
      <c r="N670" t="s">
        <v>79</v>
      </c>
    </row>
    <row r="671" spans="1:14" x14ac:dyDescent="0.3">
      <c r="A671">
        <v>798</v>
      </c>
      <c r="B671">
        <v>348</v>
      </c>
      <c r="C671">
        <v>0.33333333333333331</v>
      </c>
      <c r="D671" t="s">
        <v>17</v>
      </c>
      <c r="E671">
        <v>1</v>
      </c>
      <c r="F671" s="1">
        <v>42010</v>
      </c>
      <c r="G671" t="s">
        <v>187</v>
      </c>
      <c r="H671" s="2">
        <v>36526.700833333336</v>
      </c>
      <c r="I671">
        <v>16</v>
      </c>
      <c r="J671">
        <v>16</v>
      </c>
      <c r="K671" t="s">
        <v>197</v>
      </c>
      <c r="L671" t="s">
        <v>14</v>
      </c>
      <c r="M671" t="s">
        <v>18</v>
      </c>
      <c r="N671" t="s">
        <v>19</v>
      </c>
    </row>
    <row r="672" spans="1:14" x14ac:dyDescent="0.3">
      <c r="A672">
        <v>794</v>
      </c>
      <c r="B672">
        <v>346</v>
      </c>
      <c r="C672">
        <v>0.25</v>
      </c>
      <c r="D672" t="s">
        <v>93</v>
      </c>
      <c r="E672">
        <v>1</v>
      </c>
      <c r="F672" s="1">
        <v>42010</v>
      </c>
      <c r="G672" t="s">
        <v>187</v>
      </c>
      <c r="H672" s="2">
        <v>36526.6875</v>
      </c>
      <c r="I672">
        <v>12</v>
      </c>
      <c r="J672">
        <v>12</v>
      </c>
      <c r="K672" t="s">
        <v>198</v>
      </c>
      <c r="L672" t="s">
        <v>14</v>
      </c>
      <c r="M672" t="s">
        <v>94</v>
      </c>
      <c r="N672" t="s">
        <v>95</v>
      </c>
    </row>
    <row r="673" spans="1:14" x14ac:dyDescent="0.3">
      <c r="A673">
        <v>793</v>
      </c>
      <c r="B673">
        <v>346</v>
      </c>
      <c r="C673">
        <v>0.25</v>
      </c>
      <c r="D673" t="s">
        <v>54</v>
      </c>
      <c r="E673">
        <v>1</v>
      </c>
      <c r="F673" s="1">
        <v>42010</v>
      </c>
      <c r="G673" t="s">
        <v>187</v>
      </c>
      <c r="H673" s="2">
        <v>36526.6875</v>
      </c>
      <c r="I673">
        <v>20.5</v>
      </c>
      <c r="J673">
        <v>20.5</v>
      </c>
      <c r="K673" t="s">
        <v>196</v>
      </c>
      <c r="L673" t="s">
        <v>14</v>
      </c>
      <c r="M673" t="s">
        <v>55</v>
      </c>
      <c r="N673" t="s">
        <v>56</v>
      </c>
    </row>
    <row r="674" spans="1:14" x14ac:dyDescent="0.3">
      <c r="A674">
        <v>792</v>
      </c>
      <c r="B674">
        <v>346</v>
      </c>
      <c r="C674">
        <v>0.25</v>
      </c>
      <c r="D674" t="s">
        <v>132</v>
      </c>
      <c r="E674">
        <v>1</v>
      </c>
      <c r="F674" s="1">
        <v>42010</v>
      </c>
      <c r="G674" t="s">
        <v>187</v>
      </c>
      <c r="H674" s="2">
        <v>36526.6875</v>
      </c>
      <c r="I674">
        <v>10.5</v>
      </c>
      <c r="J674">
        <v>10.5</v>
      </c>
      <c r="K674" t="s">
        <v>198</v>
      </c>
      <c r="L674" t="s">
        <v>14</v>
      </c>
      <c r="M674" t="s">
        <v>15</v>
      </c>
      <c r="N674" t="s">
        <v>16</v>
      </c>
    </row>
    <row r="675" spans="1:14" x14ac:dyDescent="0.3">
      <c r="A675">
        <v>672</v>
      </c>
      <c r="B675">
        <v>296</v>
      </c>
      <c r="C675">
        <v>0.33333333333333331</v>
      </c>
      <c r="D675" t="s">
        <v>160</v>
      </c>
      <c r="E675">
        <v>1</v>
      </c>
      <c r="F675" s="1">
        <v>42009</v>
      </c>
      <c r="G675" t="s">
        <v>186</v>
      </c>
      <c r="H675" s="2">
        <v>36526.782569444447</v>
      </c>
      <c r="I675">
        <v>12</v>
      </c>
      <c r="J675">
        <v>12</v>
      </c>
      <c r="K675" t="s">
        <v>198</v>
      </c>
      <c r="L675" t="s">
        <v>14</v>
      </c>
      <c r="M675" t="s">
        <v>55</v>
      </c>
      <c r="N675" t="s">
        <v>56</v>
      </c>
    </row>
    <row r="676" spans="1:14" x14ac:dyDescent="0.3">
      <c r="A676">
        <v>788</v>
      </c>
      <c r="B676">
        <v>344</v>
      </c>
      <c r="C676">
        <v>1</v>
      </c>
      <c r="D676" t="s">
        <v>116</v>
      </c>
      <c r="E676">
        <v>1</v>
      </c>
      <c r="F676" s="1">
        <v>42010</v>
      </c>
      <c r="G676" t="s">
        <v>187</v>
      </c>
      <c r="H676" s="2">
        <v>36526.667488425926</v>
      </c>
      <c r="I676">
        <v>16</v>
      </c>
      <c r="J676">
        <v>16</v>
      </c>
      <c r="K676" t="s">
        <v>197</v>
      </c>
      <c r="L676" t="s">
        <v>14</v>
      </c>
      <c r="M676" t="s">
        <v>55</v>
      </c>
      <c r="N676" t="s">
        <v>56</v>
      </c>
    </row>
    <row r="677" spans="1:14" x14ac:dyDescent="0.3">
      <c r="A677">
        <v>783</v>
      </c>
      <c r="B677">
        <v>341</v>
      </c>
      <c r="C677">
        <v>0.5</v>
      </c>
      <c r="D677" t="s">
        <v>126</v>
      </c>
      <c r="E677">
        <v>1</v>
      </c>
      <c r="F677" s="1">
        <v>42010</v>
      </c>
      <c r="G677" t="s">
        <v>187</v>
      </c>
      <c r="H677" s="2">
        <v>36526.64984953704</v>
      </c>
      <c r="I677">
        <v>9.75</v>
      </c>
      <c r="J677">
        <v>9.75</v>
      </c>
      <c r="K677" t="s">
        <v>198</v>
      </c>
      <c r="L677" t="s">
        <v>14</v>
      </c>
      <c r="M677" t="s">
        <v>78</v>
      </c>
      <c r="N677" t="s">
        <v>79</v>
      </c>
    </row>
    <row r="678" spans="1:14" x14ac:dyDescent="0.3">
      <c r="A678">
        <v>779</v>
      </c>
      <c r="B678">
        <v>338</v>
      </c>
      <c r="C678">
        <v>0.33333333333333331</v>
      </c>
      <c r="D678" t="s">
        <v>140</v>
      </c>
      <c r="E678">
        <v>1</v>
      </c>
      <c r="F678" s="1">
        <v>42010</v>
      </c>
      <c r="G678" t="s">
        <v>187</v>
      </c>
      <c r="H678" s="2">
        <v>36526.637800925928</v>
      </c>
      <c r="I678">
        <v>25.5</v>
      </c>
      <c r="J678">
        <v>25.5</v>
      </c>
      <c r="K678" t="s">
        <v>199</v>
      </c>
      <c r="L678" t="s">
        <v>14</v>
      </c>
      <c r="M678" t="s">
        <v>45</v>
      </c>
      <c r="N678" t="s">
        <v>46</v>
      </c>
    </row>
    <row r="679" spans="1:14" x14ac:dyDescent="0.3">
      <c r="A679">
        <v>776</v>
      </c>
      <c r="B679">
        <v>337</v>
      </c>
      <c r="C679">
        <v>0.5</v>
      </c>
      <c r="D679" t="s">
        <v>77</v>
      </c>
      <c r="E679">
        <v>1</v>
      </c>
      <c r="F679" s="1">
        <v>42010</v>
      </c>
      <c r="G679" t="s">
        <v>187</v>
      </c>
      <c r="H679" s="2">
        <v>36526.627222222225</v>
      </c>
      <c r="I679">
        <v>15.25</v>
      </c>
      <c r="J679">
        <v>15.25</v>
      </c>
      <c r="K679" t="s">
        <v>196</v>
      </c>
      <c r="L679" t="s">
        <v>14</v>
      </c>
      <c r="M679" t="s">
        <v>78</v>
      </c>
      <c r="N679" t="s">
        <v>79</v>
      </c>
    </row>
    <row r="680" spans="1:14" x14ac:dyDescent="0.3">
      <c r="A680">
        <v>775</v>
      </c>
      <c r="B680">
        <v>337</v>
      </c>
      <c r="C680">
        <v>0.5</v>
      </c>
      <c r="D680" t="s">
        <v>142</v>
      </c>
      <c r="E680">
        <v>1</v>
      </c>
      <c r="F680" s="1">
        <v>42010</v>
      </c>
      <c r="G680" t="s">
        <v>187</v>
      </c>
      <c r="H680" s="2">
        <v>36526.627222222225</v>
      </c>
      <c r="I680">
        <v>16.5</v>
      </c>
      <c r="J680">
        <v>16.5</v>
      </c>
      <c r="K680" t="s">
        <v>196</v>
      </c>
      <c r="L680" t="s">
        <v>14</v>
      </c>
      <c r="M680" t="s">
        <v>15</v>
      </c>
      <c r="N680" t="s">
        <v>16</v>
      </c>
    </row>
    <row r="681" spans="1:14" x14ac:dyDescent="0.3">
      <c r="A681">
        <v>678</v>
      </c>
      <c r="B681">
        <v>298</v>
      </c>
      <c r="C681">
        <v>0.25</v>
      </c>
      <c r="D681" t="s">
        <v>50</v>
      </c>
      <c r="E681">
        <v>1</v>
      </c>
      <c r="F681" s="1">
        <v>42009</v>
      </c>
      <c r="G681" t="s">
        <v>186</v>
      </c>
      <c r="H681" s="2">
        <v>36526.799027777779</v>
      </c>
      <c r="I681">
        <v>12</v>
      </c>
      <c r="J681">
        <v>12</v>
      </c>
      <c r="K681" t="s">
        <v>198</v>
      </c>
      <c r="L681" t="s">
        <v>14</v>
      </c>
      <c r="M681" t="s">
        <v>18</v>
      </c>
      <c r="N681" t="s">
        <v>19</v>
      </c>
    </row>
    <row r="682" spans="1:14" x14ac:dyDescent="0.3">
      <c r="A682">
        <v>679</v>
      </c>
      <c r="B682">
        <v>299</v>
      </c>
      <c r="C682">
        <v>0.5</v>
      </c>
      <c r="D682" t="s">
        <v>50</v>
      </c>
      <c r="E682">
        <v>1</v>
      </c>
      <c r="F682" s="1">
        <v>42009</v>
      </c>
      <c r="G682" t="s">
        <v>186</v>
      </c>
      <c r="H682" s="2">
        <v>36526.815636574072</v>
      </c>
      <c r="I682">
        <v>12</v>
      </c>
      <c r="J682">
        <v>12</v>
      </c>
      <c r="K682" t="s">
        <v>198</v>
      </c>
      <c r="L682" t="s">
        <v>14</v>
      </c>
      <c r="M682" t="s">
        <v>18</v>
      </c>
      <c r="N682" t="s">
        <v>19</v>
      </c>
    </row>
    <row r="683" spans="1:14" x14ac:dyDescent="0.3">
      <c r="A683">
        <v>770</v>
      </c>
      <c r="B683">
        <v>334</v>
      </c>
      <c r="C683">
        <v>0.25</v>
      </c>
      <c r="D683" t="s">
        <v>119</v>
      </c>
      <c r="E683">
        <v>1</v>
      </c>
      <c r="F683" s="1">
        <v>42010</v>
      </c>
      <c r="G683" t="s">
        <v>187</v>
      </c>
      <c r="H683" s="2">
        <v>36526.600208333337</v>
      </c>
      <c r="I683">
        <v>12.5</v>
      </c>
      <c r="J683">
        <v>12.5</v>
      </c>
      <c r="K683" t="s">
        <v>197</v>
      </c>
      <c r="L683" t="s">
        <v>14</v>
      </c>
      <c r="M683" t="s">
        <v>78</v>
      </c>
      <c r="N683" t="s">
        <v>79</v>
      </c>
    </row>
    <row r="684" spans="1:14" x14ac:dyDescent="0.3">
      <c r="A684">
        <v>681</v>
      </c>
      <c r="B684">
        <v>300</v>
      </c>
      <c r="C684">
        <v>0.25</v>
      </c>
      <c r="D684" t="s">
        <v>84</v>
      </c>
      <c r="E684">
        <v>1</v>
      </c>
      <c r="F684" s="1">
        <v>42009</v>
      </c>
      <c r="G684" t="s">
        <v>186</v>
      </c>
      <c r="H684" s="2">
        <v>36526.821458333332</v>
      </c>
      <c r="I684">
        <v>12</v>
      </c>
      <c r="J684">
        <v>12</v>
      </c>
      <c r="K684" t="s">
        <v>198</v>
      </c>
      <c r="L684" t="s">
        <v>14</v>
      </c>
      <c r="M684" t="s">
        <v>85</v>
      </c>
      <c r="N684" t="s">
        <v>86</v>
      </c>
    </row>
    <row r="685" spans="1:14" x14ac:dyDescent="0.3">
      <c r="A685">
        <v>682</v>
      </c>
      <c r="B685">
        <v>300</v>
      </c>
      <c r="C685">
        <v>0.25</v>
      </c>
      <c r="D685" t="s">
        <v>160</v>
      </c>
      <c r="E685">
        <v>1</v>
      </c>
      <c r="F685" s="1">
        <v>42009</v>
      </c>
      <c r="G685" t="s">
        <v>186</v>
      </c>
      <c r="H685" s="2">
        <v>36526.821458333332</v>
      </c>
      <c r="I685">
        <v>12</v>
      </c>
      <c r="J685">
        <v>12</v>
      </c>
      <c r="K685" t="s">
        <v>198</v>
      </c>
      <c r="L685" t="s">
        <v>14</v>
      </c>
      <c r="M685" t="s">
        <v>55</v>
      </c>
      <c r="N685" t="s">
        <v>56</v>
      </c>
    </row>
    <row r="686" spans="1:14" x14ac:dyDescent="0.3">
      <c r="A686">
        <v>763</v>
      </c>
      <c r="B686">
        <v>330</v>
      </c>
      <c r="C686">
        <v>7.1428571428571425E-2</v>
      </c>
      <c r="D686" t="s">
        <v>155</v>
      </c>
      <c r="E686">
        <v>1</v>
      </c>
      <c r="F686" s="1">
        <v>42010</v>
      </c>
      <c r="G686" t="s">
        <v>187</v>
      </c>
      <c r="H686" s="2">
        <v>36526.560543981483</v>
      </c>
      <c r="I686">
        <v>16</v>
      </c>
      <c r="J686">
        <v>16</v>
      </c>
      <c r="K686" t="s">
        <v>197</v>
      </c>
      <c r="L686" t="s">
        <v>14</v>
      </c>
      <c r="M686" t="s">
        <v>45</v>
      </c>
      <c r="N686" t="s">
        <v>46</v>
      </c>
    </row>
    <row r="687" spans="1:14" x14ac:dyDescent="0.3">
      <c r="A687">
        <v>757</v>
      </c>
      <c r="B687">
        <v>330</v>
      </c>
      <c r="C687">
        <v>7.1428571428571425E-2</v>
      </c>
      <c r="D687" t="s">
        <v>129</v>
      </c>
      <c r="E687">
        <v>1</v>
      </c>
      <c r="F687" s="1">
        <v>42010</v>
      </c>
      <c r="G687" t="s">
        <v>187</v>
      </c>
      <c r="H687" s="2">
        <v>36526.560543981483</v>
      </c>
      <c r="I687">
        <v>17.5</v>
      </c>
      <c r="J687">
        <v>17.5</v>
      </c>
      <c r="K687" t="s">
        <v>196</v>
      </c>
      <c r="L687" t="s">
        <v>14</v>
      </c>
      <c r="M687" t="s">
        <v>130</v>
      </c>
      <c r="N687" t="s">
        <v>131</v>
      </c>
    </row>
    <row r="688" spans="1:14" x14ac:dyDescent="0.3">
      <c r="A688">
        <v>685</v>
      </c>
      <c r="B688">
        <v>301</v>
      </c>
      <c r="C688">
        <v>1</v>
      </c>
      <c r="D688" t="s">
        <v>112</v>
      </c>
      <c r="E688">
        <v>1</v>
      </c>
      <c r="F688" s="1">
        <v>42009</v>
      </c>
      <c r="G688" t="s">
        <v>186</v>
      </c>
      <c r="H688" s="2">
        <v>36526.823587962965</v>
      </c>
      <c r="I688">
        <v>20.5</v>
      </c>
      <c r="J688">
        <v>20.5</v>
      </c>
      <c r="K688" t="s">
        <v>196</v>
      </c>
      <c r="L688" t="s">
        <v>14</v>
      </c>
      <c r="M688" t="s">
        <v>94</v>
      </c>
      <c r="N688" t="s">
        <v>95</v>
      </c>
    </row>
    <row r="689" spans="1:14" x14ac:dyDescent="0.3">
      <c r="A689">
        <v>756</v>
      </c>
      <c r="B689">
        <v>330</v>
      </c>
      <c r="C689">
        <v>7.1428571428571425E-2</v>
      </c>
      <c r="D689" t="s">
        <v>142</v>
      </c>
      <c r="E689">
        <v>1</v>
      </c>
      <c r="F689" s="1">
        <v>42010</v>
      </c>
      <c r="G689" t="s">
        <v>187</v>
      </c>
      <c r="H689" s="2">
        <v>36526.560543981483</v>
      </c>
      <c r="I689">
        <v>16.5</v>
      </c>
      <c r="J689">
        <v>16.5</v>
      </c>
      <c r="K689" t="s">
        <v>196</v>
      </c>
      <c r="L689" t="s">
        <v>14</v>
      </c>
      <c r="M689" t="s">
        <v>15</v>
      </c>
      <c r="N689" t="s">
        <v>16</v>
      </c>
    </row>
    <row r="690" spans="1:14" x14ac:dyDescent="0.3">
      <c r="A690">
        <v>687</v>
      </c>
      <c r="B690">
        <v>303</v>
      </c>
      <c r="C690">
        <v>0.33333333333333331</v>
      </c>
      <c r="D690" t="s">
        <v>84</v>
      </c>
      <c r="E690">
        <v>1</v>
      </c>
      <c r="F690" s="1">
        <v>42009</v>
      </c>
      <c r="G690" t="s">
        <v>186</v>
      </c>
      <c r="H690" s="2">
        <v>36526.835312499999</v>
      </c>
      <c r="I690">
        <v>12</v>
      </c>
      <c r="J690">
        <v>12</v>
      </c>
      <c r="K690" t="s">
        <v>198</v>
      </c>
      <c r="L690" t="s">
        <v>14</v>
      </c>
      <c r="M690" t="s">
        <v>85</v>
      </c>
      <c r="N690" t="s">
        <v>86</v>
      </c>
    </row>
    <row r="691" spans="1:14" x14ac:dyDescent="0.3">
      <c r="A691">
        <v>688</v>
      </c>
      <c r="B691">
        <v>303</v>
      </c>
      <c r="C691">
        <v>0.33333333333333331</v>
      </c>
      <c r="D691" t="s">
        <v>116</v>
      </c>
      <c r="E691">
        <v>1</v>
      </c>
      <c r="F691" s="1">
        <v>42009</v>
      </c>
      <c r="G691" t="s">
        <v>186</v>
      </c>
      <c r="H691" s="2">
        <v>36526.835312499999</v>
      </c>
      <c r="I691">
        <v>16</v>
      </c>
      <c r="J691">
        <v>16</v>
      </c>
      <c r="K691" t="s">
        <v>197</v>
      </c>
      <c r="L691" t="s">
        <v>14</v>
      </c>
      <c r="M691" t="s">
        <v>55</v>
      </c>
      <c r="N691" t="s">
        <v>56</v>
      </c>
    </row>
    <row r="692" spans="1:14" x14ac:dyDescent="0.3">
      <c r="A692">
        <v>689</v>
      </c>
      <c r="B692">
        <v>303</v>
      </c>
      <c r="C692">
        <v>0.33333333333333331</v>
      </c>
      <c r="D692" t="s">
        <v>126</v>
      </c>
      <c r="E692">
        <v>1</v>
      </c>
      <c r="F692" s="1">
        <v>42009</v>
      </c>
      <c r="G692" t="s">
        <v>186</v>
      </c>
      <c r="H692" s="2">
        <v>36526.835312499999</v>
      </c>
      <c r="I692">
        <v>9.75</v>
      </c>
      <c r="J692">
        <v>9.75</v>
      </c>
      <c r="K692" t="s">
        <v>198</v>
      </c>
      <c r="L692" t="s">
        <v>14</v>
      </c>
      <c r="M692" t="s">
        <v>78</v>
      </c>
      <c r="N692" t="s">
        <v>79</v>
      </c>
    </row>
    <row r="693" spans="1:14" x14ac:dyDescent="0.3">
      <c r="A693">
        <v>690</v>
      </c>
      <c r="B693">
        <v>304</v>
      </c>
      <c r="C693">
        <v>0.5</v>
      </c>
      <c r="D693" t="s">
        <v>132</v>
      </c>
      <c r="E693">
        <v>1</v>
      </c>
      <c r="F693" s="1">
        <v>42009</v>
      </c>
      <c r="G693" t="s">
        <v>186</v>
      </c>
      <c r="H693" s="2">
        <v>36526.838865740741</v>
      </c>
      <c r="I693">
        <v>10.5</v>
      </c>
      <c r="J693">
        <v>10.5</v>
      </c>
      <c r="K693" t="s">
        <v>198</v>
      </c>
      <c r="L693" t="s">
        <v>14</v>
      </c>
      <c r="M693" t="s">
        <v>15</v>
      </c>
      <c r="N693" t="s">
        <v>16</v>
      </c>
    </row>
    <row r="694" spans="1:14" x14ac:dyDescent="0.3">
      <c r="A694">
        <v>753</v>
      </c>
      <c r="B694">
        <v>330</v>
      </c>
      <c r="C694">
        <v>7.1428571428571425E-2</v>
      </c>
      <c r="D694" t="s">
        <v>50</v>
      </c>
      <c r="E694">
        <v>1</v>
      </c>
      <c r="F694" s="1">
        <v>42010</v>
      </c>
      <c r="G694" t="s">
        <v>187</v>
      </c>
      <c r="H694" s="2">
        <v>36526.560543981483</v>
      </c>
      <c r="I694">
        <v>12</v>
      </c>
      <c r="J694">
        <v>12</v>
      </c>
      <c r="K694" t="s">
        <v>198</v>
      </c>
      <c r="L694" t="s">
        <v>14</v>
      </c>
      <c r="M694" t="s">
        <v>18</v>
      </c>
      <c r="N694" t="s">
        <v>19</v>
      </c>
    </row>
    <row r="695" spans="1:14" x14ac:dyDescent="0.3">
      <c r="A695">
        <v>692</v>
      </c>
      <c r="B695">
        <v>305</v>
      </c>
      <c r="C695">
        <v>0.33333333333333331</v>
      </c>
      <c r="D695" t="s">
        <v>77</v>
      </c>
      <c r="E695">
        <v>1</v>
      </c>
      <c r="F695" s="1">
        <v>42009</v>
      </c>
      <c r="G695" t="s">
        <v>186</v>
      </c>
      <c r="H695" s="2">
        <v>36526.858101851853</v>
      </c>
      <c r="I695">
        <v>15.25</v>
      </c>
      <c r="J695">
        <v>15.25</v>
      </c>
      <c r="K695" t="s">
        <v>196</v>
      </c>
      <c r="L695" t="s">
        <v>14</v>
      </c>
      <c r="M695" t="s">
        <v>78</v>
      </c>
      <c r="N695" t="s">
        <v>79</v>
      </c>
    </row>
    <row r="696" spans="1:14" x14ac:dyDescent="0.3">
      <c r="A696">
        <v>752</v>
      </c>
      <c r="B696">
        <v>330</v>
      </c>
      <c r="C696">
        <v>7.1428571428571425E-2</v>
      </c>
      <c r="D696" t="s">
        <v>17</v>
      </c>
      <c r="E696">
        <v>1</v>
      </c>
      <c r="F696" s="1">
        <v>42010</v>
      </c>
      <c r="G696" t="s">
        <v>187</v>
      </c>
      <c r="H696" s="2">
        <v>36526.560543981483</v>
      </c>
      <c r="I696">
        <v>16</v>
      </c>
      <c r="J696">
        <v>16</v>
      </c>
      <c r="K696" t="s">
        <v>197</v>
      </c>
      <c r="L696" t="s">
        <v>14</v>
      </c>
      <c r="M696" t="s">
        <v>18</v>
      </c>
      <c r="N696" t="s">
        <v>19</v>
      </c>
    </row>
    <row r="697" spans="1:14" x14ac:dyDescent="0.3">
      <c r="A697">
        <v>750</v>
      </c>
      <c r="B697">
        <v>330</v>
      </c>
      <c r="C697">
        <v>7.1428571428571425E-2</v>
      </c>
      <c r="D697" t="s">
        <v>84</v>
      </c>
      <c r="E697">
        <v>1</v>
      </c>
      <c r="F697" s="1">
        <v>42010</v>
      </c>
      <c r="G697" t="s">
        <v>187</v>
      </c>
      <c r="H697" s="2">
        <v>36526.560543981483</v>
      </c>
      <c r="I697">
        <v>12</v>
      </c>
      <c r="J697">
        <v>12</v>
      </c>
      <c r="K697" t="s">
        <v>198</v>
      </c>
      <c r="L697" t="s">
        <v>14</v>
      </c>
      <c r="M697" t="s">
        <v>85</v>
      </c>
      <c r="N697" t="s">
        <v>86</v>
      </c>
    </row>
    <row r="698" spans="1:14" x14ac:dyDescent="0.3">
      <c r="A698">
        <v>695</v>
      </c>
      <c r="B698">
        <v>306</v>
      </c>
      <c r="C698">
        <v>0.33333333333333331</v>
      </c>
      <c r="D698" t="s">
        <v>84</v>
      </c>
      <c r="E698">
        <v>1</v>
      </c>
      <c r="F698" s="1">
        <v>42009</v>
      </c>
      <c r="G698" t="s">
        <v>186</v>
      </c>
      <c r="H698" s="2">
        <v>36526.859490740739</v>
      </c>
      <c r="I698">
        <v>12</v>
      </c>
      <c r="J698">
        <v>12</v>
      </c>
      <c r="K698" t="s">
        <v>198</v>
      </c>
      <c r="L698" t="s">
        <v>14</v>
      </c>
      <c r="M698" t="s">
        <v>85</v>
      </c>
      <c r="N698" t="s">
        <v>86</v>
      </c>
    </row>
    <row r="699" spans="1:14" x14ac:dyDescent="0.3">
      <c r="A699">
        <v>696</v>
      </c>
      <c r="B699">
        <v>306</v>
      </c>
      <c r="C699">
        <v>0.33333333333333331</v>
      </c>
      <c r="D699" t="s">
        <v>132</v>
      </c>
      <c r="E699">
        <v>1</v>
      </c>
      <c r="F699" s="1">
        <v>42009</v>
      </c>
      <c r="G699" t="s">
        <v>186</v>
      </c>
      <c r="H699" s="2">
        <v>36526.859490740739</v>
      </c>
      <c r="I699">
        <v>10.5</v>
      </c>
      <c r="J699">
        <v>10.5</v>
      </c>
      <c r="K699" t="s">
        <v>198</v>
      </c>
      <c r="L699" t="s">
        <v>14</v>
      </c>
      <c r="M699" t="s">
        <v>15</v>
      </c>
      <c r="N699" t="s">
        <v>16</v>
      </c>
    </row>
    <row r="700" spans="1:14" x14ac:dyDescent="0.3">
      <c r="A700">
        <v>697</v>
      </c>
      <c r="B700">
        <v>306</v>
      </c>
      <c r="C700">
        <v>0.33333333333333331</v>
      </c>
      <c r="D700" t="s">
        <v>163</v>
      </c>
      <c r="E700">
        <v>1</v>
      </c>
      <c r="F700" s="1">
        <v>42009</v>
      </c>
      <c r="G700" t="s">
        <v>186</v>
      </c>
      <c r="H700" s="2">
        <v>36526.859490740739</v>
      </c>
      <c r="I700">
        <v>16</v>
      </c>
      <c r="J700">
        <v>16</v>
      </c>
      <c r="K700" t="s">
        <v>197</v>
      </c>
      <c r="L700" t="s">
        <v>14</v>
      </c>
      <c r="M700" t="s">
        <v>94</v>
      </c>
      <c r="N700" t="s">
        <v>95</v>
      </c>
    </row>
    <row r="701" spans="1:14" x14ac:dyDescent="0.3">
      <c r="A701">
        <v>698</v>
      </c>
      <c r="B701">
        <v>307</v>
      </c>
      <c r="C701">
        <v>0.5</v>
      </c>
      <c r="D701" t="s">
        <v>138</v>
      </c>
      <c r="E701">
        <v>1</v>
      </c>
      <c r="F701" s="1">
        <v>42009</v>
      </c>
      <c r="G701" t="s">
        <v>186</v>
      </c>
      <c r="H701" s="2">
        <v>36526.906689814816</v>
      </c>
      <c r="I701">
        <v>20.5</v>
      </c>
      <c r="J701">
        <v>20.5</v>
      </c>
      <c r="K701" t="s">
        <v>196</v>
      </c>
      <c r="L701" t="s">
        <v>14</v>
      </c>
      <c r="M701" t="s">
        <v>18</v>
      </c>
      <c r="N701" t="s">
        <v>19</v>
      </c>
    </row>
    <row r="702" spans="1:14" x14ac:dyDescent="0.3">
      <c r="A702">
        <v>746</v>
      </c>
      <c r="B702">
        <v>327</v>
      </c>
      <c r="C702">
        <v>1</v>
      </c>
      <c r="D702" t="s">
        <v>17</v>
      </c>
      <c r="E702">
        <v>1</v>
      </c>
      <c r="F702" s="1">
        <v>42010</v>
      </c>
      <c r="G702" t="s">
        <v>187</v>
      </c>
      <c r="H702" s="2">
        <v>36526.54923611111</v>
      </c>
      <c r="I702">
        <v>16</v>
      </c>
      <c r="J702">
        <v>16</v>
      </c>
      <c r="K702" t="s">
        <v>197</v>
      </c>
      <c r="L702" t="s">
        <v>14</v>
      </c>
      <c r="M702" t="s">
        <v>18</v>
      </c>
      <c r="N702" t="s">
        <v>19</v>
      </c>
    </row>
    <row r="703" spans="1:14" x14ac:dyDescent="0.3">
      <c r="A703">
        <v>700</v>
      </c>
      <c r="B703">
        <v>308</v>
      </c>
      <c r="C703">
        <v>0.33333333333333331</v>
      </c>
      <c r="D703" t="s">
        <v>142</v>
      </c>
      <c r="E703">
        <v>1</v>
      </c>
      <c r="F703" s="1">
        <v>42009</v>
      </c>
      <c r="G703" t="s">
        <v>186</v>
      </c>
      <c r="H703" s="2">
        <v>36526.916504629633</v>
      </c>
      <c r="I703">
        <v>16.5</v>
      </c>
      <c r="J703">
        <v>16.5</v>
      </c>
      <c r="K703" t="s">
        <v>196</v>
      </c>
      <c r="L703" t="s">
        <v>14</v>
      </c>
      <c r="M703" t="s">
        <v>15</v>
      </c>
      <c r="N703" t="s">
        <v>16</v>
      </c>
    </row>
    <row r="704" spans="1:14" x14ac:dyDescent="0.3">
      <c r="A704">
        <v>701</v>
      </c>
      <c r="B704">
        <v>308</v>
      </c>
      <c r="C704">
        <v>0.33333333333333331</v>
      </c>
      <c r="D704" t="s">
        <v>129</v>
      </c>
      <c r="E704">
        <v>1</v>
      </c>
      <c r="F704" s="1">
        <v>42009</v>
      </c>
      <c r="G704" t="s">
        <v>186</v>
      </c>
      <c r="H704" s="2">
        <v>36526.916504629633</v>
      </c>
      <c r="I704">
        <v>17.5</v>
      </c>
      <c r="J704">
        <v>17.5</v>
      </c>
      <c r="K704" t="s">
        <v>196</v>
      </c>
      <c r="L704" t="s">
        <v>14</v>
      </c>
      <c r="M704" t="s">
        <v>130</v>
      </c>
      <c r="N704" t="s">
        <v>131</v>
      </c>
    </row>
    <row r="705" spans="1:14" x14ac:dyDescent="0.3">
      <c r="A705">
        <v>742</v>
      </c>
      <c r="B705">
        <v>325</v>
      </c>
      <c r="C705">
        <v>0.5</v>
      </c>
      <c r="D705" t="s">
        <v>50</v>
      </c>
      <c r="E705">
        <v>1</v>
      </c>
      <c r="F705" s="1">
        <v>42010</v>
      </c>
      <c r="G705" t="s">
        <v>187</v>
      </c>
      <c r="H705" s="2">
        <v>36526.546898148146</v>
      </c>
      <c r="I705">
        <v>12</v>
      </c>
      <c r="J705">
        <v>12</v>
      </c>
      <c r="K705" t="s">
        <v>198</v>
      </c>
      <c r="L705" t="s">
        <v>14</v>
      </c>
      <c r="M705" t="s">
        <v>18</v>
      </c>
      <c r="N705" t="s">
        <v>19</v>
      </c>
    </row>
    <row r="706" spans="1:14" x14ac:dyDescent="0.3">
      <c r="A706">
        <v>740</v>
      </c>
      <c r="B706">
        <v>323</v>
      </c>
      <c r="C706">
        <v>1</v>
      </c>
      <c r="D706" t="s">
        <v>17</v>
      </c>
      <c r="E706">
        <v>1</v>
      </c>
      <c r="F706" s="1">
        <v>42010</v>
      </c>
      <c r="G706" t="s">
        <v>187</v>
      </c>
      <c r="H706" s="2">
        <v>36526.545520833337</v>
      </c>
      <c r="I706">
        <v>16</v>
      </c>
      <c r="J706">
        <v>16</v>
      </c>
      <c r="K706" t="s">
        <v>197</v>
      </c>
      <c r="L706" t="s">
        <v>14</v>
      </c>
      <c r="M706" t="s">
        <v>18</v>
      </c>
      <c r="N706" t="s">
        <v>19</v>
      </c>
    </row>
    <row r="707" spans="1:14" x14ac:dyDescent="0.3">
      <c r="A707">
        <v>738</v>
      </c>
      <c r="B707">
        <v>322</v>
      </c>
      <c r="C707">
        <v>0.25</v>
      </c>
      <c r="D707" t="s">
        <v>50</v>
      </c>
      <c r="E707">
        <v>1</v>
      </c>
      <c r="F707" s="1">
        <v>42010</v>
      </c>
      <c r="G707" t="s">
        <v>187</v>
      </c>
      <c r="H707" s="2">
        <v>36526.543206018519</v>
      </c>
      <c r="I707">
        <v>12</v>
      </c>
      <c r="J707">
        <v>12</v>
      </c>
      <c r="K707" t="s">
        <v>198</v>
      </c>
      <c r="L707" t="s">
        <v>14</v>
      </c>
      <c r="M707" t="s">
        <v>18</v>
      </c>
      <c r="N707" t="s">
        <v>19</v>
      </c>
    </row>
    <row r="708" spans="1:14" x14ac:dyDescent="0.3">
      <c r="A708">
        <v>705</v>
      </c>
      <c r="B708">
        <v>310</v>
      </c>
      <c r="C708">
        <v>0.5</v>
      </c>
      <c r="D708" t="s">
        <v>132</v>
      </c>
      <c r="E708">
        <v>1</v>
      </c>
      <c r="F708" s="1">
        <v>42010</v>
      </c>
      <c r="G708" t="s">
        <v>187</v>
      </c>
      <c r="H708" s="2">
        <v>36526.486666666664</v>
      </c>
      <c r="I708">
        <v>10.5</v>
      </c>
      <c r="J708">
        <v>10.5</v>
      </c>
      <c r="K708" t="s">
        <v>198</v>
      </c>
      <c r="L708" t="s">
        <v>14</v>
      </c>
      <c r="M708" t="s">
        <v>15</v>
      </c>
      <c r="N708" t="s">
        <v>16</v>
      </c>
    </row>
    <row r="709" spans="1:14" x14ac:dyDescent="0.3">
      <c r="A709">
        <v>728</v>
      </c>
      <c r="B709">
        <v>318</v>
      </c>
      <c r="C709">
        <v>0.25</v>
      </c>
      <c r="D709" t="s">
        <v>54</v>
      </c>
      <c r="E709">
        <v>1</v>
      </c>
      <c r="F709" s="1">
        <v>42010</v>
      </c>
      <c r="G709" t="s">
        <v>187</v>
      </c>
      <c r="H709" s="2">
        <v>36526.531412037039</v>
      </c>
      <c r="I709">
        <v>20.5</v>
      </c>
      <c r="J709">
        <v>20.5</v>
      </c>
      <c r="K709" t="s">
        <v>196</v>
      </c>
      <c r="L709" t="s">
        <v>14</v>
      </c>
      <c r="M709" t="s">
        <v>55</v>
      </c>
      <c r="N709" t="s">
        <v>56</v>
      </c>
    </row>
    <row r="710" spans="1:14" x14ac:dyDescent="0.3">
      <c r="A710">
        <v>725</v>
      </c>
      <c r="B710">
        <v>317</v>
      </c>
      <c r="C710">
        <v>0.14285714285714285</v>
      </c>
      <c r="D710" t="s">
        <v>129</v>
      </c>
      <c r="E710">
        <v>1</v>
      </c>
      <c r="F710" s="1">
        <v>42010</v>
      </c>
      <c r="G710" t="s">
        <v>187</v>
      </c>
      <c r="H710" s="2">
        <v>36526.521527777775</v>
      </c>
      <c r="I710">
        <v>17.5</v>
      </c>
      <c r="J710">
        <v>17.5</v>
      </c>
      <c r="K710" t="s">
        <v>196</v>
      </c>
      <c r="L710" t="s">
        <v>14</v>
      </c>
      <c r="M710" t="s">
        <v>130</v>
      </c>
      <c r="N710" t="s">
        <v>131</v>
      </c>
    </row>
    <row r="711" spans="1:14" x14ac:dyDescent="0.3">
      <c r="A711">
        <v>708</v>
      </c>
      <c r="B711">
        <v>312</v>
      </c>
      <c r="C711">
        <v>0.25</v>
      </c>
      <c r="D711" t="s">
        <v>84</v>
      </c>
      <c r="E711">
        <v>1</v>
      </c>
      <c r="F711" s="1">
        <v>42010</v>
      </c>
      <c r="G711" t="s">
        <v>187</v>
      </c>
      <c r="H711" s="2">
        <v>36526.50371527778</v>
      </c>
      <c r="I711">
        <v>12</v>
      </c>
      <c r="J711">
        <v>12</v>
      </c>
      <c r="K711" t="s">
        <v>198</v>
      </c>
      <c r="L711" t="s">
        <v>14</v>
      </c>
      <c r="M711" t="s">
        <v>85</v>
      </c>
      <c r="N711" t="s">
        <v>86</v>
      </c>
    </row>
    <row r="712" spans="1:14" x14ac:dyDescent="0.3">
      <c r="A712">
        <v>724</v>
      </c>
      <c r="B712">
        <v>317</v>
      </c>
      <c r="C712">
        <v>0.14285714285714285</v>
      </c>
      <c r="D712" t="s">
        <v>132</v>
      </c>
      <c r="E712">
        <v>1</v>
      </c>
      <c r="F712" s="1">
        <v>42010</v>
      </c>
      <c r="G712" t="s">
        <v>187</v>
      </c>
      <c r="H712" s="2">
        <v>36526.521527777775</v>
      </c>
      <c r="I712">
        <v>10.5</v>
      </c>
      <c r="J712">
        <v>10.5</v>
      </c>
      <c r="K712" t="s">
        <v>198</v>
      </c>
      <c r="L712" t="s">
        <v>14</v>
      </c>
      <c r="M712" t="s">
        <v>15</v>
      </c>
      <c r="N712" t="s">
        <v>16</v>
      </c>
    </row>
    <row r="713" spans="1:14" x14ac:dyDescent="0.3">
      <c r="A713">
        <v>722</v>
      </c>
      <c r="B713">
        <v>317</v>
      </c>
      <c r="C713">
        <v>0.14285714285714285</v>
      </c>
      <c r="D713" t="s">
        <v>17</v>
      </c>
      <c r="E713">
        <v>1</v>
      </c>
      <c r="F713" s="1">
        <v>42010</v>
      </c>
      <c r="G713" t="s">
        <v>187</v>
      </c>
      <c r="H713" s="2">
        <v>36526.521527777775</v>
      </c>
      <c r="I713">
        <v>16</v>
      </c>
      <c r="J713">
        <v>16</v>
      </c>
      <c r="K713" t="s">
        <v>197</v>
      </c>
      <c r="L713" t="s">
        <v>14</v>
      </c>
      <c r="M713" t="s">
        <v>18</v>
      </c>
      <c r="N713" t="s">
        <v>19</v>
      </c>
    </row>
    <row r="714" spans="1:14" x14ac:dyDescent="0.3">
      <c r="A714">
        <v>719</v>
      </c>
      <c r="B714">
        <v>316</v>
      </c>
      <c r="C714">
        <v>0.5</v>
      </c>
      <c r="D714" t="s">
        <v>132</v>
      </c>
      <c r="E714">
        <v>1</v>
      </c>
      <c r="F714" s="1">
        <v>42010</v>
      </c>
      <c r="G714" t="s">
        <v>187</v>
      </c>
      <c r="H714" s="2">
        <v>36526.520532407405</v>
      </c>
      <c r="I714">
        <v>10.5</v>
      </c>
      <c r="J714">
        <v>10.5</v>
      </c>
      <c r="K714" t="s">
        <v>198</v>
      </c>
      <c r="L714" t="s">
        <v>14</v>
      </c>
      <c r="M714" t="s">
        <v>15</v>
      </c>
      <c r="N714" t="s">
        <v>16</v>
      </c>
    </row>
    <row r="715" spans="1:14" x14ac:dyDescent="0.3">
      <c r="A715">
        <v>712</v>
      </c>
      <c r="B715">
        <v>313</v>
      </c>
      <c r="C715">
        <v>1</v>
      </c>
      <c r="D715" t="s">
        <v>17</v>
      </c>
      <c r="E715">
        <v>1</v>
      </c>
      <c r="F715" s="1">
        <v>42010</v>
      </c>
      <c r="G715" t="s">
        <v>187</v>
      </c>
      <c r="H715" s="2">
        <v>36526.506354166668</v>
      </c>
      <c r="I715">
        <v>16</v>
      </c>
      <c r="J715">
        <v>16</v>
      </c>
      <c r="K715" t="s">
        <v>197</v>
      </c>
      <c r="L715" t="s">
        <v>14</v>
      </c>
      <c r="M715" t="s">
        <v>18</v>
      </c>
      <c r="N715" t="s">
        <v>19</v>
      </c>
    </row>
    <row r="716" spans="1:14" x14ac:dyDescent="0.3">
      <c r="A716">
        <v>718</v>
      </c>
      <c r="B716">
        <v>315</v>
      </c>
      <c r="C716">
        <v>1</v>
      </c>
      <c r="D716" t="s">
        <v>17</v>
      </c>
      <c r="E716">
        <v>1</v>
      </c>
      <c r="F716" s="1">
        <v>42010</v>
      </c>
      <c r="G716" t="s">
        <v>187</v>
      </c>
      <c r="H716" s="2">
        <v>36526.51226851852</v>
      </c>
      <c r="I716">
        <v>16</v>
      </c>
      <c r="J716">
        <v>16</v>
      </c>
      <c r="K716" t="s">
        <v>197</v>
      </c>
      <c r="L716" t="s">
        <v>14</v>
      </c>
      <c r="M716" t="s">
        <v>18</v>
      </c>
      <c r="N716" t="s">
        <v>19</v>
      </c>
    </row>
    <row r="717" spans="1:14" x14ac:dyDescent="0.3">
      <c r="A717">
        <v>716</v>
      </c>
      <c r="B717">
        <v>314</v>
      </c>
      <c r="C717">
        <v>0.2</v>
      </c>
      <c r="D717" t="s">
        <v>12</v>
      </c>
      <c r="E717">
        <v>1</v>
      </c>
      <c r="F717" s="1">
        <v>42010</v>
      </c>
      <c r="G717" t="s">
        <v>187</v>
      </c>
      <c r="H717" s="2">
        <v>36526.508310185185</v>
      </c>
      <c r="I717">
        <v>13.25</v>
      </c>
      <c r="J717">
        <v>13.25</v>
      </c>
      <c r="K717" t="s">
        <v>197</v>
      </c>
      <c r="L717" t="s">
        <v>14</v>
      </c>
      <c r="M717" t="s">
        <v>15</v>
      </c>
      <c r="N717" t="s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B7DD-6D92-4297-A1F2-A4AD538397FE}">
  <dimension ref="A3:G31"/>
  <sheetViews>
    <sheetView topLeftCell="A12" workbookViewId="0">
      <selection activeCell="B16" sqref="B16"/>
    </sheetView>
  </sheetViews>
  <sheetFormatPr defaultRowHeight="14.4" x14ac:dyDescent="0.3"/>
  <cols>
    <col min="1" max="1" width="12.5546875" bestFit="1" customWidth="1"/>
    <col min="2" max="2" width="14.6640625" bestFit="1" customWidth="1"/>
    <col min="5" max="5" width="12.44140625" customWidth="1"/>
    <col min="6" max="6" width="15" customWidth="1"/>
  </cols>
  <sheetData>
    <row r="3" spans="1:2" x14ac:dyDescent="0.3">
      <c r="A3" s="7" t="s">
        <v>184</v>
      </c>
      <c r="B3" t="s">
        <v>175</v>
      </c>
    </row>
    <row r="4" spans="1:2" x14ac:dyDescent="0.3">
      <c r="A4" s="8" t="s">
        <v>33</v>
      </c>
      <c r="B4" s="11">
        <v>0.23835832578924998</v>
      </c>
    </row>
    <row r="5" spans="1:2" x14ac:dyDescent="0.3">
      <c r="A5" s="8" t="s">
        <v>14</v>
      </c>
      <c r="B5" s="11">
        <v>0.26266272863472717</v>
      </c>
    </row>
    <row r="6" spans="1:2" x14ac:dyDescent="0.3">
      <c r="A6" s="8" t="s">
        <v>26</v>
      </c>
      <c r="B6" s="11">
        <v>0.258819839938847</v>
      </c>
    </row>
    <row r="7" spans="1:2" x14ac:dyDescent="0.3">
      <c r="A7" s="8" t="s">
        <v>22</v>
      </c>
      <c r="B7" s="11">
        <v>0.24015910563717593</v>
      </c>
    </row>
    <row r="8" spans="1:2" x14ac:dyDescent="0.3">
      <c r="A8" s="8" t="s">
        <v>192</v>
      </c>
      <c r="B8" s="11">
        <v>1</v>
      </c>
    </row>
    <row r="14" spans="1:2" x14ac:dyDescent="0.3">
      <c r="A14" s="7" t="s">
        <v>184</v>
      </c>
      <c r="B14" t="s">
        <v>175</v>
      </c>
    </row>
    <row r="15" spans="1:2" x14ac:dyDescent="0.3">
      <c r="A15" s="8" t="s">
        <v>196</v>
      </c>
      <c r="B15" s="11">
        <v>0.4674064972626924</v>
      </c>
    </row>
    <row r="16" spans="1:2" x14ac:dyDescent="0.3">
      <c r="A16" s="8" t="s">
        <v>197</v>
      </c>
      <c r="B16" s="11">
        <v>0.30890724513758799</v>
      </c>
    </row>
    <row r="17" spans="1:7" x14ac:dyDescent="0.3">
      <c r="A17" s="8" t="s">
        <v>198</v>
      </c>
      <c r="B17" s="11">
        <v>0.20494344693763283</v>
      </c>
    </row>
    <row r="18" spans="1:7" x14ac:dyDescent="0.3">
      <c r="A18" s="8" t="s">
        <v>199</v>
      </c>
      <c r="B18" s="11">
        <v>1.8742810662086714E-2</v>
      </c>
    </row>
    <row r="19" spans="1:7" x14ac:dyDescent="0.3">
      <c r="A19" s="8" t="s">
        <v>192</v>
      </c>
      <c r="B19" s="11">
        <v>1</v>
      </c>
    </row>
    <row r="26" spans="1:7" x14ac:dyDescent="0.3">
      <c r="A26" s="7" t="s">
        <v>184</v>
      </c>
      <c r="B26" t="s">
        <v>179</v>
      </c>
      <c r="D26" s="13"/>
      <c r="E26" s="13"/>
      <c r="F26" s="13"/>
      <c r="G26" s="13"/>
    </row>
    <row r="27" spans="1:7" x14ac:dyDescent="0.3">
      <c r="A27" s="8" t="s">
        <v>14</v>
      </c>
      <c r="B27">
        <v>728</v>
      </c>
      <c r="E27" s="12" t="s">
        <v>213</v>
      </c>
      <c r="F27" s="12" t="s">
        <v>214</v>
      </c>
    </row>
    <row r="28" spans="1:7" x14ac:dyDescent="0.3">
      <c r="A28" s="8" t="s">
        <v>26</v>
      </c>
      <c r="B28">
        <v>615</v>
      </c>
      <c r="E28" t="str">
        <f>A27</f>
        <v>Classic</v>
      </c>
      <c r="F28">
        <f>GETPIVOTDATA("quantity",$A$26,"pizza_category",A27)</f>
        <v>728</v>
      </c>
    </row>
    <row r="29" spans="1:7" x14ac:dyDescent="0.3">
      <c r="A29" s="8" t="s">
        <v>22</v>
      </c>
      <c r="B29">
        <v>582</v>
      </c>
      <c r="E29" t="str">
        <f t="shared" ref="E29:E31" si="0">A28</f>
        <v>Supreme</v>
      </c>
      <c r="F29">
        <f t="shared" ref="F29:F31" si="1">GETPIVOTDATA("quantity",$A$26,"pizza_category",A28)</f>
        <v>615</v>
      </c>
    </row>
    <row r="30" spans="1:7" x14ac:dyDescent="0.3">
      <c r="A30" s="8" t="s">
        <v>33</v>
      </c>
      <c r="B30">
        <v>545</v>
      </c>
      <c r="E30" t="str">
        <f t="shared" si="0"/>
        <v>Veggie</v>
      </c>
      <c r="F30">
        <f t="shared" si="1"/>
        <v>582</v>
      </c>
    </row>
    <row r="31" spans="1:7" x14ac:dyDescent="0.3">
      <c r="A31" s="8" t="s">
        <v>192</v>
      </c>
      <c r="B31">
        <v>2470</v>
      </c>
      <c r="E31" t="str">
        <f t="shared" si="0"/>
        <v>Chicken</v>
      </c>
      <c r="F31">
        <f t="shared" si="1"/>
        <v>545</v>
      </c>
    </row>
  </sheetData>
  <mergeCells count="2">
    <mergeCell ref="D26:E26"/>
    <mergeCell ref="F26:G26"/>
  </mergeCells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341A-D5DB-447C-802E-F4CBB47B87FA}">
  <dimension ref="A3:B20"/>
  <sheetViews>
    <sheetView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14.6640625" bestFit="1" customWidth="1"/>
  </cols>
  <sheetData>
    <row r="3" spans="1:2" x14ac:dyDescent="0.3">
      <c r="A3" s="7" t="s">
        <v>184</v>
      </c>
      <c r="B3" t="s">
        <v>179</v>
      </c>
    </row>
    <row r="4" spans="1:2" x14ac:dyDescent="0.3">
      <c r="A4" s="8" t="s">
        <v>19</v>
      </c>
      <c r="B4">
        <v>113</v>
      </c>
    </row>
    <row r="5" spans="1:2" x14ac:dyDescent="0.3">
      <c r="A5" s="8" t="s">
        <v>115</v>
      </c>
      <c r="B5">
        <v>113</v>
      </c>
    </row>
    <row r="6" spans="1:2" x14ac:dyDescent="0.3">
      <c r="A6" s="8" t="s">
        <v>75</v>
      </c>
      <c r="B6">
        <v>116</v>
      </c>
    </row>
    <row r="7" spans="1:2" x14ac:dyDescent="0.3">
      <c r="A7" s="8" t="s">
        <v>35</v>
      </c>
      <c r="B7">
        <v>117</v>
      </c>
    </row>
    <row r="8" spans="1:2" x14ac:dyDescent="0.3">
      <c r="A8" s="8" t="s">
        <v>43</v>
      </c>
      <c r="B8">
        <v>125</v>
      </c>
    </row>
    <row r="9" spans="1:2" x14ac:dyDescent="0.3">
      <c r="A9" s="8" t="s">
        <v>79</v>
      </c>
      <c r="B9">
        <v>152</v>
      </c>
    </row>
    <row r="10" spans="1:2" x14ac:dyDescent="0.3">
      <c r="A10" s="8" t="s">
        <v>192</v>
      </c>
      <c r="B10">
        <v>736</v>
      </c>
    </row>
    <row r="14" spans="1:2" x14ac:dyDescent="0.3">
      <c r="A14" s="7" t="s">
        <v>184</v>
      </c>
      <c r="B14" t="s">
        <v>179</v>
      </c>
    </row>
    <row r="15" spans="1:2" x14ac:dyDescent="0.3">
      <c r="A15" s="8" t="s">
        <v>83</v>
      </c>
      <c r="B15">
        <v>46</v>
      </c>
    </row>
    <row r="16" spans="1:2" x14ac:dyDescent="0.3">
      <c r="A16" s="8" t="s">
        <v>89</v>
      </c>
      <c r="B16">
        <v>41</v>
      </c>
    </row>
    <row r="17" spans="1:2" x14ac:dyDescent="0.3">
      <c r="A17" s="8" t="s">
        <v>105</v>
      </c>
      <c r="B17">
        <v>37</v>
      </c>
    </row>
    <row r="18" spans="1:2" x14ac:dyDescent="0.3">
      <c r="A18" s="8" t="s">
        <v>98</v>
      </c>
      <c r="B18">
        <v>37</v>
      </c>
    </row>
    <row r="19" spans="1:2" x14ac:dyDescent="0.3">
      <c r="A19" s="8" t="s">
        <v>167</v>
      </c>
      <c r="B19">
        <v>16</v>
      </c>
    </row>
    <row r="20" spans="1:2" x14ac:dyDescent="0.3">
      <c r="A20" s="8" t="s">
        <v>192</v>
      </c>
      <c r="B20">
        <v>177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54D8-8A4A-42FE-96E4-9E179AC926A1}">
  <dimension ref="A1:N2421"/>
  <sheetViews>
    <sheetView topLeftCell="A2" zoomScale="102" workbookViewId="0">
      <selection activeCell="A2" sqref="A2:A2421"/>
    </sheetView>
  </sheetViews>
  <sheetFormatPr defaultRowHeight="14.4" x14ac:dyDescent="0.3"/>
  <cols>
    <col min="1" max="1" width="9.88671875" bestFit="1" customWidth="1"/>
    <col min="2" max="2" width="10.33203125" bestFit="1" customWidth="1"/>
    <col min="3" max="3" width="13.44140625" bestFit="1" customWidth="1"/>
    <col min="4" max="4" width="15.77734375" bestFit="1" customWidth="1"/>
    <col min="5" max="5" width="10.33203125" bestFit="1" customWidth="1"/>
    <col min="6" max="6" width="12.5546875" customWidth="1"/>
    <col min="7" max="7" width="12.109375" bestFit="1" customWidth="1"/>
    <col min="8" max="8" width="15.44140625" bestFit="1" customWidth="1"/>
    <col min="9" max="9" width="11.6640625" bestFit="1" customWidth="1"/>
    <col min="10" max="10" width="12.21875" bestFit="1" customWidth="1"/>
    <col min="11" max="11" width="11.33203125" bestFit="1" customWidth="1"/>
    <col min="12" max="12" width="15.77734375" bestFit="1" customWidth="1"/>
    <col min="13" max="13" width="80.88671875" bestFit="1" customWidth="1"/>
    <col min="14" max="14" width="38.44140625" bestFit="1" customWidth="1"/>
  </cols>
  <sheetData>
    <row r="1" spans="1:14" x14ac:dyDescent="0.3">
      <c r="A1" t="s">
        <v>0</v>
      </c>
      <c r="B1" t="s">
        <v>1</v>
      </c>
      <c r="C1" t="s">
        <v>176</v>
      </c>
      <c r="D1" t="s">
        <v>2</v>
      </c>
      <c r="E1" t="s">
        <v>3</v>
      </c>
      <c r="F1" t="s">
        <v>4</v>
      </c>
      <c r="G1" t="s">
        <v>174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f>1/COUNTIF(pizza_sales[[#All],[order_id]],pizza_sales[[#This Row],[order_id]])</f>
        <v>1</v>
      </c>
      <c r="D2" t="s">
        <v>12</v>
      </c>
      <c r="E2">
        <v>1</v>
      </c>
      <c r="F2" s="1">
        <v>42005</v>
      </c>
      <c r="G2" s="1" t="str">
        <f>TEXT(pizza_sales[[#This Row],[order_date]],"dddd")</f>
        <v>Thursday</v>
      </c>
      <c r="H2" s="2">
        <v>36526.485138888886</v>
      </c>
      <c r="I2">
        <v>13.25</v>
      </c>
      <c r="J2">
        <v>13.25</v>
      </c>
      <c r="K2" t="s">
        <v>13</v>
      </c>
      <c r="L2" t="s">
        <v>14</v>
      </c>
      <c r="M2" t="s">
        <v>15</v>
      </c>
      <c r="N2" t="s">
        <v>16</v>
      </c>
    </row>
    <row r="3" spans="1:14" x14ac:dyDescent="0.3">
      <c r="A3">
        <v>2</v>
      </c>
      <c r="B3">
        <v>2</v>
      </c>
      <c r="C3">
        <f>1/COUNTIF(pizza_sales[[#All],[order_id]],pizza_sales[[#This Row],[order_id]])</f>
        <v>0.2</v>
      </c>
      <c r="D3" t="s">
        <v>17</v>
      </c>
      <c r="E3">
        <v>1</v>
      </c>
      <c r="F3" s="1">
        <v>42005</v>
      </c>
      <c r="G3" s="1" t="str">
        <f>TEXT(pizza_sales[[#This Row],[order_date]],"dddd")</f>
        <v>Thursday</v>
      </c>
      <c r="H3" s="2">
        <v>36526.498379629629</v>
      </c>
      <c r="I3">
        <v>16</v>
      </c>
      <c r="J3">
        <v>16</v>
      </c>
      <c r="K3" t="s">
        <v>13</v>
      </c>
      <c r="L3" t="s">
        <v>14</v>
      </c>
      <c r="M3" t="s">
        <v>18</v>
      </c>
      <c r="N3" t="s">
        <v>19</v>
      </c>
    </row>
    <row r="4" spans="1:14" x14ac:dyDescent="0.3">
      <c r="A4">
        <v>3</v>
      </c>
      <c r="B4">
        <v>2</v>
      </c>
      <c r="C4">
        <f>1/COUNTIF(pizza_sales[[#All],[order_id]],pizza_sales[[#This Row],[order_id]])</f>
        <v>0.2</v>
      </c>
      <c r="D4" t="s">
        <v>20</v>
      </c>
      <c r="E4">
        <v>1</v>
      </c>
      <c r="F4" s="1">
        <v>42005</v>
      </c>
      <c r="G4" s="1" t="str">
        <f>TEXT(pizza_sales[[#This Row],[order_date]],"dddd")</f>
        <v>Thursday</v>
      </c>
      <c r="H4" s="2">
        <v>36526.498379629629</v>
      </c>
      <c r="I4">
        <v>18.5</v>
      </c>
      <c r="J4">
        <v>18.5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3">
      <c r="A5">
        <v>4</v>
      </c>
      <c r="B5">
        <v>2</v>
      </c>
      <c r="C5">
        <f>1/COUNTIF(pizza_sales[[#All],[order_id]],pizza_sales[[#This Row],[order_id]])</f>
        <v>0.2</v>
      </c>
      <c r="D5" t="s">
        <v>25</v>
      </c>
      <c r="E5">
        <v>1</v>
      </c>
      <c r="F5" s="1">
        <v>42005</v>
      </c>
      <c r="G5" s="1" t="str">
        <f>TEXT(pizza_sales[[#This Row],[order_date]],"dddd")</f>
        <v>Thursday</v>
      </c>
      <c r="H5" s="2">
        <v>36526.498379629629</v>
      </c>
      <c r="I5">
        <v>20.75</v>
      </c>
      <c r="J5">
        <v>20.75</v>
      </c>
      <c r="K5" t="s">
        <v>21</v>
      </c>
      <c r="L5" t="s">
        <v>26</v>
      </c>
      <c r="M5" t="s">
        <v>27</v>
      </c>
      <c r="N5" t="s">
        <v>28</v>
      </c>
    </row>
    <row r="6" spans="1:14" x14ac:dyDescent="0.3">
      <c r="A6">
        <v>5</v>
      </c>
      <c r="B6">
        <v>2</v>
      </c>
      <c r="C6">
        <f>1/COUNTIF(pizza_sales[[#All],[order_id]],pizza_sales[[#This Row],[order_id]])</f>
        <v>0.2</v>
      </c>
      <c r="D6" t="s">
        <v>29</v>
      </c>
      <c r="E6">
        <v>1</v>
      </c>
      <c r="F6" s="1">
        <v>42005</v>
      </c>
      <c r="G6" s="1" t="str">
        <f>TEXT(pizza_sales[[#This Row],[order_date]],"dddd")</f>
        <v>Thursday</v>
      </c>
      <c r="H6" s="2">
        <v>36526.498379629629</v>
      </c>
      <c r="I6">
        <v>16</v>
      </c>
      <c r="J6">
        <v>16</v>
      </c>
      <c r="K6" t="s">
        <v>13</v>
      </c>
      <c r="L6" t="s">
        <v>22</v>
      </c>
      <c r="M6" t="s">
        <v>30</v>
      </c>
      <c r="N6" t="s">
        <v>31</v>
      </c>
    </row>
    <row r="7" spans="1:14" x14ac:dyDescent="0.3">
      <c r="A7">
        <v>6</v>
      </c>
      <c r="B7">
        <v>2</v>
      </c>
      <c r="C7">
        <f>1/COUNTIF(pizza_sales[[#All],[order_id]],pizza_sales[[#This Row],[order_id]])</f>
        <v>0.2</v>
      </c>
      <c r="D7" t="s">
        <v>32</v>
      </c>
      <c r="E7">
        <v>1</v>
      </c>
      <c r="F7" s="1">
        <v>42005</v>
      </c>
      <c r="G7" s="1" t="str">
        <f>TEXT(pizza_sales[[#This Row],[order_date]],"dddd")</f>
        <v>Thursday</v>
      </c>
      <c r="H7" s="2">
        <v>36526.498379629629</v>
      </c>
      <c r="I7">
        <v>20.75</v>
      </c>
      <c r="J7">
        <v>20.75</v>
      </c>
      <c r="K7" t="s">
        <v>21</v>
      </c>
      <c r="L7" t="s">
        <v>33</v>
      </c>
      <c r="M7" t="s">
        <v>34</v>
      </c>
      <c r="N7" t="s">
        <v>35</v>
      </c>
    </row>
    <row r="8" spans="1:14" x14ac:dyDescent="0.3">
      <c r="A8">
        <v>7</v>
      </c>
      <c r="B8">
        <v>3</v>
      </c>
      <c r="C8">
        <f>1/COUNTIF(pizza_sales[[#All],[order_id]],pizza_sales[[#This Row],[order_id]])</f>
        <v>0.5</v>
      </c>
      <c r="D8" t="s">
        <v>36</v>
      </c>
      <c r="E8">
        <v>1</v>
      </c>
      <c r="F8" s="1">
        <v>42005</v>
      </c>
      <c r="G8" s="1" t="str">
        <f>TEXT(pizza_sales[[#This Row],[order_date]],"dddd")</f>
        <v>Thursday</v>
      </c>
      <c r="H8" s="2">
        <v>36526.508657407408</v>
      </c>
      <c r="I8">
        <v>16.5</v>
      </c>
      <c r="J8">
        <v>16.5</v>
      </c>
      <c r="K8" t="s">
        <v>13</v>
      </c>
      <c r="L8" t="s">
        <v>26</v>
      </c>
      <c r="M8" t="s">
        <v>27</v>
      </c>
      <c r="N8" t="s">
        <v>28</v>
      </c>
    </row>
    <row r="9" spans="1:14" x14ac:dyDescent="0.3">
      <c r="A9">
        <v>8</v>
      </c>
      <c r="B9">
        <v>3</v>
      </c>
      <c r="C9">
        <f>1/COUNTIF(pizza_sales[[#All],[order_id]],pizza_sales[[#This Row],[order_id]])</f>
        <v>0.5</v>
      </c>
      <c r="D9" t="s">
        <v>37</v>
      </c>
      <c r="E9">
        <v>1</v>
      </c>
      <c r="F9" s="1">
        <v>42005</v>
      </c>
      <c r="G9" s="1" t="str">
        <f>TEXT(pizza_sales[[#This Row],[order_date]],"dddd")</f>
        <v>Thursday</v>
      </c>
      <c r="H9" s="2">
        <v>36526.508657407408</v>
      </c>
      <c r="I9">
        <v>20.75</v>
      </c>
      <c r="J9">
        <v>20.75</v>
      </c>
      <c r="K9" t="s">
        <v>21</v>
      </c>
      <c r="L9" t="s">
        <v>26</v>
      </c>
      <c r="M9" t="s">
        <v>38</v>
      </c>
      <c r="N9" t="s">
        <v>39</v>
      </c>
    </row>
    <row r="10" spans="1:14" x14ac:dyDescent="0.3">
      <c r="A10">
        <v>9</v>
      </c>
      <c r="B10">
        <v>4</v>
      </c>
      <c r="C10">
        <f>1/COUNTIF(pizza_sales[[#All],[order_id]],pizza_sales[[#This Row],[order_id]])</f>
        <v>1</v>
      </c>
      <c r="D10" t="s">
        <v>36</v>
      </c>
      <c r="E10">
        <v>1</v>
      </c>
      <c r="F10" s="1">
        <v>42005</v>
      </c>
      <c r="G10" s="1" t="str">
        <f>TEXT(pizza_sales[[#This Row],[order_date]],"dddd")</f>
        <v>Thursday</v>
      </c>
      <c r="H10" s="2">
        <v>36526.511469907404</v>
      </c>
      <c r="I10">
        <v>16.5</v>
      </c>
      <c r="J10">
        <v>16.5</v>
      </c>
      <c r="K10" t="s">
        <v>13</v>
      </c>
      <c r="L10" t="s">
        <v>26</v>
      </c>
      <c r="M10" t="s">
        <v>27</v>
      </c>
      <c r="N10" t="s">
        <v>28</v>
      </c>
    </row>
    <row r="11" spans="1:14" x14ac:dyDescent="0.3">
      <c r="A11">
        <v>10</v>
      </c>
      <c r="B11">
        <v>5</v>
      </c>
      <c r="C11">
        <f>1/COUNTIF(pizza_sales[[#All],[order_id]],pizza_sales[[#This Row],[order_id]])</f>
        <v>1</v>
      </c>
      <c r="D11" t="s">
        <v>36</v>
      </c>
      <c r="E11">
        <v>1</v>
      </c>
      <c r="F11" s="1">
        <v>42005</v>
      </c>
      <c r="G11" s="1" t="str">
        <f>TEXT(pizza_sales[[#This Row],[order_date]],"dddd")</f>
        <v>Thursday</v>
      </c>
      <c r="H11" s="2">
        <v>36526.514930555553</v>
      </c>
      <c r="I11">
        <v>16.5</v>
      </c>
      <c r="J11">
        <v>16.5</v>
      </c>
      <c r="K11" t="s">
        <v>13</v>
      </c>
      <c r="L11" t="s">
        <v>26</v>
      </c>
      <c r="M11" t="s">
        <v>27</v>
      </c>
      <c r="N11" t="s">
        <v>28</v>
      </c>
    </row>
    <row r="12" spans="1:14" x14ac:dyDescent="0.3">
      <c r="A12">
        <v>11</v>
      </c>
      <c r="B12">
        <v>6</v>
      </c>
      <c r="C12">
        <f>1/COUNTIF(pizza_sales[[#All],[order_id]],pizza_sales[[#This Row],[order_id]])</f>
        <v>0.5</v>
      </c>
      <c r="D12" t="s">
        <v>40</v>
      </c>
      <c r="E12">
        <v>1</v>
      </c>
      <c r="F12" s="1">
        <v>42005</v>
      </c>
      <c r="G12" s="1" t="str">
        <f>TEXT(pizza_sales[[#This Row],[order_date]],"dddd")</f>
        <v>Thursday</v>
      </c>
      <c r="H12" s="2">
        <v>36526.520555555559</v>
      </c>
      <c r="I12">
        <v>12.75</v>
      </c>
      <c r="J12">
        <v>12.75</v>
      </c>
      <c r="K12" t="s">
        <v>41</v>
      </c>
      <c r="L12" t="s">
        <v>33</v>
      </c>
      <c r="M12" t="s">
        <v>42</v>
      </c>
      <c r="N12" t="s">
        <v>43</v>
      </c>
    </row>
    <row r="13" spans="1:14" x14ac:dyDescent="0.3">
      <c r="A13">
        <v>12</v>
      </c>
      <c r="B13">
        <v>6</v>
      </c>
      <c r="C13">
        <f>1/COUNTIF(pizza_sales[[#All],[order_id]],pizza_sales[[#This Row],[order_id]])</f>
        <v>0.5</v>
      </c>
      <c r="D13" t="s">
        <v>44</v>
      </c>
      <c r="E13">
        <v>1</v>
      </c>
      <c r="F13" s="1">
        <v>42005</v>
      </c>
      <c r="G13" s="1" t="str">
        <f>TEXT(pizza_sales[[#This Row],[order_date]],"dddd")</f>
        <v>Thursday</v>
      </c>
      <c r="H13" s="2">
        <v>36526.520555555559</v>
      </c>
      <c r="I13">
        <v>12</v>
      </c>
      <c r="J13">
        <v>12</v>
      </c>
      <c r="K13" t="s">
        <v>41</v>
      </c>
      <c r="L13" t="s">
        <v>14</v>
      </c>
      <c r="M13" t="s">
        <v>45</v>
      </c>
      <c r="N13" t="s">
        <v>46</v>
      </c>
    </row>
    <row r="14" spans="1:14" x14ac:dyDescent="0.3">
      <c r="A14">
        <v>13</v>
      </c>
      <c r="B14">
        <v>7</v>
      </c>
      <c r="C14">
        <f>1/COUNTIF(pizza_sales[[#All],[order_id]],pizza_sales[[#This Row],[order_id]])</f>
        <v>1</v>
      </c>
      <c r="D14" t="s">
        <v>47</v>
      </c>
      <c r="E14">
        <v>1</v>
      </c>
      <c r="F14" s="1">
        <v>42005</v>
      </c>
      <c r="G14" s="1" t="str">
        <f>TEXT(pizza_sales[[#This Row],[order_date]],"dddd")</f>
        <v>Thursday</v>
      </c>
      <c r="H14" s="2">
        <v>36526.535150462965</v>
      </c>
      <c r="I14">
        <v>12.5</v>
      </c>
      <c r="J14">
        <v>12.5</v>
      </c>
      <c r="K14" t="s">
        <v>41</v>
      </c>
      <c r="L14" t="s">
        <v>26</v>
      </c>
      <c r="M14" t="s">
        <v>48</v>
      </c>
      <c r="N14" t="s">
        <v>49</v>
      </c>
    </row>
    <row r="15" spans="1:14" x14ac:dyDescent="0.3">
      <c r="A15">
        <v>14</v>
      </c>
      <c r="B15">
        <v>8</v>
      </c>
      <c r="C15">
        <f>1/COUNTIF(pizza_sales[[#All],[order_id]],pizza_sales[[#This Row],[order_id]])</f>
        <v>1</v>
      </c>
      <c r="D15" t="s">
        <v>47</v>
      </c>
      <c r="E15">
        <v>1</v>
      </c>
      <c r="F15" s="1">
        <v>42005</v>
      </c>
      <c r="G15" s="1" t="str">
        <f>TEXT(pizza_sales[[#This Row],[order_date]],"dddd")</f>
        <v>Thursday</v>
      </c>
      <c r="H15" s="2">
        <v>36526.535844907405</v>
      </c>
      <c r="I15">
        <v>12.5</v>
      </c>
      <c r="J15">
        <v>12.5</v>
      </c>
      <c r="K15" t="s">
        <v>41</v>
      </c>
      <c r="L15" t="s">
        <v>26</v>
      </c>
      <c r="M15" t="s">
        <v>48</v>
      </c>
      <c r="N15" t="s">
        <v>49</v>
      </c>
    </row>
    <row r="16" spans="1:14" x14ac:dyDescent="0.3">
      <c r="A16">
        <v>15</v>
      </c>
      <c r="B16">
        <v>9</v>
      </c>
      <c r="C16">
        <f>1/COUNTIF(pizza_sales[[#All],[order_id]],pizza_sales[[#This Row],[order_id]])</f>
        <v>0.1111111111111111</v>
      </c>
      <c r="D16" t="s">
        <v>50</v>
      </c>
      <c r="E16">
        <v>1</v>
      </c>
      <c r="F16" s="1">
        <v>42005</v>
      </c>
      <c r="G16" s="1" t="str">
        <f>TEXT(pizza_sales[[#This Row],[order_date]],"dddd")</f>
        <v>Thursday</v>
      </c>
      <c r="H16" s="2">
        <v>36526.536122685182</v>
      </c>
      <c r="I16">
        <v>12</v>
      </c>
      <c r="J16">
        <v>12</v>
      </c>
      <c r="K16" t="s">
        <v>41</v>
      </c>
      <c r="L16" t="s">
        <v>14</v>
      </c>
      <c r="M16" t="s">
        <v>18</v>
      </c>
      <c r="N16" t="s">
        <v>19</v>
      </c>
    </row>
    <row r="17" spans="1:14" x14ac:dyDescent="0.3">
      <c r="A17">
        <v>16</v>
      </c>
      <c r="B17">
        <v>9</v>
      </c>
      <c r="C17">
        <f>1/COUNTIF(pizza_sales[[#All],[order_id]],pizza_sales[[#This Row],[order_id]])</f>
        <v>0.1111111111111111</v>
      </c>
      <c r="D17" t="s">
        <v>51</v>
      </c>
      <c r="E17">
        <v>1</v>
      </c>
      <c r="F17" s="1">
        <v>42005</v>
      </c>
      <c r="G17" s="1" t="str">
        <f>TEXT(pizza_sales[[#This Row],[order_date]],"dddd")</f>
        <v>Thursday</v>
      </c>
      <c r="H17" s="2">
        <v>36526.536122685182</v>
      </c>
      <c r="I17">
        <v>12</v>
      </c>
      <c r="J17">
        <v>12</v>
      </c>
      <c r="K17" t="s">
        <v>41</v>
      </c>
      <c r="L17" t="s">
        <v>22</v>
      </c>
      <c r="M17" t="s">
        <v>52</v>
      </c>
      <c r="N17" t="s">
        <v>53</v>
      </c>
    </row>
    <row r="18" spans="1:14" x14ac:dyDescent="0.3">
      <c r="A18">
        <v>17</v>
      </c>
      <c r="B18">
        <v>9</v>
      </c>
      <c r="C18">
        <f>1/COUNTIF(pizza_sales[[#All],[order_id]],pizza_sales[[#This Row],[order_id]])</f>
        <v>0.1111111111111111</v>
      </c>
      <c r="D18" t="s">
        <v>54</v>
      </c>
      <c r="E18">
        <v>1</v>
      </c>
      <c r="F18" s="1">
        <v>42005</v>
      </c>
      <c r="G18" s="1" t="str">
        <f>TEXT(pizza_sales[[#This Row],[order_date]],"dddd")</f>
        <v>Thursday</v>
      </c>
      <c r="H18" s="2">
        <v>36526.536122685182</v>
      </c>
      <c r="I18">
        <v>20.5</v>
      </c>
      <c r="J18">
        <v>20.5</v>
      </c>
      <c r="K18" t="s">
        <v>21</v>
      </c>
      <c r="L18" t="s">
        <v>14</v>
      </c>
      <c r="M18" t="s">
        <v>55</v>
      </c>
      <c r="N18" t="s">
        <v>56</v>
      </c>
    </row>
    <row r="19" spans="1:14" x14ac:dyDescent="0.3">
      <c r="A19">
        <v>18</v>
      </c>
      <c r="B19">
        <v>9</v>
      </c>
      <c r="C19">
        <f>1/COUNTIF(pizza_sales[[#All],[order_id]],pizza_sales[[#This Row],[order_id]])</f>
        <v>0.1111111111111111</v>
      </c>
      <c r="D19" t="s">
        <v>25</v>
      </c>
      <c r="E19">
        <v>1</v>
      </c>
      <c r="F19" s="1">
        <v>42005</v>
      </c>
      <c r="G19" s="1" t="str">
        <f>TEXT(pizza_sales[[#This Row],[order_date]],"dddd")</f>
        <v>Thursday</v>
      </c>
      <c r="H19" s="2">
        <v>36526.536122685182</v>
      </c>
      <c r="I19">
        <v>20.75</v>
      </c>
      <c r="J19">
        <v>20.75</v>
      </c>
      <c r="K19" t="s">
        <v>21</v>
      </c>
      <c r="L19" t="s">
        <v>26</v>
      </c>
      <c r="M19" t="s">
        <v>27</v>
      </c>
      <c r="N19" t="s">
        <v>28</v>
      </c>
    </row>
    <row r="20" spans="1:14" x14ac:dyDescent="0.3">
      <c r="A20">
        <v>19</v>
      </c>
      <c r="B20">
        <v>9</v>
      </c>
      <c r="C20">
        <f>1/COUNTIF(pizza_sales[[#All],[order_id]],pizza_sales[[#This Row],[order_id]])</f>
        <v>0.1111111111111111</v>
      </c>
      <c r="D20" t="s">
        <v>57</v>
      </c>
      <c r="E20">
        <v>1</v>
      </c>
      <c r="F20" s="1">
        <v>42005</v>
      </c>
      <c r="G20" s="1" t="str">
        <f>TEXT(pizza_sales[[#This Row],[order_date]],"dddd")</f>
        <v>Thursday</v>
      </c>
      <c r="H20" s="2">
        <v>36526.536122685182</v>
      </c>
      <c r="I20">
        <v>12.5</v>
      </c>
      <c r="J20">
        <v>12.5</v>
      </c>
      <c r="K20" t="s">
        <v>41</v>
      </c>
      <c r="L20" t="s">
        <v>26</v>
      </c>
      <c r="M20" t="s">
        <v>27</v>
      </c>
      <c r="N20" t="s">
        <v>28</v>
      </c>
    </row>
    <row r="21" spans="1:14" x14ac:dyDescent="0.3">
      <c r="A21">
        <v>20</v>
      </c>
      <c r="B21">
        <v>9</v>
      </c>
      <c r="C21">
        <f>1/COUNTIF(pizza_sales[[#All],[order_id]],pizza_sales[[#This Row],[order_id]])</f>
        <v>0.1111111111111111</v>
      </c>
      <c r="D21" t="s">
        <v>58</v>
      </c>
      <c r="E21">
        <v>1</v>
      </c>
      <c r="F21" s="1">
        <v>42005</v>
      </c>
      <c r="G21" s="1" t="str">
        <f>TEXT(pizza_sales[[#This Row],[order_date]],"dddd")</f>
        <v>Thursday</v>
      </c>
      <c r="H21" s="2">
        <v>36526.536122685182</v>
      </c>
      <c r="I21">
        <v>12</v>
      </c>
      <c r="J21">
        <v>12</v>
      </c>
      <c r="K21" t="s">
        <v>41</v>
      </c>
      <c r="L21" t="s">
        <v>22</v>
      </c>
      <c r="M21" t="s">
        <v>30</v>
      </c>
      <c r="N21" t="s">
        <v>31</v>
      </c>
    </row>
    <row r="22" spans="1:14" x14ac:dyDescent="0.3">
      <c r="A22">
        <v>21</v>
      </c>
      <c r="B22">
        <v>9</v>
      </c>
      <c r="C22">
        <f>1/COUNTIF(pizza_sales[[#All],[order_id]],pizza_sales[[#This Row],[order_id]])</f>
        <v>0.1111111111111111</v>
      </c>
      <c r="D22" t="s">
        <v>59</v>
      </c>
      <c r="E22">
        <v>1</v>
      </c>
      <c r="F22" s="1">
        <v>42005</v>
      </c>
      <c r="G22" s="1" t="str">
        <f>TEXT(pizza_sales[[#This Row],[order_date]],"dddd")</f>
        <v>Thursday</v>
      </c>
      <c r="H22" s="2">
        <v>36526.536122685182</v>
      </c>
      <c r="I22">
        <v>20.75</v>
      </c>
      <c r="J22">
        <v>20.75</v>
      </c>
      <c r="K22" t="s">
        <v>21</v>
      </c>
      <c r="L22" t="s">
        <v>26</v>
      </c>
      <c r="M22" t="s">
        <v>60</v>
      </c>
      <c r="N22" t="s">
        <v>61</v>
      </c>
    </row>
    <row r="23" spans="1:14" x14ac:dyDescent="0.3">
      <c r="A23">
        <v>22</v>
      </c>
      <c r="B23">
        <v>9</v>
      </c>
      <c r="C23">
        <f>1/COUNTIF(pizza_sales[[#All],[order_id]],pizza_sales[[#This Row],[order_id]])</f>
        <v>0.1111111111111111</v>
      </c>
      <c r="D23" t="s">
        <v>62</v>
      </c>
      <c r="E23">
        <v>1</v>
      </c>
      <c r="F23" s="1">
        <v>42005</v>
      </c>
      <c r="G23" s="1" t="str">
        <f>TEXT(pizza_sales[[#This Row],[order_date]],"dddd")</f>
        <v>Thursday</v>
      </c>
      <c r="H23" s="2">
        <v>36526.536122685182</v>
      </c>
      <c r="I23">
        <v>20.75</v>
      </c>
      <c r="J23">
        <v>20.75</v>
      </c>
      <c r="K23" t="s">
        <v>21</v>
      </c>
      <c r="L23" t="s">
        <v>22</v>
      </c>
      <c r="M23" t="s">
        <v>63</v>
      </c>
      <c r="N23" t="s">
        <v>64</v>
      </c>
    </row>
    <row r="24" spans="1:14" x14ac:dyDescent="0.3">
      <c r="A24">
        <v>23</v>
      </c>
      <c r="B24">
        <v>9</v>
      </c>
      <c r="C24">
        <f>1/COUNTIF(pizza_sales[[#All],[order_id]],pizza_sales[[#This Row],[order_id]])</f>
        <v>0.1111111111111111</v>
      </c>
      <c r="D24" t="s">
        <v>65</v>
      </c>
      <c r="E24">
        <v>1</v>
      </c>
      <c r="F24" s="1">
        <v>42005</v>
      </c>
      <c r="G24" s="1" t="str">
        <f>TEXT(pizza_sales[[#This Row],[order_date]],"dddd")</f>
        <v>Thursday</v>
      </c>
      <c r="H24" s="2">
        <v>36526.536122685182</v>
      </c>
      <c r="I24">
        <v>12</v>
      </c>
      <c r="J24">
        <v>12</v>
      </c>
      <c r="K24" t="s">
        <v>41</v>
      </c>
      <c r="L24" t="s">
        <v>22</v>
      </c>
      <c r="M24" t="s">
        <v>66</v>
      </c>
      <c r="N24" t="s">
        <v>67</v>
      </c>
    </row>
    <row r="25" spans="1:14" x14ac:dyDescent="0.3">
      <c r="A25">
        <v>24</v>
      </c>
      <c r="B25">
        <v>10</v>
      </c>
      <c r="C25">
        <f>1/COUNTIF(pizza_sales[[#All],[order_id]],pizza_sales[[#This Row],[order_id]])</f>
        <v>0.5</v>
      </c>
      <c r="D25" t="s">
        <v>68</v>
      </c>
      <c r="E25">
        <v>1</v>
      </c>
      <c r="F25" s="1">
        <v>42005</v>
      </c>
      <c r="G25" s="1" t="str">
        <f>TEXT(pizza_sales[[#This Row],[order_date]],"dddd")</f>
        <v>Thursday</v>
      </c>
      <c r="H25" s="2">
        <v>36526.54184027778</v>
      </c>
      <c r="I25">
        <v>20.25</v>
      </c>
      <c r="J25">
        <v>20.25</v>
      </c>
      <c r="K25" t="s">
        <v>21</v>
      </c>
      <c r="L25" t="s">
        <v>22</v>
      </c>
      <c r="M25" t="s">
        <v>30</v>
      </c>
      <c r="N25" t="s">
        <v>31</v>
      </c>
    </row>
    <row r="26" spans="1:14" x14ac:dyDescent="0.3">
      <c r="A26">
        <v>25</v>
      </c>
      <c r="B26">
        <v>10</v>
      </c>
      <c r="C26">
        <f>1/COUNTIF(pizza_sales[[#All],[order_id]],pizza_sales[[#This Row],[order_id]])</f>
        <v>0.5</v>
      </c>
      <c r="D26" t="s">
        <v>69</v>
      </c>
      <c r="E26">
        <v>1</v>
      </c>
      <c r="F26" s="1">
        <v>42005</v>
      </c>
      <c r="G26" s="1" t="str">
        <f>TEXT(pizza_sales[[#This Row],[order_date]],"dddd")</f>
        <v>Thursday</v>
      </c>
      <c r="H26" s="2">
        <v>36526.54184027778</v>
      </c>
      <c r="I26">
        <v>20.75</v>
      </c>
      <c r="J26">
        <v>20.75</v>
      </c>
      <c r="K26" t="s">
        <v>21</v>
      </c>
      <c r="L26" t="s">
        <v>33</v>
      </c>
      <c r="M26" t="s">
        <v>70</v>
      </c>
      <c r="N26" t="s">
        <v>71</v>
      </c>
    </row>
    <row r="27" spans="1:14" x14ac:dyDescent="0.3">
      <c r="A27">
        <v>26</v>
      </c>
      <c r="B27">
        <v>11</v>
      </c>
      <c r="C27">
        <f>1/COUNTIF(pizza_sales[[#All],[order_id]],pizza_sales[[#This Row],[order_id]])</f>
        <v>0.25</v>
      </c>
      <c r="D27" t="s">
        <v>72</v>
      </c>
      <c r="E27">
        <v>1</v>
      </c>
      <c r="F27" s="1">
        <v>42005</v>
      </c>
      <c r="G27" s="1" t="str">
        <f>TEXT(pizza_sales[[#This Row],[order_date]],"dddd")</f>
        <v>Thursday</v>
      </c>
      <c r="H27" s="2">
        <v>36526.543738425928</v>
      </c>
      <c r="I27">
        <v>20.75</v>
      </c>
      <c r="J27">
        <v>20.75</v>
      </c>
      <c r="K27" t="s">
        <v>21</v>
      </c>
      <c r="L27" t="s">
        <v>33</v>
      </c>
      <c r="M27" t="s">
        <v>42</v>
      </c>
      <c r="N27" t="s">
        <v>43</v>
      </c>
    </row>
    <row r="28" spans="1:14" x14ac:dyDescent="0.3">
      <c r="A28">
        <v>27</v>
      </c>
      <c r="B28">
        <v>11</v>
      </c>
      <c r="C28">
        <f>1/COUNTIF(pizza_sales[[#All],[order_id]],pizza_sales[[#This Row],[order_id]])</f>
        <v>0.25</v>
      </c>
      <c r="D28" t="s">
        <v>73</v>
      </c>
      <c r="E28">
        <v>1</v>
      </c>
      <c r="F28" s="1">
        <v>42005</v>
      </c>
      <c r="G28" s="1" t="str">
        <f>TEXT(pizza_sales[[#This Row],[order_date]],"dddd")</f>
        <v>Thursday</v>
      </c>
      <c r="H28" s="2">
        <v>36526.543738425928</v>
      </c>
      <c r="I28">
        <v>20.75</v>
      </c>
      <c r="J28">
        <v>20.75</v>
      </c>
      <c r="K28" t="s">
        <v>21</v>
      </c>
      <c r="L28" t="s">
        <v>33</v>
      </c>
      <c r="M28" t="s">
        <v>74</v>
      </c>
      <c r="N28" t="s">
        <v>75</v>
      </c>
    </row>
    <row r="29" spans="1:14" x14ac:dyDescent="0.3">
      <c r="A29">
        <v>28</v>
      </c>
      <c r="B29">
        <v>11</v>
      </c>
      <c r="C29">
        <f>1/COUNTIF(pizza_sales[[#All],[order_id]],pizza_sales[[#This Row],[order_id]])</f>
        <v>0.25</v>
      </c>
      <c r="D29" t="s">
        <v>76</v>
      </c>
      <c r="E29">
        <v>1</v>
      </c>
      <c r="F29" s="1">
        <v>42005</v>
      </c>
      <c r="G29" s="1" t="str">
        <f>TEXT(pizza_sales[[#This Row],[order_date]],"dddd")</f>
        <v>Thursday</v>
      </c>
      <c r="H29" s="2">
        <v>36526.543738425928</v>
      </c>
      <c r="I29">
        <v>16.75</v>
      </c>
      <c r="J29">
        <v>16.75</v>
      </c>
      <c r="K29" t="s">
        <v>13</v>
      </c>
      <c r="L29" t="s">
        <v>33</v>
      </c>
      <c r="M29" t="s">
        <v>74</v>
      </c>
      <c r="N29" t="s">
        <v>75</v>
      </c>
    </row>
    <row r="30" spans="1:14" x14ac:dyDescent="0.3">
      <c r="A30">
        <v>29</v>
      </c>
      <c r="B30">
        <v>11</v>
      </c>
      <c r="C30">
        <f>1/COUNTIF(pizza_sales[[#All],[order_id]],pizza_sales[[#This Row],[order_id]])</f>
        <v>0.25</v>
      </c>
      <c r="D30" t="s">
        <v>77</v>
      </c>
      <c r="E30">
        <v>1</v>
      </c>
      <c r="F30" s="1">
        <v>42005</v>
      </c>
      <c r="G30" s="1" t="str">
        <f>TEXT(pizza_sales[[#This Row],[order_date]],"dddd")</f>
        <v>Thursday</v>
      </c>
      <c r="H30" s="2">
        <v>36526.543738425928</v>
      </c>
      <c r="I30">
        <v>15.25</v>
      </c>
      <c r="J30">
        <v>15.25</v>
      </c>
      <c r="K30" t="s">
        <v>21</v>
      </c>
      <c r="L30" t="s">
        <v>14</v>
      </c>
      <c r="M30" t="s">
        <v>78</v>
      </c>
      <c r="N30" t="s">
        <v>79</v>
      </c>
    </row>
    <row r="31" spans="1:14" x14ac:dyDescent="0.3">
      <c r="A31">
        <v>30</v>
      </c>
      <c r="B31">
        <v>12</v>
      </c>
      <c r="C31">
        <f>1/COUNTIF(pizza_sales[[#All],[order_id]],pizza_sales[[#This Row],[order_id]])</f>
        <v>0.25</v>
      </c>
      <c r="D31" t="s">
        <v>73</v>
      </c>
      <c r="E31">
        <v>1</v>
      </c>
      <c r="F31" s="1">
        <v>42005</v>
      </c>
      <c r="G31" s="1" t="str">
        <f>TEXT(pizza_sales[[#This Row],[order_date]],"dddd")</f>
        <v>Thursday</v>
      </c>
      <c r="H31" s="2">
        <v>36526.544918981483</v>
      </c>
      <c r="I31">
        <v>20.75</v>
      </c>
      <c r="J31">
        <v>20.75</v>
      </c>
      <c r="K31" t="s">
        <v>21</v>
      </c>
      <c r="L31" t="s">
        <v>33</v>
      </c>
      <c r="M31" t="s">
        <v>74</v>
      </c>
      <c r="N31" t="s">
        <v>75</v>
      </c>
    </row>
    <row r="32" spans="1:14" x14ac:dyDescent="0.3">
      <c r="A32">
        <v>31</v>
      </c>
      <c r="B32">
        <v>12</v>
      </c>
      <c r="C32">
        <f>1/COUNTIF(pizza_sales[[#All],[order_id]],pizza_sales[[#This Row],[order_id]])</f>
        <v>0.25</v>
      </c>
      <c r="D32" t="s">
        <v>80</v>
      </c>
      <c r="E32">
        <v>1</v>
      </c>
      <c r="F32" s="1">
        <v>42005</v>
      </c>
      <c r="G32" s="1" t="str">
        <f>TEXT(pizza_sales[[#This Row],[order_date]],"dddd")</f>
        <v>Thursday</v>
      </c>
      <c r="H32" s="2">
        <v>36526.544918981483</v>
      </c>
      <c r="I32">
        <v>12.75</v>
      </c>
      <c r="J32">
        <v>12.75</v>
      </c>
      <c r="K32" t="s">
        <v>41</v>
      </c>
      <c r="L32" t="s">
        <v>33</v>
      </c>
      <c r="M32" t="s">
        <v>74</v>
      </c>
      <c r="N32" t="s">
        <v>75</v>
      </c>
    </row>
    <row r="33" spans="1:14" x14ac:dyDescent="0.3">
      <c r="A33">
        <v>32</v>
      </c>
      <c r="B33">
        <v>12</v>
      </c>
      <c r="C33">
        <f>1/COUNTIF(pizza_sales[[#All],[order_id]],pizza_sales[[#This Row],[order_id]])</f>
        <v>0.25</v>
      </c>
      <c r="D33" t="s">
        <v>81</v>
      </c>
      <c r="E33">
        <v>1</v>
      </c>
      <c r="F33" s="1">
        <v>42005</v>
      </c>
      <c r="G33" s="1" t="str">
        <f>TEXT(pizza_sales[[#This Row],[order_date]],"dddd")</f>
        <v>Thursday</v>
      </c>
      <c r="H33" s="2">
        <v>36526.544918981483</v>
      </c>
      <c r="I33">
        <v>20.75</v>
      </c>
      <c r="J33">
        <v>20.75</v>
      </c>
      <c r="K33" t="s">
        <v>21</v>
      </c>
      <c r="L33" t="s">
        <v>33</v>
      </c>
      <c r="M33" t="s">
        <v>82</v>
      </c>
      <c r="N33" t="s">
        <v>83</v>
      </c>
    </row>
    <row r="34" spans="1:14" x14ac:dyDescent="0.3">
      <c r="A34">
        <v>33</v>
      </c>
      <c r="B34">
        <v>12</v>
      </c>
      <c r="C34">
        <f>1/COUNTIF(pizza_sales[[#All],[order_id]],pizza_sales[[#This Row],[order_id]])</f>
        <v>0.25</v>
      </c>
      <c r="D34" t="s">
        <v>36</v>
      </c>
      <c r="E34">
        <v>1</v>
      </c>
      <c r="F34" s="1">
        <v>42005</v>
      </c>
      <c r="G34" s="1" t="str">
        <f>TEXT(pizza_sales[[#This Row],[order_date]],"dddd")</f>
        <v>Thursday</v>
      </c>
      <c r="H34" s="2">
        <v>36526.544918981483</v>
      </c>
      <c r="I34">
        <v>16.5</v>
      </c>
      <c r="J34">
        <v>16.5</v>
      </c>
      <c r="K34" t="s">
        <v>13</v>
      </c>
      <c r="L34" t="s">
        <v>26</v>
      </c>
      <c r="M34" t="s">
        <v>27</v>
      </c>
      <c r="N34" t="s">
        <v>28</v>
      </c>
    </row>
    <row r="35" spans="1:14" x14ac:dyDescent="0.3">
      <c r="A35">
        <v>34</v>
      </c>
      <c r="B35">
        <v>13</v>
      </c>
      <c r="C35">
        <f>1/COUNTIF(pizza_sales[[#All],[order_id]],pizza_sales[[#This Row],[order_id]])</f>
        <v>1</v>
      </c>
      <c r="D35" t="s">
        <v>68</v>
      </c>
      <c r="E35">
        <v>1</v>
      </c>
      <c r="F35" s="1">
        <v>42005</v>
      </c>
      <c r="G35" s="1" t="str">
        <f>TEXT(pizza_sales[[#This Row],[order_date]],"dddd")</f>
        <v>Thursday</v>
      </c>
      <c r="H35" s="2">
        <v>36526.549942129626</v>
      </c>
      <c r="I35">
        <v>20.25</v>
      </c>
      <c r="J35">
        <v>20.25</v>
      </c>
      <c r="K35" t="s">
        <v>21</v>
      </c>
      <c r="L35" t="s">
        <v>22</v>
      </c>
      <c r="M35" t="s">
        <v>30</v>
      </c>
      <c r="N35" t="s">
        <v>31</v>
      </c>
    </row>
    <row r="36" spans="1:14" x14ac:dyDescent="0.3">
      <c r="A36">
        <v>35</v>
      </c>
      <c r="B36">
        <v>14</v>
      </c>
      <c r="C36">
        <f>1/COUNTIF(pizza_sales[[#All],[order_id]],pizza_sales[[#This Row],[order_id]])</f>
        <v>1</v>
      </c>
      <c r="D36" t="s">
        <v>44</v>
      </c>
      <c r="E36">
        <v>1</v>
      </c>
      <c r="F36" s="1">
        <v>42005</v>
      </c>
      <c r="G36" s="1" t="str">
        <f>TEXT(pizza_sales[[#This Row],[order_date]],"dddd")</f>
        <v>Thursday</v>
      </c>
      <c r="H36" s="2">
        <v>36526.551608796297</v>
      </c>
      <c r="I36">
        <v>12</v>
      </c>
      <c r="J36">
        <v>12</v>
      </c>
      <c r="K36" t="s">
        <v>41</v>
      </c>
      <c r="L36" t="s">
        <v>14</v>
      </c>
      <c r="M36" t="s">
        <v>45</v>
      </c>
      <c r="N36" t="s">
        <v>46</v>
      </c>
    </row>
    <row r="37" spans="1:14" x14ac:dyDescent="0.3">
      <c r="A37">
        <v>36</v>
      </c>
      <c r="B37">
        <v>15</v>
      </c>
      <c r="C37">
        <f>1/COUNTIF(pizza_sales[[#All],[order_id]],pizza_sales[[#This Row],[order_id]])</f>
        <v>0.25</v>
      </c>
      <c r="D37" t="s">
        <v>84</v>
      </c>
      <c r="E37">
        <v>1</v>
      </c>
      <c r="F37" s="1">
        <v>42005</v>
      </c>
      <c r="G37" s="1" t="str">
        <f>TEXT(pizza_sales[[#This Row],[order_date]],"dddd")</f>
        <v>Thursday</v>
      </c>
      <c r="H37" s="2">
        <v>36526.564583333333</v>
      </c>
      <c r="I37">
        <v>12</v>
      </c>
      <c r="J37">
        <v>12</v>
      </c>
      <c r="K37" t="s">
        <v>41</v>
      </c>
      <c r="L37" t="s">
        <v>14</v>
      </c>
      <c r="M37" t="s">
        <v>85</v>
      </c>
      <c r="N37" t="s">
        <v>86</v>
      </c>
    </row>
    <row r="38" spans="1:14" x14ac:dyDescent="0.3">
      <c r="A38">
        <v>37</v>
      </c>
      <c r="B38">
        <v>15</v>
      </c>
      <c r="C38">
        <f>1/COUNTIF(pizza_sales[[#All],[order_id]],pizza_sales[[#This Row],[order_id]])</f>
        <v>0.25</v>
      </c>
      <c r="D38" t="s">
        <v>20</v>
      </c>
      <c r="E38">
        <v>1</v>
      </c>
      <c r="F38" s="1">
        <v>42005</v>
      </c>
      <c r="G38" s="1" t="str">
        <f>TEXT(pizza_sales[[#This Row],[order_date]],"dddd")</f>
        <v>Thursday</v>
      </c>
      <c r="H38" s="2">
        <v>36526.564583333333</v>
      </c>
      <c r="I38">
        <v>18.5</v>
      </c>
      <c r="J38">
        <v>18.5</v>
      </c>
      <c r="K38" t="s">
        <v>21</v>
      </c>
      <c r="L38" t="s">
        <v>22</v>
      </c>
      <c r="M38" t="s">
        <v>23</v>
      </c>
      <c r="N38" t="s">
        <v>24</v>
      </c>
    </row>
    <row r="39" spans="1:14" x14ac:dyDescent="0.3">
      <c r="A39">
        <v>38</v>
      </c>
      <c r="B39">
        <v>15</v>
      </c>
      <c r="C39">
        <f>1/COUNTIF(pizza_sales[[#All],[order_id]],pizza_sales[[#This Row],[order_id]])</f>
        <v>0.25</v>
      </c>
      <c r="D39" t="s">
        <v>87</v>
      </c>
      <c r="E39">
        <v>1</v>
      </c>
      <c r="F39" s="1">
        <v>42005</v>
      </c>
      <c r="G39" s="1" t="str">
        <f>TEXT(pizza_sales[[#This Row],[order_date]],"dddd")</f>
        <v>Thursday</v>
      </c>
      <c r="H39" s="2">
        <v>36526.564583333333</v>
      </c>
      <c r="I39">
        <v>20.75</v>
      </c>
      <c r="J39">
        <v>20.75</v>
      </c>
      <c r="K39" t="s">
        <v>21</v>
      </c>
      <c r="L39" t="s">
        <v>26</v>
      </c>
      <c r="M39" t="s">
        <v>88</v>
      </c>
      <c r="N39" t="s">
        <v>89</v>
      </c>
    </row>
    <row r="40" spans="1:14" x14ac:dyDescent="0.3">
      <c r="A40">
        <v>39</v>
      </c>
      <c r="B40">
        <v>15</v>
      </c>
      <c r="C40">
        <f>1/COUNTIF(pizza_sales[[#All],[order_id]],pizza_sales[[#This Row],[order_id]])</f>
        <v>0.25</v>
      </c>
      <c r="D40" t="s">
        <v>44</v>
      </c>
      <c r="E40">
        <v>1</v>
      </c>
      <c r="F40" s="1">
        <v>42005</v>
      </c>
      <c r="G40" s="1" t="str">
        <f>TEXT(pizza_sales[[#This Row],[order_date]],"dddd")</f>
        <v>Thursday</v>
      </c>
      <c r="H40" s="2">
        <v>36526.564583333333</v>
      </c>
      <c r="I40">
        <v>12</v>
      </c>
      <c r="J40">
        <v>12</v>
      </c>
      <c r="K40" t="s">
        <v>41</v>
      </c>
      <c r="L40" t="s">
        <v>14</v>
      </c>
      <c r="M40" t="s">
        <v>45</v>
      </c>
      <c r="N40" t="s">
        <v>46</v>
      </c>
    </row>
    <row r="41" spans="1:14" x14ac:dyDescent="0.3">
      <c r="A41">
        <v>40</v>
      </c>
      <c r="B41">
        <v>16</v>
      </c>
      <c r="C41">
        <f>1/COUNTIF(pizza_sales[[#All],[order_id]],pizza_sales[[#This Row],[order_id]])</f>
        <v>0.33333333333333331</v>
      </c>
      <c r="D41" t="s">
        <v>90</v>
      </c>
      <c r="E41">
        <v>1</v>
      </c>
      <c r="F41" s="1">
        <v>42005</v>
      </c>
      <c r="G41" s="1" t="str">
        <f>TEXT(pizza_sales[[#This Row],[order_date]],"dddd")</f>
        <v>Thursday</v>
      </c>
      <c r="H41" s="2">
        <v>36526.565358796295</v>
      </c>
      <c r="I41">
        <v>17.95</v>
      </c>
      <c r="J41">
        <v>17.95</v>
      </c>
      <c r="K41" t="s">
        <v>21</v>
      </c>
      <c r="L41" t="s">
        <v>22</v>
      </c>
      <c r="M41" t="s">
        <v>91</v>
      </c>
      <c r="N41" t="s">
        <v>92</v>
      </c>
    </row>
    <row r="42" spans="1:14" x14ac:dyDescent="0.3">
      <c r="A42">
        <v>41</v>
      </c>
      <c r="B42">
        <v>16</v>
      </c>
      <c r="C42">
        <f>1/COUNTIF(pizza_sales[[#All],[order_id]],pizza_sales[[#This Row],[order_id]])</f>
        <v>0.33333333333333331</v>
      </c>
      <c r="D42" t="s">
        <v>93</v>
      </c>
      <c r="E42">
        <v>1</v>
      </c>
      <c r="F42" s="1">
        <v>42005</v>
      </c>
      <c r="G42" s="1" t="str">
        <f>TEXT(pizza_sales[[#This Row],[order_date]],"dddd")</f>
        <v>Thursday</v>
      </c>
      <c r="H42" s="2">
        <v>36526.565358796295</v>
      </c>
      <c r="I42">
        <v>12</v>
      </c>
      <c r="J42">
        <v>12</v>
      </c>
      <c r="K42" t="s">
        <v>41</v>
      </c>
      <c r="L42" t="s">
        <v>14</v>
      </c>
      <c r="M42" t="s">
        <v>94</v>
      </c>
      <c r="N42" t="s">
        <v>95</v>
      </c>
    </row>
    <row r="43" spans="1:14" x14ac:dyDescent="0.3">
      <c r="A43">
        <v>42</v>
      </c>
      <c r="B43">
        <v>16</v>
      </c>
      <c r="C43">
        <f>1/COUNTIF(pizza_sales[[#All],[order_id]],pizza_sales[[#This Row],[order_id]])</f>
        <v>0.33333333333333331</v>
      </c>
      <c r="D43" t="s">
        <v>32</v>
      </c>
      <c r="E43">
        <v>1</v>
      </c>
      <c r="F43" s="1">
        <v>42005</v>
      </c>
      <c r="G43" s="1" t="str">
        <f>TEXT(pizza_sales[[#This Row],[order_date]],"dddd")</f>
        <v>Thursday</v>
      </c>
      <c r="H43" s="2">
        <v>36526.565358796295</v>
      </c>
      <c r="I43">
        <v>20.75</v>
      </c>
      <c r="J43">
        <v>20.75</v>
      </c>
      <c r="K43" t="s">
        <v>21</v>
      </c>
      <c r="L43" t="s">
        <v>33</v>
      </c>
      <c r="M43" t="s">
        <v>34</v>
      </c>
      <c r="N43" t="s">
        <v>35</v>
      </c>
    </row>
    <row r="44" spans="1:14" x14ac:dyDescent="0.3">
      <c r="A44">
        <v>43</v>
      </c>
      <c r="B44">
        <v>17</v>
      </c>
      <c r="C44">
        <f>1/COUNTIF(pizza_sales[[#All],[order_id]],pizza_sales[[#This Row],[order_id]])</f>
        <v>0.1</v>
      </c>
      <c r="D44" t="s">
        <v>72</v>
      </c>
      <c r="E44">
        <v>1</v>
      </c>
      <c r="F44" s="1">
        <v>42005</v>
      </c>
      <c r="G44" s="1" t="str">
        <f>TEXT(pizza_sales[[#This Row],[order_date]],"dddd")</f>
        <v>Thursday</v>
      </c>
      <c r="H44" s="2">
        <v>36526.578472222223</v>
      </c>
      <c r="I44">
        <v>20.75</v>
      </c>
      <c r="J44">
        <v>20.75</v>
      </c>
      <c r="K44" t="s">
        <v>21</v>
      </c>
      <c r="L44" t="s">
        <v>33</v>
      </c>
      <c r="M44" t="s">
        <v>42</v>
      </c>
      <c r="N44" t="s">
        <v>43</v>
      </c>
    </row>
    <row r="45" spans="1:14" x14ac:dyDescent="0.3">
      <c r="A45">
        <v>44</v>
      </c>
      <c r="B45">
        <v>17</v>
      </c>
      <c r="C45">
        <f>1/COUNTIF(pizza_sales[[#All],[order_id]],pizza_sales[[#This Row],[order_id]])</f>
        <v>0.1</v>
      </c>
      <c r="D45" t="s">
        <v>96</v>
      </c>
      <c r="E45">
        <v>1</v>
      </c>
      <c r="F45" s="1">
        <v>42005</v>
      </c>
      <c r="G45" s="1" t="str">
        <f>TEXT(pizza_sales[[#This Row],[order_date]],"dddd")</f>
        <v>Thursday</v>
      </c>
      <c r="H45" s="2">
        <v>36526.578472222223</v>
      </c>
      <c r="I45">
        <v>16.25</v>
      </c>
      <c r="J45">
        <v>16.25</v>
      </c>
      <c r="K45" t="s">
        <v>13</v>
      </c>
      <c r="L45" t="s">
        <v>26</v>
      </c>
      <c r="M45" t="s">
        <v>97</v>
      </c>
      <c r="N45" t="s">
        <v>98</v>
      </c>
    </row>
    <row r="46" spans="1:14" x14ac:dyDescent="0.3">
      <c r="A46">
        <v>45</v>
      </c>
      <c r="B46">
        <v>17</v>
      </c>
      <c r="C46">
        <f>1/COUNTIF(pizza_sales[[#All],[order_id]],pizza_sales[[#This Row],[order_id]])</f>
        <v>0.1</v>
      </c>
      <c r="D46" t="s">
        <v>20</v>
      </c>
      <c r="E46">
        <v>1</v>
      </c>
      <c r="F46" s="1">
        <v>42005</v>
      </c>
      <c r="G46" s="1" t="str">
        <f>TEXT(pizza_sales[[#This Row],[order_date]],"dddd")</f>
        <v>Thursday</v>
      </c>
      <c r="H46" s="2">
        <v>36526.578472222223</v>
      </c>
      <c r="I46">
        <v>18.5</v>
      </c>
      <c r="J46">
        <v>18.5</v>
      </c>
      <c r="K46" t="s">
        <v>21</v>
      </c>
      <c r="L46" t="s">
        <v>22</v>
      </c>
      <c r="M46" t="s">
        <v>23</v>
      </c>
      <c r="N46" t="s">
        <v>24</v>
      </c>
    </row>
    <row r="47" spans="1:14" x14ac:dyDescent="0.3">
      <c r="A47">
        <v>46</v>
      </c>
      <c r="B47">
        <v>17</v>
      </c>
      <c r="C47">
        <f>1/COUNTIF(pizza_sales[[#All],[order_id]],pizza_sales[[#This Row],[order_id]])</f>
        <v>0.1</v>
      </c>
      <c r="D47" t="s">
        <v>99</v>
      </c>
      <c r="E47">
        <v>1</v>
      </c>
      <c r="F47" s="1">
        <v>42005</v>
      </c>
      <c r="G47" s="1" t="str">
        <f>TEXT(pizza_sales[[#This Row],[order_date]],"dddd")</f>
        <v>Thursday</v>
      </c>
      <c r="H47" s="2">
        <v>36526.578472222223</v>
      </c>
      <c r="I47">
        <v>14.75</v>
      </c>
      <c r="J47">
        <v>14.75</v>
      </c>
      <c r="K47" t="s">
        <v>13</v>
      </c>
      <c r="L47" t="s">
        <v>22</v>
      </c>
      <c r="M47" t="s">
        <v>91</v>
      </c>
      <c r="N47" t="s">
        <v>92</v>
      </c>
    </row>
    <row r="48" spans="1:14" x14ac:dyDescent="0.3">
      <c r="A48">
        <v>47</v>
      </c>
      <c r="B48">
        <v>17</v>
      </c>
      <c r="C48">
        <f>1/COUNTIF(pizza_sales[[#All],[order_id]],pizza_sales[[#This Row],[order_id]])</f>
        <v>0.1</v>
      </c>
      <c r="D48" t="s">
        <v>36</v>
      </c>
      <c r="E48">
        <v>1</v>
      </c>
      <c r="F48" s="1">
        <v>42005</v>
      </c>
      <c r="G48" s="1" t="str">
        <f>TEXT(pizza_sales[[#This Row],[order_date]],"dddd")</f>
        <v>Thursday</v>
      </c>
      <c r="H48" s="2">
        <v>36526.578472222223</v>
      </c>
      <c r="I48">
        <v>16.5</v>
      </c>
      <c r="J48">
        <v>16.5</v>
      </c>
      <c r="K48" t="s">
        <v>13</v>
      </c>
      <c r="L48" t="s">
        <v>26</v>
      </c>
      <c r="M48" t="s">
        <v>27</v>
      </c>
      <c r="N48" t="s">
        <v>28</v>
      </c>
    </row>
    <row r="49" spans="1:14" x14ac:dyDescent="0.3">
      <c r="A49">
        <v>48</v>
      </c>
      <c r="B49">
        <v>17</v>
      </c>
      <c r="C49">
        <f>1/COUNTIF(pizza_sales[[#All],[order_id]],pizza_sales[[#This Row],[order_id]])</f>
        <v>0.1</v>
      </c>
      <c r="D49" t="s">
        <v>100</v>
      </c>
      <c r="E49">
        <v>1</v>
      </c>
      <c r="F49" s="1">
        <v>42005</v>
      </c>
      <c r="G49" s="1" t="str">
        <f>TEXT(pizza_sales[[#This Row],[order_date]],"dddd")</f>
        <v>Thursday</v>
      </c>
      <c r="H49" s="2">
        <v>36526.578472222223</v>
      </c>
      <c r="I49">
        <v>12.75</v>
      </c>
      <c r="J49">
        <v>12.75</v>
      </c>
      <c r="K49" t="s">
        <v>41</v>
      </c>
      <c r="L49" t="s">
        <v>22</v>
      </c>
      <c r="M49" t="s">
        <v>101</v>
      </c>
      <c r="N49" t="s">
        <v>102</v>
      </c>
    </row>
    <row r="50" spans="1:14" x14ac:dyDescent="0.3">
      <c r="A50">
        <v>49</v>
      </c>
      <c r="B50">
        <v>17</v>
      </c>
      <c r="C50">
        <f>1/COUNTIF(pizza_sales[[#All],[order_id]],pizza_sales[[#This Row],[order_id]])</f>
        <v>0.1</v>
      </c>
      <c r="D50" t="s">
        <v>103</v>
      </c>
      <c r="E50">
        <v>2</v>
      </c>
      <c r="F50" s="1">
        <v>42005</v>
      </c>
      <c r="G50" s="1" t="str">
        <f>TEXT(pizza_sales[[#This Row],[order_date]],"dddd")</f>
        <v>Thursday</v>
      </c>
      <c r="H50" s="2">
        <v>36526.578472222223</v>
      </c>
      <c r="I50">
        <v>16</v>
      </c>
      <c r="J50">
        <v>32</v>
      </c>
      <c r="K50" t="s">
        <v>13</v>
      </c>
      <c r="L50" t="s">
        <v>22</v>
      </c>
      <c r="M50" t="s">
        <v>104</v>
      </c>
      <c r="N50" t="s">
        <v>105</v>
      </c>
    </row>
    <row r="51" spans="1:14" x14ac:dyDescent="0.3">
      <c r="A51">
        <v>50</v>
      </c>
      <c r="B51">
        <v>17</v>
      </c>
      <c r="C51">
        <f>1/COUNTIF(pizza_sales[[#All],[order_id]],pizza_sales[[#This Row],[order_id]])</f>
        <v>0.1</v>
      </c>
      <c r="D51" t="s">
        <v>68</v>
      </c>
      <c r="E51">
        <v>1</v>
      </c>
      <c r="F51" s="1">
        <v>42005</v>
      </c>
      <c r="G51" s="1" t="str">
        <f>TEXT(pizza_sales[[#This Row],[order_date]],"dddd")</f>
        <v>Thursday</v>
      </c>
      <c r="H51" s="2">
        <v>36526.578472222223</v>
      </c>
      <c r="I51">
        <v>20.25</v>
      </c>
      <c r="J51">
        <v>20.25</v>
      </c>
      <c r="K51" t="s">
        <v>21</v>
      </c>
      <c r="L51" t="s">
        <v>22</v>
      </c>
      <c r="M51" t="s">
        <v>30</v>
      </c>
      <c r="N51" t="s">
        <v>31</v>
      </c>
    </row>
    <row r="52" spans="1:14" x14ac:dyDescent="0.3">
      <c r="A52">
        <v>51</v>
      </c>
      <c r="B52">
        <v>17</v>
      </c>
      <c r="C52">
        <f>1/COUNTIF(pizza_sales[[#All],[order_id]],pizza_sales[[#This Row],[order_id]])</f>
        <v>0.1</v>
      </c>
      <c r="D52" t="s">
        <v>106</v>
      </c>
      <c r="E52">
        <v>1</v>
      </c>
      <c r="F52" s="1">
        <v>42005</v>
      </c>
      <c r="G52" s="1" t="str">
        <f>TEXT(pizza_sales[[#This Row],[order_date]],"dddd")</f>
        <v>Thursday</v>
      </c>
      <c r="H52" s="2">
        <v>36526.578472222223</v>
      </c>
      <c r="I52">
        <v>12.5</v>
      </c>
      <c r="J52">
        <v>12.5</v>
      </c>
      <c r="K52" t="s">
        <v>41</v>
      </c>
      <c r="L52" t="s">
        <v>26</v>
      </c>
      <c r="M52" t="s">
        <v>107</v>
      </c>
      <c r="N52" t="s">
        <v>108</v>
      </c>
    </row>
    <row r="53" spans="1:14" x14ac:dyDescent="0.3">
      <c r="A53">
        <v>52</v>
      </c>
      <c r="B53">
        <v>17</v>
      </c>
      <c r="C53">
        <f>1/COUNTIF(pizza_sales[[#All],[order_id]],pizza_sales[[#This Row],[order_id]])</f>
        <v>0.1</v>
      </c>
      <c r="D53" t="s">
        <v>109</v>
      </c>
      <c r="E53">
        <v>1</v>
      </c>
      <c r="F53" s="1">
        <v>42005</v>
      </c>
      <c r="G53" s="1" t="str">
        <f>TEXT(pizza_sales[[#This Row],[order_date]],"dddd")</f>
        <v>Thursday</v>
      </c>
      <c r="H53" s="2">
        <v>36526.578472222223</v>
      </c>
      <c r="I53">
        <v>20.25</v>
      </c>
      <c r="J53">
        <v>20.25</v>
      </c>
      <c r="K53" t="s">
        <v>21</v>
      </c>
      <c r="L53" t="s">
        <v>22</v>
      </c>
      <c r="M53" t="s">
        <v>110</v>
      </c>
      <c r="N53" t="s">
        <v>111</v>
      </c>
    </row>
    <row r="54" spans="1:14" x14ac:dyDescent="0.3">
      <c r="A54">
        <v>53</v>
      </c>
      <c r="B54">
        <v>18</v>
      </c>
      <c r="C54">
        <f>1/COUNTIF(pizza_sales[[#All],[order_id]],pizza_sales[[#This Row],[order_id]])</f>
        <v>1</v>
      </c>
      <c r="D54" t="s">
        <v>112</v>
      </c>
      <c r="E54">
        <v>1</v>
      </c>
      <c r="F54" s="1">
        <v>42005</v>
      </c>
      <c r="G54" s="1" t="str">
        <f>TEXT(pizza_sales[[#This Row],[order_date]],"dddd")</f>
        <v>Thursday</v>
      </c>
      <c r="H54" s="2">
        <v>36526.581342592595</v>
      </c>
      <c r="I54">
        <v>20.5</v>
      </c>
      <c r="J54">
        <v>20.5</v>
      </c>
      <c r="K54" t="s">
        <v>21</v>
      </c>
      <c r="L54" t="s">
        <v>14</v>
      </c>
      <c r="M54" t="s">
        <v>94</v>
      </c>
      <c r="N54" t="s">
        <v>95</v>
      </c>
    </row>
    <row r="55" spans="1:14" x14ac:dyDescent="0.3">
      <c r="A55">
        <v>54</v>
      </c>
      <c r="B55">
        <v>19</v>
      </c>
      <c r="C55">
        <f>1/COUNTIF(pizza_sales[[#All],[order_id]],pizza_sales[[#This Row],[order_id]])</f>
        <v>0.5</v>
      </c>
      <c r="D55" t="s">
        <v>54</v>
      </c>
      <c r="E55">
        <v>1</v>
      </c>
      <c r="F55" s="1">
        <v>42005</v>
      </c>
      <c r="G55" s="1" t="str">
        <f>TEXT(pizza_sales[[#This Row],[order_date]],"dddd")</f>
        <v>Thursday</v>
      </c>
      <c r="H55" s="2">
        <v>36526.582743055558</v>
      </c>
      <c r="I55">
        <v>20.5</v>
      </c>
      <c r="J55">
        <v>20.5</v>
      </c>
      <c r="K55" t="s">
        <v>21</v>
      </c>
      <c r="L55" t="s">
        <v>14</v>
      </c>
      <c r="M55" t="s">
        <v>55</v>
      </c>
      <c r="N55" t="s">
        <v>56</v>
      </c>
    </row>
    <row r="56" spans="1:14" x14ac:dyDescent="0.3">
      <c r="A56">
        <v>55</v>
      </c>
      <c r="B56">
        <v>19</v>
      </c>
      <c r="C56">
        <f>1/COUNTIF(pizza_sales[[#All],[order_id]],pizza_sales[[#This Row],[order_id]])</f>
        <v>0.5</v>
      </c>
      <c r="D56" t="s">
        <v>113</v>
      </c>
      <c r="E56">
        <v>1</v>
      </c>
      <c r="F56" s="1">
        <v>42005</v>
      </c>
      <c r="G56" s="1" t="str">
        <f>TEXT(pizza_sales[[#This Row],[order_date]],"dddd")</f>
        <v>Thursday</v>
      </c>
      <c r="H56" s="2">
        <v>36526.582743055558</v>
      </c>
      <c r="I56">
        <v>20.25</v>
      </c>
      <c r="J56">
        <v>20.25</v>
      </c>
      <c r="K56" t="s">
        <v>21</v>
      </c>
      <c r="L56" t="s">
        <v>26</v>
      </c>
      <c r="M56" t="s">
        <v>114</v>
      </c>
      <c r="N56" t="s">
        <v>115</v>
      </c>
    </row>
    <row r="57" spans="1:14" x14ac:dyDescent="0.3">
      <c r="A57">
        <v>56</v>
      </c>
      <c r="B57">
        <v>20</v>
      </c>
      <c r="C57">
        <f>1/COUNTIF(pizza_sales[[#All],[order_id]],pizza_sales[[#This Row],[order_id]])</f>
        <v>0.5</v>
      </c>
      <c r="D57" t="s">
        <v>84</v>
      </c>
      <c r="E57">
        <v>1</v>
      </c>
      <c r="F57" s="1">
        <v>42005</v>
      </c>
      <c r="G57" s="1" t="str">
        <f>TEXT(pizza_sales[[#This Row],[order_date]],"dddd")</f>
        <v>Thursday</v>
      </c>
      <c r="H57" s="2">
        <v>36526.585509259261</v>
      </c>
      <c r="I57">
        <v>12</v>
      </c>
      <c r="J57">
        <v>12</v>
      </c>
      <c r="K57" t="s">
        <v>41</v>
      </c>
      <c r="L57" t="s">
        <v>14</v>
      </c>
      <c r="M57" t="s">
        <v>85</v>
      </c>
      <c r="N57" t="s">
        <v>86</v>
      </c>
    </row>
    <row r="58" spans="1:14" x14ac:dyDescent="0.3">
      <c r="A58">
        <v>57</v>
      </c>
      <c r="B58">
        <v>20</v>
      </c>
      <c r="C58">
        <f>1/COUNTIF(pizza_sales[[#All],[order_id]],pizza_sales[[#This Row],[order_id]])</f>
        <v>0.5</v>
      </c>
      <c r="D58" t="s">
        <v>20</v>
      </c>
      <c r="E58">
        <v>1</v>
      </c>
      <c r="F58" s="1">
        <v>42005</v>
      </c>
      <c r="G58" s="1" t="str">
        <f>TEXT(pizza_sales[[#This Row],[order_date]],"dddd")</f>
        <v>Thursday</v>
      </c>
      <c r="H58" s="2">
        <v>36526.585509259261</v>
      </c>
      <c r="I58">
        <v>18.5</v>
      </c>
      <c r="J58">
        <v>18.5</v>
      </c>
      <c r="K58" t="s">
        <v>21</v>
      </c>
      <c r="L58" t="s">
        <v>22</v>
      </c>
      <c r="M58" t="s">
        <v>23</v>
      </c>
      <c r="N58" t="s">
        <v>24</v>
      </c>
    </row>
    <row r="59" spans="1:14" x14ac:dyDescent="0.3">
      <c r="A59">
        <v>58</v>
      </c>
      <c r="B59">
        <v>21</v>
      </c>
      <c r="C59">
        <f>1/COUNTIF(pizza_sales[[#All],[order_id]],pizza_sales[[#This Row],[order_id]])</f>
        <v>1</v>
      </c>
      <c r="D59" t="s">
        <v>54</v>
      </c>
      <c r="E59">
        <v>1</v>
      </c>
      <c r="F59" s="1">
        <v>42005</v>
      </c>
      <c r="G59" s="1" t="str">
        <f>TEXT(pizza_sales[[#This Row],[order_date]],"dddd")</f>
        <v>Thursday</v>
      </c>
      <c r="H59" s="2">
        <v>36526.593391203707</v>
      </c>
      <c r="I59">
        <v>20.5</v>
      </c>
      <c r="J59">
        <v>20.5</v>
      </c>
      <c r="K59" t="s">
        <v>21</v>
      </c>
      <c r="L59" t="s">
        <v>14</v>
      </c>
      <c r="M59" t="s">
        <v>55</v>
      </c>
      <c r="N59" t="s">
        <v>56</v>
      </c>
    </row>
    <row r="60" spans="1:14" x14ac:dyDescent="0.3">
      <c r="A60">
        <v>59</v>
      </c>
      <c r="B60">
        <v>22</v>
      </c>
      <c r="C60">
        <f>1/COUNTIF(pizza_sales[[#All],[order_id]],pizza_sales[[#This Row],[order_id]])</f>
        <v>0.33333333333333331</v>
      </c>
      <c r="D60" t="s">
        <v>20</v>
      </c>
      <c r="E60">
        <v>1</v>
      </c>
      <c r="F60" s="1">
        <v>42005</v>
      </c>
      <c r="G60" s="1" t="str">
        <f>TEXT(pizza_sales[[#This Row],[order_date]],"dddd")</f>
        <v>Thursday</v>
      </c>
      <c r="H60" s="2">
        <v>36526.59474537037</v>
      </c>
      <c r="I60">
        <v>18.5</v>
      </c>
      <c r="J60">
        <v>18.5</v>
      </c>
      <c r="K60" t="s">
        <v>21</v>
      </c>
      <c r="L60" t="s">
        <v>22</v>
      </c>
      <c r="M60" t="s">
        <v>23</v>
      </c>
      <c r="N60" t="s">
        <v>24</v>
      </c>
    </row>
    <row r="61" spans="1:14" x14ac:dyDescent="0.3">
      <c r="A61">
        <v>60</v>
      </c>
      <c r="B61">
        <v>22</v>
      </c>
      <c r="C61">
        <f>1/COUNTIF(pizza_sales[[#All],[order_id]],pizza_sales[[#This Row],[order_id]])</f>
        <v>0.33333333333333331</v>
      </c>
      <c r="D61" t="s">
        <v>116</v>
      </c>
      <c r="E61">
        <v>1</v>
      </c>
      <c r="F61" s="1">
        <v>42005</v>
      </c>
      <c r="G61" s="1" t="str">
        <f>TEXT(pizza_sales[[#This Row],[order_date]],"dddd")</f>
        <v>Thursday</v>
      </c>
      <c r="H61" s="2">
        <v>36526.59474537037</v>
      </c>
      <c r="I61">
        <v>16</v>
      </c>
      <c r="J61">
        <v>16</v>
      </c>
      <c r="K61" t="s">
        <v>13</v>
      </c>
      <c r="L61" t="s">
        <v>14</v>
      </c>
      <c r="M61" t="s">
        <v>55</v>
      </c>
      <c r="N61" t="s">
        <v>56</v>
      </c>
    </row>
    <row r="62" spans="1:14" x14ac:dyDescent="0.3">
      <c r="A62">
        <v>61</v>
      </c>
      <c r="B62">
        <v>22</v>
      </c>
      <c r="C62">
        <f>1/COUNTIF(pizza_sales[[#All],[order_id]],pizza_sales[[#This Row],[order_id]])</f>
        <v>0.33333333333333331</v>
      </c>
      <c r="D62" t="s">
        <v>69</v>
      </c>
      <c r="E62">
        <v>1</v>
      </c>
      <c r="F62" s="1">
        <v>42005</v>
      </c>
      <c r="G62" s="1" t="str">
        <f>TEXT(pizza_sales[[#This Row],[order_date]],"dddd")</f>
        <v>Thursday</v>
      </c>
      <c r="H62" s="2">
        <v>36526.59474537037</v>
      </c>
      <c r="I62">
        <v>20.75</v>
      </c>
      <c r="J62">
        <v>20.75</v>
      </c>
      <c r="K62" t="s">
        <v>21</v>
      </c>
      <c r="L62" t="s">
        <v>33</v>
      </c>
      <c r="M62" t="s">
        <v>70</v>
      </c>
      <c r="N62" t="s">
        <v>71</v>
      </c>
    </row>
    <row r="63" spans="1:14" x14ac:dyDescent="0.3">
      <c r="A63">
        <v>62</v>
      </c>
      <c r="B63">
        <v>23</v>
      </c>
      <c r="C63">
        <f>1/COUNTIF(pizza_sales[[#All],[order_id]],pizza_sales[[#This Row],[order_id]])</f>
        <v>1</v>
      </c>
      <c r="D63" t="s">
        <v>117</v>
      </c>
      <c r="E63">
        <v>1</v>
      </c>
      <c r="F63" s="1">
        <v>42005</v>
      </c>
      <c r="G63" s="1" t="str">
        <f>TEXT(pizza_sales[[#This Row],[order_date]],"dddd")</f>
        <v>Thursday</v>
      </c>
      <c r="H63" s="2">
        <v>36526.596562500003</v>
      </c>
      <c r="I63">
        <v>12.75</v>
      </c>
      <c r="J63">
        <v>12.75</v>
      </c>
      <c r="K63" t="s">
        <v>41</v>
      </c>
      <c r="L63" t="s">
        <v>33</v>
      </c>
      <c r="M63" t="s">
        <v>70</v>
      </c>
      <c r="N63" t="s">
        <v>71</v>
      </c>
    </row>
    <row r="64" spans="1:14" x14ac:dyDescent="0.3">
      <c r="A64">
        <v>63</v>
      </c>
      <c r="B64">
        <v>24</v>
      </c>
      <c r="C64">
        <f>1/COUNTIF(pizza_sales[[#All],[order_id]],pizza_sales[[#This Row],[order_id]])</f>
        <v>0.25</v>
      </c>
      <c r="D64" t="s">
        <v>118</v>
      </c>
      <c r="E64">
        <v>1</v>
      </c>
      <c r="F64" s="1">
        <v>42005</v>
      </c>
      <c r="G64" s="1" t="str">
        <f>TEXT(pizza_sales[[#This Row],[order_date]],"dddd")</f>
        <v>Thursday</v>
      </c>
      <c r="H64" s="2">
        <v>36526.599317129629</v>
      </c>
      <c r="I64">
        <v>16.75</v>
      </c>
      <c r="J64">
        <v>16.75</v>
      </c>
      <c r="K64" t="s">
        <v>13</v>
      </c>
      <c r="L64" t="s">
        <v>33</v>
      </c>
      <c r="M64" t="s">
        <v>42</v>
      </c>
      <c r="N64" t="s">
        <v>43</v>
      </c>
    </row>
    <row r="65" spans="1:14" x14ac:dyDescent="0.3">
      <c r="A65">
        <v>64</v>
      </c>
      <c r="B65">
        <v>24</v>
      </c>
      <c r="C65">
        <f>1/COUNTIF(pizza_sales[[#All],[order_id]],pizza_sales[[#This Row],[order_id]])</f>
        <v>0.25</v>
      </c>
      <c r="D65" t="s">
        <v>116</v>
      </c>
      <c r="E65">
        <v>1</v>
      </c>
      <c r="F65" s="1">
        <v>42005</v>
      </c>
      <c r="G65" s="1" t="str">
        <f>TEXT(pizza_sales[[#This Row],[order_date]],"dddd")</f>
        <v>Thursday</v>
      </c>
      <c r="H65" s="2">
        <v>36526.599317129629</v>
      </c>
      <c r="I65">
        <v>16</v>
      </c>
      <c r="J65">
        <v>16</v>
      </c>
      <c r="K65" t="s">
        <v>13</v>
      </c>
      <c r="L65" t="s">
        <v>14</v>
      </c>
      <c r="M65" t="s">
        <v>55</v>
      </c>
      <c r="N65" t="s">
        <v>56</v>
      </c>
    </row>
    <row r="66" spans="1:14" x14ac:dyDescent="0.3">
      <c r="A66">
        <v>65</v>
      </c>
      <c r="B66">
        <v>24</v>
      </c>
      <c r="C66">
        <f>1/COUNTIF(pizza_sales[[#All],[order_id]],pizza_sales[[#This Row],[order_id]])</f>
        <v>0.25</v>
      </c>
      <c r="D66" t="s">
        <v>119</v>
      </c>
      <c r="E66">
        <v>1</v>
      </c>
      <c r="F66" s="1">
        <v>42005</v>
      </c>
      <c r="G66" s="1" t="str">
        <f>TEXT(pizza_sales[[#This Row],[order_date]],"dddd")</f>
        <v>Thursday</v>
      </c>
      <c r="H66" s="2">
        <v>36526.599317129629</v>
      </c>
      <c r="I66">
        <v>12.5</v>
      </c>
      <c r="J66">
        <v>12.5</v>
      </c>
      <c r="K66" t="s">
        <v>13</v>
      </c>
      <c r="L66" t="s">
        <v>14</v>
      </c>
      <c r="M66" t="s">
        <v>78</v>
      </c>
      <c r="N66" t="s">
        <v>79</v>
      </c>
    </row>
    <row r="67" spans="1:14" x14ac:dyDescent="0.3">
      <c r="A67">
        <v>66</v>
      </c>
      <c r="B67">
        <v>24</v>
      </c>
      <c r="C67">
        <f>1/COUNTIF(pizza_sales[[#All],[order_id]],pizza_sales[[#This Row],[order_id]])</f>
        <v>0.25</v>
      </c>
      <c r="D67" t="s">
        <v>120</v>
      </c>
      <c r="E67">
        <v>1</v>
      </c>
      <c r="F67" s="1">
        <v>42005</v>
      </c>
      <c r="G67" s="1" t="str">
        <f>TEXT(pizza_sales[[#This Row],[order_date]],"dddd")</f>
        <v>Thursday</v>
      </c>
      <c r="H67" s="2">
        <v>36526.599317129629</v>
      </c>
      <c r="I67">
        <v>12.5</v>
      </c>
      <c r="J67">
        <v>12.5</v>
      </c>
      <c r="K67" t="s">
        <v>41</v>
      </c>
      <c r="L67" t="s">
        <v>26</v>
      </c>
      <c r="M67" t="s">
        <v>38</v>
      </c>
      <c r="N67" t="s">
        <v>39</v>
      </c>
    </row>
    <row r="68" spans="1:14" x14ac:dyDescent="0.3">
      <c r="A68">
        <v>67</v>
      </c>
      <c r="B68">
        <v>25</v>
      </c>
      <c r="C68">
        <f>1/COUNTIF(pizza_sales[[#All],[order_id]],pizza_sales[[#This Row],[order_id]])</f>
        <v>0.5</v>
      </c>
      <c r="D68" t="s">
        <v>121</v>
      </c>
      <c r="E68">
        <v>1</v>
      </c>
      <c r="F68" s="1">
        <v>42005</v>
      </c>
      <c r="G68" s="1" t="str">
        <f>TEXT(pizza_sales[[#This Row],[order_date]],"dddd")</f>
        <v>Thursday</v>
      </c>
      <c r="H68" s="2">
        <v>36526.614398148151</v>
      </c>
      <c r="I68">
        <v>16.25</v>
      </c>
      <c r="J68">
        <v>16.25</v>
      </c>
      <c r="K68" t="s">
        <v>13</v>
      </c>
      <c r="L68" t="s">
        <v>26</v>
      </c>
      <c r="M68" t="s">
        <v>114</v>
      </c>
      <c r="N68" t="s">
        <v>115</v>
      </c>
    </row>
    <row r="69" spans="1:14" x14ac:dyDescent="0.3">
      <c r="A69">
        <v>68</v>
      </c>
      <c r="B69">
        <v>25</v>
      </c>
      <c r="C69">
        <f>1/COUNTIF(pizza_sales[[#All],[order_id]],pizza_sales[[#This Row],[order_id]])</f>
        <v>0.5</v>
      </c>
      <c r="D69" t="s">
        <v>32</v>
      </c>
      <c r="E69">
        <v>1</v>
      </c>
      <c r="F69" s="1">
        <v>42005</v>
      </c>
      <c r="G69" s="1" t="str">
        <f>TEXT(pizza_sales[[#This Row],[order_date]],"dddd")</f>
        <v>Thursday</v>
      </c>
      <c r="H69" s="2">
        <v>36526.614398148151</v>
      </c>
      <c r="I69">
        <v>20.75</v>
      </c>
      <c r="J69">
        <v>20.75</v>
      </c>
      <c r="K69" t="s">
        <v>21</v>
      </c>
      <c r="L69" t="s">
        <v>33</v>
      </c>
      <c r="M69" t="s">
        <v>34</v>
      </c>
      <c r="N69" t="s">
        <v>35</v>
      </c>
    </row>
    <row r="70" spans="1:14" x14ac:dyDescent="0.3">
      <c r="A70">
        <v>69</v>
      </c>
      <c r="B70">
        <v>26</v>
      </c>
      <c r="C70">
        <f>1/COUNTIF(pizza_sales[[#All],[order_id]],pizza_sales[[#This Row],[order_id]])</f>
        <v>0.5</v>
      </c>
      <c r="D70" t="s">
        <v>50</v>
      </c>
      <c r="E70">
        <v>1</v>
      </c>
      <c r="F70" s="1">
        <v>42005</v>
      </c>
      <c r="G70" s="1" t="str">
        <f>TEXT(pizza_sales[[#This Row],[order_date]],"dddd")</f>
        <v>Thursday</v>
      </c>
      <c r="H70" s="2">
        <v>36526.621134259258</v>
      </c>
      <c r="I70">
        <v>12</v>
      </c>
      <c r="J70">
        <v>12</v>
      </c>
      <c r="K70" t="s">
        <v>41</v>
      </c>
      <c r="L70" t="s">
        <v>14</v>
      </c>
      <c r="M70" t="s">
        <v>18</v>
      </c>
      <c r="N70" t="s">
        <v>19</v>
      </c>
    </row>
    <row r="71" spans="1:14" x14ac:dyDescent="0.3">
      <c r="A71">
        <v>70</v>
      </c>
      <c r="B71">
        <v>26</v>
      </c>
      <c r="C71">
        <f>1/COUNTIF(pizza_sales[[#All],[order_id]],pizza_sales[[#This Row],[order_id]])</f>
        <v>0.5</v>
      </c>
      <c r="D71" t="s">
        <v>122</v>
      </c>
      <c r="E71">
        <v>1</v>
      </c>
      <c r="F71" s="1">
        <v>42005</v>
      </c>
      <c r="G71" s="1" t="str">
        <f>TEXT(pizza_sales[[#This Row],[order_date]],"dddd")</f>
        <v>Thursday</v>
      </c>
      <c r="H71" s="2">
        <v>36526.621134259258</v>
      </c>
      <c r="I71">
        <v>20.25</v>
      </c>
      <c r="J71">
        <v>20.25</v>
      </c>
      <c r="K71" t="s">
        <v>21</v>
      </c>
      <c r="L71" t="s">
        <v>22</v>
      </c>
      <c r="M71" t="s">
        <v>66</v>
      </c>
      <c r="N71" t="s">
        <v>67</v>
      </c>
    </row>
    <row r="72" spans="1:14" x14ac:dyDescent="0.3">
      <c r="A72">
        <v>71</v>
      </c>
      <c r="B72">
        <v>27</v>
      </c>
      <c r="C72">
        <f>1/COUNTIF(pizza_sales[[#All],[order_id]],pizza_sales[[#This Row],[order_id]])</f>
        <v>0.33333333333333331</v>
      </c>
      <c r="D72" t="s">
        <v>72</v>
      </c>
      <c r="E72">
        <v>1</v>
      </c>
      <c r="F72" s="1">
        <v>42005</v>
      </c>
      <c r="G72" s="1" t="str">
        <f>TEXT(pizza_sales[[#This Row],[order_date]],"dddd")</f>
        <v>Thursday</v>
      </c>
      <c r="H72" s="2">
        <v>36526.632835648146</v>
      </c>
      <c r="I72">
        <v>20.75</v>
      </c>
      <c r="J72">
        <v>20.75</v>
      </c>
      <c r="K72" t="s">
        <v>21</v>
      </c>
      <c r="L72" t="s">
        <v>33</v>
      </c>
      <c r="M72" t="s">
        <v>42</v>
      </c>
      <c r="N72" t="s">
        <v>43</v>
      </c>
    </row>
    <row r="73" spans="1:14" x14ac:dyDescent="0.3">
      <c r="A73">
        <v>72</v>
      </c>
      <c r="B73">
        <v>27</v>
      </c>
      <c r="C73">
        <f>1/COUNTIF(pizza_sales[[#All],[order_id]],pizza_sales[[#This Row],[order_id]])</f>
        <v>0.33333333333333331</v>
      </c>
      <c r="D73" t="s">
        <v>17</v>
      </c>
      <c r="E73">
        <v>1</v>
      </c>
      <c r="F73" s="1">
        <v>42005</v>
      </c>
      <c r="G73" s="1" t="str">
        <f>TEXT(pizza_sales[[#This Row],[order_date]],"dddd")</f>
        <v>Thursday</v>
      </c>
      <c r="H73" s="2">
        <v>36526.632835648146</v>
      </c>
      <c r="I73">
        <v>16</v>
      </c>
      <c r="J73">
        <v>16</v>
      </c>
      <c r="K73" t="s">
        <v>13</v>
      </c>
      <c r="L73" t="s">
        <v>14</v>
      </c>
      <c r="M73" t="s">
        <v>18</v>
      </c>
      <c r="N73" t="s">
        <v>19</v>
      </c>
    </row>
    <row r="74" spans="1:14" x14ac:dyDescent="0.3">
      <c r="A74">
        <v>73</v>
      </c>
      <c r="B74">
        <v>27</v>
      </c>
      <c r="C74">
        <f>1/COUNTIF(pizza_sales[[#All],[order_id]],pizza_sales[[#This Row],[order_id]])</f>
        <v>0.33333333333333331</v>
      </c>
      <c r="D74" t="s">
        <v>109</v>
      </c>
      <c r="E74">
        <v>1</v>
      </c>
      <c r="F74" s="1">
        <v>42005</v>
      </c>
      <c r="G74" s="1" t="str">
        <f>TEXT(pizza_sales[[#This Row],[order_date]],"dddd")</f>
        <v>Thursday</v>
      </c>
      <c r="H74" s="2">
        <v>36526.632835648146</v>
      </c>
      <c r="I74">
        <v>20.25</v>
      </c>
      <c r="J74">
        <v>20.25</v>
      </c>
      <c r="K74" t="s">
        <v>21</v>
      </c>
      <c r="L74" t="s">
        <v>22</v>
      </c>
      <c r="M74" t="s">
        <v>110</v>
      </c>
      <c r="N74" t="s">
        <v>111</v>
      </c>
    </row>
    <row r="75" spans="1:14" x14ac:dyDescent="0.3">
      <c r="A75">
        <v>74</v>
      </c>
      <c r="B75">
        <v>28</v>
      </c>
      <c r="C75">
        <f>1/COUNTIF(pizza_sales[[#All],[order_id]],pizza_sales[[#This Row],[order_id]])</f>
        <v>1</v>
      </c>
      <c r="D75" t="s">
        <v>123</v>
      </c>
      <c r="E75">
        <v>1</v>
      </c>
      <c r="F75" s="1">
        <v>42005</v>
      </c>
      <c r="G75" s="1" t="str">
        <f>TEXT(pizza_sales[[#This Row],[order_date]],"dddd")</f>
        <v>Thursday</v>
      </c>
      <c r="H75" s="2">
        <v>36526.649837962963</v>
      </c>
      <c r="I75">
        <v>12.75</v>
      </c>
      <c r="J75">
        <v>12.75</v>
      </c>
      <c r="K75" t="s">
        <v>41</v>
      </c>
      <c r="L75" t="s">
        <v>33</v>
      </c>
      <c r="M75" t="s">
        <v>124</v>
      </c>
      <c r="N75" t="s">
        <v>125</v>
      </c>
    </row>
    <row r="76" spans="1:14" x14ac:dyDescent="0.3">
      <c r="A76">
        <v>75</v>
      </c>
      <c r="B76">
        <v>29</v>
      </c>
      <c r="C76">
        <f>1/COUNTIF(pizza_sales[[#All],[order_id]],pizza_sales[[#This Row],[order_id]])</f>
        <v>1</v>
      </c>
      <c r="D76" t="s">
        <v>51</v>
      </c>
      <c r="E76">
        <v>1</v>
      </c>
      <c r="F76" s="1">
        <v>42005</v>
      </c>
      <c r="G76" s="1" t="str">
        <f>TEXT(pizza_sales[[#This Row],[order_date]],"dddd")</f>
        <v>Thursday</v>
      </c>
      <c r="H76" s="2">
        <v>36526.653483796297</v>
      </c>
      <c r="I76">
        <v>12</v>
      </c>
      <c r="J76">
        <v>12</v>
      </c>
      <c r="K76" t="s">
        <v>41</v>
      </c>
      <c r="L76" t="s">
        <v>22</v>
      </c>
      <c r="M76" t="s">
        <v>52</v>
      </c>
      <c r="N76" t="s">
        <v>53</v>
      </c>
    </row>
    <row r="77" spans="1:14" x14ac:dyDescent="0.3">
      <c r="A77">
        <v>76</v>
      </c>
      <c r="B77">
        <v>30</v>
      </c>
      <c r="C77">
        <f>1/COUNTIF(pizza_sales[[#All],[order_id]],pizza_sales[[#This Row],[order_id]])</f>
        <v>1</v>
      </c>
      <c r="D77" t="s">
        <v>32</v>
      </c>
      <c r="E77">
        <v>1</v>
      </c>
      <c r="F77" s="1">
        <v>42005</v>
      </c>
      <c r="G77" s="1" t="str">
        <f>TEXT(pizza_sales[[#This Row],[order_date]],"dddd")</f>
        <v>Thursday</v>
      </c>
      <c r="H77" s="2">
        <v>36526.653761574074</v>
      </c>
      <c r="I77">
        <v>20.75</v>
      </c>
      <c r="J77">
        <v>20.75</v>
      </c>
      <c r="K77" t="s">
        <v>21</v>
      </c>
      <c r="L77" t="s">
        <v>33</v>
      </c>
      <c r="M77" t="s">
        <v>34</v>
      </c>
      <c r="N77" t="s">
        <v>35</v>
      </c>
    </row>
    <row r="78" spans="1:14" x14ac:dyDescent="0.3">
      <c r="A78">
        <v>77</v>
      </c>
      <c r="B78">
        <v>31</v>
      </c>
      <c r="C78">
        <f>1/COUNTIF(pizza_sales[[#All],[order_id]],pizza_sales[[#This Row],[order_id]])</f>
        <v>0.5</v>
      </c>
      <c r="D78" t="s">
        <v>29</v>
      </c>
      <c r="E78">
        <v>1</v>
      </c>
      <c r="F78" s="1">
        <v>42005</v>
      </c>
      <c r="G78" s="1" t="str">
        <f>TEXT(pizza_sales[[#This Row],[order_date]],"dddd")</f>
        <v>Thursday</v>
      </c>
      <c r="H78" s="2">
        <v>36526.659930555557</v>
      </c>
      <c r="I78">
        <v>16</v>
      </c>
      <c r="J78">
        <v>16</v>
      </c>
      <c r="K78" t="s">
        <v>13</v>
      </c>
      <c r="L78" t="s">
        <v>22</v>
      </c>
      <c r="M78" t="s">
        <v>30</v>
      </c>
      <c r="N78" t="s">
        <v>31</v>
      </c>
    </row>
    <row r="79" spans="1:14" x14ac:dyDescent="0.3">
      <c r="A79">
        <v>78</v>
      </c>
      <c r="B79">
        <v>31</v>
      </c>
      <c r="C79">
        <f>1/COUNTIF(pizza_sales[[#All],[order_id]],pizza_sales[[#This Row],[order_id]])</f>
        <v>0.5</v>
      </c>
      <c r="D79" t="s">
        <v>126</v>
      </c>
      <c r="E79">
        <v>1</v>
      </c>
      <c r="F79" s="1">
        <v>42005</v>
      </c>
      <c r="G79" s="1" t="str">
        <f>TEXT(pizza_sales[[#This Row],[order_date]],"dddd")</f>
        <v>Thursday</v>
      </c>
      <c r="H79" s="2">
        <v>36526.659930555557</v>
      </c>
      <c r="I79">
        <v>9.75</v>
      </c>
      <c r="J79">
        <v>9.75</v>
      </c>
      <c r="K79" t="s">
        <v>41</v>
      </c>
      <c r="L79" t="s">
        <v>14</v>
      </c>
      <c r="M79" t="s">
        <v>78</v>
      </c>
      <c r="N79" t="s">
        <v>79</v>
      </c>
    </row>
    <row r="80" spans="1:14" x14ac:dyDescent="0.3">
      <c r="A80">
        <v>79</v>
      </c>
      <c r="B80">
        <v>32</v>
      </c>
      <c r="C80">
        <f>1/COUNTIF(pizza_sales[[#All],[order_id]],pizza_sales[[#This Row],[order_id]])</f>
        <v>0.25</v>
      </c>
      <c r="D80" t="s">
        <v>84</v>
      </c>
      <c r="E80">
        <v>1</v>
      </c>
      <c r="F80" s="1">
        <v>42005</v>
      </c>
      <c r="G80" s="1" t="str">
        <f>TEXT(pizza_sales[[#This Row],[order_date]],"dddd")</f>
        <v>Thursday</v>
      </c>
      <c r="H80" s="2">
        <v>36526.66201388889</v>
      </c>
      <c r="I80">
        <v>12</v>
      </c>
      <c r="J80">
        <v>12</v>
      </c>
      <c r="K80" t="s">
        <v>41</v>
      </c>
      <c r="L80" t="s">
        <v>14</v>
      </c>
      <c r="M80" t="s">
        <v>85</v>
      </c>
      <c r="N80" t="s">
        <v>86</v>
      </c>
    </row>
    <row r="81" spans="1:14" x14ac:dyDescent="0.3">
      <c r="A81">
        <v>80</v>
      </c>
      <c r="B81">
        <v>32</v>
      </c>
      <c r="C81">
        <f>1/COUNTIF(pizza_sales[[#All],[order_id]],pizza_sales[[#This Row],[order_id]])</f>
        <v>0.25</v>
      </c>
      <c r="D81" t="s">
        <v>127</v>
      </c>
      <c r="E81">
        <v>1</v>
      </c>
      <c r="F81" s="1">
        <v>42005</v>
      </c>
      <c r="G81" s="1" t="str">
        <f>TEXT(pizza_sales[[#This Row],[order_date]],"dddd")</f>
        <v>Thursday</v>
      </c>
      <c r="H81" s="2">
        <v>36526.66201388889</v>
      </c>
      <c r="I81">
        <v>20.25</v>
      </c>
      <c r="J81">
        <v>20.25</v>
      </c>
      <c r="K81" t="s">
        <v>21</v>
      </c>
      <c r="L81" t="s">
        <v>22</v>
      </c>
      <c r="M81" t="s">
        <v>52</v>
      </c>
      <c r="N81" t="s">
        <v>53</v>
      </c>
    </row>
    <row r="82" spans="1:14" x14ac:dyDescent="0.3">
      <c r="A82">
        <v>81</v>
      </c>
      <c r="B82">
        <v>32</v>
      </c>
      <c r="C82">
        <f>1/COUNTIF(pizza_sales[[#All],[order_id]],pizza_sales[[#This Row],[order_id]])</f>
        <v>0.25</v>
      </c>
      <c r="D82" t="s">
        <v>54</v>
      </c>
      <c r="E82">
        <v>1</v>
      </c>
      <c r="F82" s="1">
        <v>42005</v>
      </c>
      <c r="G82" s="1" t="str">
        <f>TEXT(pizza_sales[[#This Row],[order_date]],"dddd")</f>
        <v>Thursday</v>
      </c>
      <c r="H82" s="2">
        <v>36526.66201388889</v>
      </c>
      <c r="I82">
        <v>20.5</v>
      </c>
      <c r="J82">
        <v>20.5</v>
      </c>
      <c r="K82" t="s">
        <v>21</v>
      </c>
      <c r="L82" t="s">
        <v>14</v>
      </c>
      <c r="M82" t="s">
        <v>55</v>
      </c>
      <c r="N82" t="s">
        <v>56</v>
      </c>
    </row>
    <row r="83" spans="1:14" x14ac:dyDescent="0.3">
      <c r="A83">
        <v>82</v>
      </c>
      <c r="B83">
        <v>32</v>
      </c>
      <c r="C83">
        <f>1/COUNTIF(pizza_sales[[#All],[order_id]],pizza_sales[[#This Row],[order_id]])</f>
        <v>0.25</v>
      </c>
      <c r="D83" t="s">
        <v>36</v>
      </c>
      <c r="E83">
        <v>1</v>
      </c>
      <c r="F83" s="1">
        <v>42005</v>
      </c>
      <c r="G83" s="1" t="str">
        <f>TEXT(pizza_sales[[#This Row],[order_date]],"dddd")</f>
        <v>Thursday</v>
      </c>
      <c r="H83" s="2">
        <v>36526.66201388889</v>
      </c>
      <c r="I83">
        <v>16.5</v>
      </c>
      <c r="J83">
        <v>16.5</v>
      </c>
      <c r="K83" t="s">
        <v>13</v>
      </c>
      <c r="L83" t="s">
        <v>26</v>
      </c>
      <c r="M83" t="s">
        <v>27</v>
      </c>
      <c r="N83" t="s">
        <v>28</v>
      </c>
    </row>
    <row r="84" spans="1:14" x14ac:dyDescent="0.3">
      <c r="A84">
        <v>83</v>
      </c>
      <c r="B84">
        <v>33</v>
      </c>
      <c r="C84">
        <f>1/COUNTIF(pizza_sales[[#All],[order_id]],pizza_sales[[#This Row],[order_id]])</f>
        <v>0.5</v>
      </c>
      <c r="D84" t="s">
        <v>72</v>
      </c>
      <c r="E84">
        <v>1</v>
      </c>
      <c r="F84" s="1">
        <v>42005</v>
      </c>
      <c r="G84" s="1" t="str">
        <f>TEXT(pizza_sales[[#This Row],[order_date]],"dddd")</f>
        <v>Thursday</v>
      </c>
      <c r="H84" s="2">
        <v>36526.662592592591</v>
      </c>
      <c r="I84">
        <v>20.75</v>
      </c>
      <c r="J84">
        <v>20.75</v>
      </c>
      <c r="K84" t="s">
        <v>21</v>
      </c>
      <c r="L84" t="s">
        <v>33</v>
      </c>
      <c r="M84" t="s">
        <v>42</v>
      </c>
      <c r="N84" t="s">
        <v>43</v>
      </c>
    </row>
    <row r="85" spans="1:14" x14ac:dyDescent="0.3">
      <c r="A85">
        <v>84</v>
      </c>
      <c r="B85">
        <v>33</v>
      </c>
      <c r="C85">
        <f>1/COUNTIF(pizza_sales[[#All],[order_id]],pizza_sales[[#This Row],[order_id]])</f>
        <v>0.5</v>
      </c>
      <c r="D85" t="s">
        <v>51</v>
      </c>
      <c r="E85">
        <v>1</v>
      </c>
      <c r="F85" s="1">
        <v>42005</v>
      </c>
      <c r="G85" s="1" t="str">
        <f>TEXT(pizza_sales[[#This Row],[order_date]],"dddd")</f>
        <v>Thursday</v>
      </c>
      <c r="H85" s="2">
        <v>36526.662592592591</v>
      </c>
      <c r="I85">
        <v>12</v>
      </c>
      <c r="J85">
        <v>12</v>
      </c>
      <c r="K85" t="s">
        <v>41</v>
      </c>
      <c r="L85" t="s">
        <v>22</v>
      </c>
      <c r="M85" t="s">
        <v>52</v>
      </c>
      <c r="N85" t="s">
        <v>53</v>
      </c>
    </row>
    <row r="86" spans="1:14" x14ac:dyDescent="0.3">
      <c r="A86">
        <v>85</v>
      </c>
      <c r="B86">
        <v>34</v>
      </c>
      <c r="C86">
        <f>1/COUNTIF(pizza_sales[[#All],[order_id]],pizza_sales[[#This Row],[order_id]])</f>
        <v>1</v>
      </c>
      <c r="D86" t="s">
        <v>44</v>
      </c>
      <c r="E86">
        <v>1</v>
      </c>
      <c r="F86" s="1">
        <v>42005</v>
      </c>
      <c r="G86" s="1" t="str">
        <f>TEXT(pizza_sales[[#This Row],[order_date]],"dddd")</f>
        <v>Thursday</v>
      </c>
      <c r="H86" s="2">
        <v>36526.681493055556</v>
      </c>
      <c r="I86">
        <v>12</v>
      </c>
      <c r="J86">
        <v>12</v>
      </c>
      <c r="K86" t="s">
        <v>41</v>
      </c>
      <c r="L86" t="s">
        <v>14</v>
      </c>
      <c r="M86" t="s">
        <v>45</v>
      </c>
      <c r="N86" t="s">
        <v>46</v>
      </c>
    </row>
    <row r="87" spans="1:14" x14ac:dyDescent="0.3">
      <c r="A87">
        <v>86</v>
      </c>
      <c r="B87">
        <v>35</v>
      </c>
      <c r="C87">
        <f>1/COUNTIF(pizza_sales[[#All],[order_id]],pizza_sales[[#This Row],[order_id]])</f>
        <v>0.25</v>
      </c>
      <c r="D87" t="s">
        <v>128</v>
      </c>
      <c r="E87">
        <v>1</v>
      </c>
      <c r="F87" s="1">
        <v>42005</v>
      </c>
      <c r="G87" s="1" t="str">
        <f>TEXT(pizza_sales[[#This Row],[order_date]],"dddd")</f>
        <v>Thursday</v>
      </c>
      <c r="H87" s="2">
        <v>36526.688935185186</v>
      </c>
      <c r="I87">
        <v>16</v>
      </c>
      <c r="J87">
        <v>16</v>
      </c>
      <c r="K87" t="s">
        <v>13</v>
      </c>
      <c r="L87" t="s">
        <v>22</v>
      </c>
      <c r="M87" t="s">
        <v>52</v>
      </c>
      <c r="N87" t="s">
        <v>53</v>
      </c>
    </row>
    <row r="88" spans="1:14" x14ac:dyDescent="0.3">
      <c r="A88">
        <v>87</v>
      </c>
      <c r="B88">
        <v>35</v>
      </c>
      <c r="C88">
        <f>1/COUNTIF(pizza_sales[[#All],[order_id]],pizza_sales[[#This Row],[order_id]])</f>
        <v>0.25</v>
      </c>
      <c r="D88" t="s">
        <v>129</v>
      </c>
      <c r="E88">
        <v>1</v>
      </c>
      <c r="F88" s="1">
        <v>42005</v>
      </c>
      <c r="G88" s="1" t="str">
        <f>TEXT(pizza_sales[[#This Row],[order_date]],"dddd")</f>
        <v>Thursday</v>
      </c>
      <c r="H88" s="2">
        <v>36526.688935185186</v>
      </c>
      <c r="I88">
        <v>17.5</v>
      </c>
      <c r="J88">
        <v>17.5</v>
      </c>
      <c r="K88" t="s">
        <v>21</v>
      </c>
      <c r="L88" t="s">
        <v>14</v>
      </c>
      <c r="M88" t="s">
        <v>130</v>
      </c>
      <c r="N88" t="s">
        <v>131</v>
      </c>
    </row>
    <row r="89" spans="1:14" x14ac:dyDescent="0.3">
      <c r="A89">
        <v>88</v>
      </c>
      <c r="B89">
        <v>35</v>
      </c>
      <c r="C89">
        <f>1/COUNTIF(pizza_sales[[#All],[order_id]],pizza_sales[[#This Row],[order_id]])</f>
        <v>0.25</v>
      </c>
      <c r="D89" t="s">
        <v>119</v>
      </c>
      <c r="E89">
        <v>1</v>
      </c>
      <c r="F89" s="1">
        <v>42005</v>
      </c>
      <c r="G89" s="1" t="str">
        <f>TEXT(pizza_sales[[#This Row],[order_date]],"dddd")</f>
        <v>Thursday</v>
      </c>
      <c r="H89" s="2">
        <v>36526.688935185186</v>
      </c>
      <c r="I89">
        <v>12.5</v>
      </c>
      <c r="J89">
        <v>12.5</v>
      </c>
      <c r="K89" t="s">
        <v>13</v>
      </c>
      <c r="L89" t="s">
        <v>14</v>
      </c>
      <c r="M89" t="s">
        <v>78</v>
      </c>
      <c r="N89" t="s">
        <v>79</v>
      </c>
    </row>
    <row r="90" spans="1:14" x14ac:dyDescent="0.3">
      <c r="A90">
        <v>89</v>
      </c>
      <c r="B90">
        <v>35</v>
      </c>
      <c r="C90">
        <f>1/COUNTIF(pizza_sales[[#All],[order_id]],pizza_sales[[#This Row],[order_id]])</f>
        <v>0.25</v>
      </c>
      <c r="D90" t="s">
        <v>32</v>
      </c>
      <c r="E90">
        <v>1</v>
      </c>
      <c r="F90" s="1">
        <v>42005</v>
      </c>
      <c r="G90" s="1" t="str">
        <f>TEXT(pizza_sales[[#This Row],[order_date]],"dddd")</f>
        <v>Thursday</v>
      </c>
      <c r="H90" s="2">
        <v>36526.688935185186</v>
      </c>
      <c r="I90">
        <v>20.75</v>
      </c>
      <c r="J90">
        <v>20.75</v>
      </c>
      <c r="K90" t="s">
        <v>21</v>
      </c>
      <c r="L90" t="s">
        <v>33</v>
      </c>
      <c r="M90" t="s">
        <v>34</v>
      </c>
      <c r="N90" t="s">
        <v>35</v>
      </c>
    </row>
    <row r="91" spans="1:14" x14ac:dyDescent="0.3">
      <c r="A91">
        <v>90</v>
      </c>
      <c r="B91">
        <v>36</v>
      </c>
      <c r="C91">
        <f>1/COUNTIF(pizza_sales[[#All],[order_id]],pizza_sales[[#This Row],[order_id]])</f>
        <v>0.5</v>
      </c>
      <c r="D91" t="s">
        <v>118</v>
      </c>
      <c r="E91">
        <v>1</v>
      </c>
      <c r="F91" s="1">
        <v>42005</v>
      </c>
      <c r="G91" s="1" t="str">
        <f>TEXT(pizza_sales[[#This Row],[order_date]],"dddd")</f>
        <v>Thursday</v>
      </c>
      <c r="H91" s="2">
        <v>36526.704270833332</v>
      </c>
      <c r="I91">
        <v>16.75</v>
      </c>
      <c r="J91">
        <v>16.75</v>
      </c>
      <c r="K91" t="s">
        <v>13</v>
      </c>
      <c r="L91" t="s">
        <v>33</v>
      </c>
      <c r="M91" t="s">
        <v>42</v>
      </c>
      <c r="N91" t="s">
        <v>43</v>
      </c>
    </row>
    <row r="92" spans="1:14" x14ac:dyDescent="0.3">
      <c r="A92">
        <v>91</v>
      </c>
      <c r="B92">
        <v>36</v>
      </c>
      <c r="C92">
        <f>1/COUNTIF(pizza_sales[[#All],[order_id]],pizza_sales[[#This Row],[order_id]])</f>
        <v>0.5</v>
      </c>
      <c r="D92" t="s">
        <v>17</v>
      </c>
      <c r="E92">
        <v>1</v>
      </c>
      <c r="F92" s="1">
        <v>42005</v>
      </c>
      <c r="G92" s="1" t="str">
        <f>TEXT(pizza_sales[[#This Row],[order_date]],"dddd")</f>
        <v>Thursday</v>
      </c>
      <c r="H92" s="2">
        <v>36526.704270833332</v>
      </c>
      <c r="I92">
        <v>16</v>
      </c>
      <c r="J92">
        <v>16</v>
      </c>
      <c r="K92" t="s">
        <v>13</v>
      </c>
      <c r="L92" t="s">
        <v>14</v>
      </c>
      <c r="M92" t="s">
        <v>18</v>
      </c>
      <c r="N92" t="s">
        <v>19</v>
      </c>
    </row>
    <row r="93" spans="1:14" x14ac:dyDescent="0.3">
      <c r="A93">
        <v>92</v>
      </c>
      <c r="B93">
        <v>37</v>
      </c>
      <c r="C93">
        <f>1/COUNTIF(pizza_sales[[#All],[order_id]],pizza_sales[[#This Row],[order_id]])</f>
        <v>0.5</v>
      </c>
      <c r="D93" t="s">
        <v>25</v>
      </c>
      <c r="E93">
        <v>1</v>
      </c>
      <c r="F93" s="1">
        <v>42005</v>
      </c>
      <c r="G93" s="1" t="str">
        <f>TEXT(pizza_sales[[#This Row],[order_date]],"dddd")</f>
        <v>Thursday</v>
      </c>
      <c r="H93" s="2">
        <v>36526.705659722225</v>
      </c>
      <c r="I93">
        <v>20.75</v>
      </c>
      <c r="J93">
        <v>20.75</v>
      </c>
      <c r="K93" t="s">
        <v>21</v>
      </c>
      <c r="L93" t="s">
        <v>26</v>
      </c>
      <c r="M93" t="s">
        <v>27</v>
      </c>
      <c r="N93" t="s">
        <v>28</v>
      </c>
    </row>
    <row r="94" spans="1:14" x14ac:dyDescent="0.3">
      <c r="A94">
        <v>93</v>
      </c>
      <c r="B94">
        <v>37</v>
      </c>
      <c r="C94">
        <f>1/COUNTIF(pizza_sales[[#All],[order_id]],pizza_sales[[#This Row],[order_id]])</f>
        <v>0.5</v>
      </c>
      <c r="D94" t="s">
        <v>68</v>
      </c>
      <c r="E94">
        <v>1</v>
      </c>
      <c r="F94" s="1">
        <v>42005</v>
      </c>
      <c r="G94" s="1" t="str">
        <f>TEXT(pizza_sales[[#This Row],[order_date]],"dddd")</f>
        <v>Thursday</v>
      </c>
      <c r="H94" s="2">
        <v>36526.705659722225</v>
      </c>
      <c r="I94">
        <v>20.25</v>
      </c>
      <c r="J94">
        <v>20.25</v>
      </c>
      <c r="K94" t="s">
        <v>21</v>
      </c>
      <c r="L94" t="s">
        <v>22</v>
      </c>
      <c r="M94" t="s">
        <v>30</v>
      </c>
      <c r="N94" t="s">
        <v>31</v>
      </c>
    </row>
    <row r="95" spans="1:14" x14ac:dyDescent="0.3">
      <c r="A95">
        <v>94</v>
      </c>
      <c r="B95">
        <v>38</v>
      </c>
      <c r="C95">
        <f>1/COUNTIF(pizza_sales[[#All],[order_id]],pizza_sales[[#This Row],[order_id]])</f>
        <v>0.5</v>
      </c>
      <c r="D95" t="s">
        <v>132</v>
      </c>
      <c r="E95">
        <v>1</v>
      </c>
      <c r="F95" s="1">
        <v>42005</v>
      </c>
      <c r="G95" s="1" t="str">
        <f>TEXT(pizza_sales[[#This Row],[order_date]],"dddd")</f>
        <v>Thursday</v>
      </c>
      <c r="H95" s="2">
        <v>36526.710416666669</v>
      </c>
      <c r="I95">
        <v>10.5</v>
      </c>
      <c r="J95">
        <v>10.5</v>
      </c>
      <c r="K95" t="s">
        <v>41</v>
      </c>
      <c r="L95" t="s">
        <v>14</v>
      </c>
      <c r="M95" t="s">
        <v>15</v>
      </c>
      <c r="N95" t="s">
        <v>16</v>
      </c>
    </row>
    <row r="96" spans="1:14" x14ac:dyDescent="0.3">
      <c r="A96">
        <v>95</v>
      </c>
      <c r="B96">
        <v>38</v>
      </c>
      <c r="C96">
        <f>1/COUNTIF(pizza_sales[[#All],[order_id]],pizza_sales[[#This Row],[order_id]])</f>
        <v>0.5</v>
      </c>
      <c r="D96" t="s">
        <v>54</v>
      </c>
      <c r="E96">
        <v>1</v>
      </c>
      <c r="F96" s="1">
        <v>42005</v>
      </c>
      <c r="G96" s="1" t="str">
        <f>TEXT(pizza_sales[[#This Row],[order_date]],"dddd")</f>
        <v>Thursday</v>
      </c>
      <c r="H96" s="2">
        <v>36526.710416666669</v>
      </c>
      <c r="I96">
        <v>20.5</v>
      </c>
      <c r="J96">
        <v>20.5</v>
      </c>
      <c r="K96" t="s">
        <v>21</v>
      </c>
      <c r="L96" t="s">
        <v>14</v>
      </c>
      <c r="M96" t="s">
        <v>55</v>
      </c>
      <c r="N96" t="s">
        <v>56</v>
      </c>
    </row>
    <row r="97" spans="1:14" x14ac:dyDescent="0.3">
      <c r="A97">
        <v>96</v>
      </c>
      <c r="B97">
        <v>39</v>
      </c>
      <c r="C97">
        <f>1/COUNTIF(pizza_sales[[#All],[order_id]],pizza_sales[[#This Row],[order_id]])</f>
        <v>1</v>
      </c>
      <c r="D97" t="s">
        <v>25</v>
      </c>
      <c r="E97">
        <v>1</v>
      </c>
      <c r="F97" s="1">
        <v>42005</v>
      </c>
      <c r="G97" s="1" t="str">
        <f>TEXT(pizza_sales[[#This Row],[order_date]],"dddd")</f>
        <v>Thursday</v>
      </c>
      <c r="H97" s="2">
        <v>36526.713460648149</v>
      </c>
      <c r="I97">
        <v>20.75</v>
      </c>
      <c r="J97">
        <v>20.75</v>
      </c>
      <c r="K97" t="s">
        <v>21</v>
      </c>
      <c r="L97" t="s">
        <v>26</v>
      </c>
      <c r="M97" t="s">
        <v>27</v>
      </c>
      <c r="N97" t="s">
        <v>28</v>
      </c>
    </row>
    <row r="98" spans="1:14" x14ac:dyDescent="0.3">
      <c r="A98">
        <v>97</v>
      </c>
      <c r="B98">
        <v>40</v>
      </c>
      <c r="C98">
        <f>1/COUNTIF(pizza_sales[[#All],[order_id]],pizza_sales[[#This Row],[order_id]])</f>
        <v>0.5</v>
      </c>
      <c r="D98" t="s">
        <v>90</v>
      </c>
      <c r="E98">
        <v>1</v>
      </c>
      <c r="F98" s="1">
        <v>42005</v>
      </c>
      <c r="G98" s="1" t="str">
        <f>TEXT(pizza_sales[[#This Row],[order_date]],"dddd")</f>
        <v>Thursday</v>
      </c>
      <c r="H98" s="2">
        <v>36526.718472222223</v>
      </c>
      <c r="I98">
        <v>17.95</v>
      </c>
      <c r="J98">
        <v>17.95</v>
      </c>
      <c r="K98" t="s">
        <v>21</v>
      </c>
      <c r="L98" t="s">
        <v>22</v>
      </c>
      <c r="M98" t="s">
        <v>91</v>
      </c>
      <c r="N98" t="s">
        <v>92</v>
      </c>
    </row>
    <row r="99" spans="1:14" x14ac:dyDescent="0.3">
      <c r="A99">
        <v>98</v>
      </c>
      <c r="B99">
        <v>40</v>
      </c>
      <c r="C99">
        <f>1/COUNTIF(pizza_sales[[#All],[order_id]],pizza_sales[[#This Row],[order_id]])</f>
        <v>0.5</v>
      </c>
      <c r="D99" t="s">
        <v>117</v>
      </c>
      <c r="E99">
        <v>1</v>
      </c>
      <c r="F99" s="1">
        <v>42005</v>
      </c>
      <c r="G99" s="1" t="str">
        <f>TEXT(pizza_sales[[#This Row],[order_date]],"dddd")</f>
        <v>Thursday</v>
      </c>
      <c r="H99" s="2">
        <v>36526.718472222223</v>
      </c>
      <c r="I99">
        <v>12.75</v>
      </c>
      <c r="J99">
        <v>12.75</v>
      </c>
      <c r="K99" t="s">
        <v>41</v>
      </c>
      <c r="L99" t="s">
        <v>33</v>
      </c>
      <c r="M99" t="s">
        <v>70</v>
      </c>
      <c r="N99" t="s">
        <v>71</v>
      </c>
    </row>
    <row r="100" spans="1:14" x14ac:dyDescent="0.3">
      <c r="A100">
        <v>99</v>
      </c>
      <c r="B100">
        <v>41</v>
      </c>
      <c r="C100">
        <f>1/COUNTIF(pizza_sales[[#All],[order_id]],pizza_sales[[#This Row],[order_id]])</f>
        <v>0.5</v>
      </c>
      <c r="D100" t="s">
        <v>99</v>
      </c>
      <c r="E100">
        <v>1</v>
      </c>
      <c r="F100" s="1">
        <v>42005</v>
      </c>
      <c r="G100" s="1" t="str">
        <f>TEXT(pizza_sales[[#This Row],[order_date]],"dddd")</f>
        <v>Thursday</v>
      </c>
      <c r="H100" s="2">
        <v>36526.718981481485</v>
      </c>
      <c r="I100">
        <v>14.75</v>
      </c>
      <c r="J100">
        <v>14.75</v>
      </c>
      <c r="K100" t="s">
        <v>13</v>
      </c>
      <c r="L100" t="s">
        <v>22</v>
      </c>
      <c r="M100" t="s">
        <v>91</v>
      </c>
      <c r="N100" t="s">
        <v>92</v>
      </c>
    </row>
    <row r="101" spans="1:14" x14ac:dyDescent="0.3">
      <c r="A101">
        <v>100</v>
      </c>
      <c r="B101">
        <v>41</v>
      </c>
      <c r="C101">
        <f>1/COUNTIF(pizza_sales[[#All],[order_id]],pizza_sales[[#This Row],[order_id]])</f>
        <v>0.5</v>
      </c>
      <c r="D101" t="s">
        <v>51</v>
      </c>
      <c r="E101">
        <v>1</v>
      </c>
      <c r="F101" s="1">
        <v>42005</v>
      </c>
      <c r="G101" s="1" t="str">
        <f>TEXT(pizza_sales[[#This Row],[order_date]],"dddd")</f>
        <v>Thursday</v>
      </c>
      <c r="H101" s="2">
        <v>36526.718981481485</v>
      </c>
      <c r="I101">
        <v>12</v>
      </c>
      <c r="J101">
        <v>12</v>
      </c>
      <c r="K101" t="s">
        <v>41</v>
      </c>
      <c r="L101" t="s">
        <v>22</v>
      </c>
      <c r="M101" t="s">
        <v>52</v>
      </c>
      <c r="N101" t="s">
        <v>53</v>
      </c>
    </row>
    <row r="102" spans="1:14" x14ac:dyDescent="0.3">
      <c r="A102">
        <v>101</v>
      </c>
      <c r="B102">
        <v>42</v>
      </c>
      <c r="C102">
        <f>1/COUNTIF(pizza_sales[[#All],[order_id]],pizza_sales[[#This Row],[order_id]])</f>
        <v>0.25</v>
      </c>
      <c r="D102" t="s">
        <v>84</v>
      </c>
      <c r="E102">
        <v>1</v>
      </c>
      <c r="F102" s="1">
        <v>42005</v>
      </c>
      <c r="G102" s="1" t="str">
        <f>TEXT(pizza_sales[[#This Row],[order_date]],"dddd")</f>
        <v>Thursday</v>
      </c>
      <c r="H102" s="2">
        <v>36526.727881944447</v>
      </c>
      <c r="I102">
        <v>12</v>
      </c>
      <c r="J102">
        <v>12</v>
      </c>
      <c r="K102" t="s">
        <v>41</v>
      </c>
      <c r="L102" t="s">
        <v>14</v>
      </c>
      <c r="M102" t="s">
        <v>85</v>
      </c>
      <c r="N102" t="s">
        <v>86</v>
      </c>
    </row>
    <row r="103" spans="1:14" x14ac:dyDescent="0.3">
      <c r="A103">
        <v>102</v>
      </c>
      <c r="B103">
        <v>42</v>
      </c>
      <c r="C103">
        <f>1/COUNTIF(pizza_sales[[#All],[order_id]],pizza_sales[[#This Row],[order_id]])</f>
        <v>0.25</v>
      </c>
      <c r="D103" t="s">
        <v>20</v>
      </c>
      <c r="E103">
        <v>1</v>
      </c>
      <c r="F103" s="1">
        <v>42005</v>
      </c>
      <c r="G103" s="1" t="str">
        <f>TEXT(pizza_sales[[#This Row],[order_date]],"dddd")</f>
        <v>Thursday</v>
      </c>
      <c r="H103" s="2">
        <v>36526.727881944447</v>
      </c>
      <c r="I103">
        <v>18.5</v>
      </c>
      <c r="J103">
        <v>18.5</v>
      </c>
      <c r="K103" t="s">
        <v>21</v>
      </c>
      <c r="L103" t="s">
        <v>22</v>
      </c>
      <c r="M103" t="s">
        <v>23</v>
      </c>
      <c r="N103" t="s">
        <v>24</v>
      </c>
    </row>
    <row r="104" spans="1:14" x14ac:dyDescent="0.3">
      <c r="A104">
        <v>103</v>
      </c>
      <c r="B104">
        <v>42</v>
      </c>
      <c r="C104">
        <f>1/COUNTIF(pizza_sales[[#All],[order_id]],pizza_sales[[#This Row],[order_id]])</f>
        <v>0.25</v>
      </c>
      <c r="D104" t="s">
        <v>68</v>
      </c>
      <c r="E104">
        <v>1</v>
      </c>
      <c r="F104" s="1">
        <v>42005</v>
      </c>
      <c r="G104" s="1" t="str">
        <f>TEXT(pizza_sales[[#This Row],[order_date]],"dddd")</f>
        <v>Thursday</v>
      </c>
      <c r="H104" s="2">
        <v>36526.727881944447</v>
      </c>
      <c r="I104">
        <v>20.25</v>
      </c>
      <c r="J104">
        <v>20.25</v>
      </c>
      <c r="K104" t="s">
        <v>21</v>
      </c>
      <c r="L104" t="s">
        <v>22</v>
      </c>
      <c r="M104" t="s">
        <v>30</v>
      </c>
      <c r="N104" t="s">
        <v>31</v>
      </c>
    </row>
    <row r="105" spans="1:14" x14ac:dyDescent="0.3">
      <c r="A105">
        <v>104</v>
      </c>
      <c r="B105">
        <v>42</v>
      </c>
      <c r="C105">
        <f>1/COUNTIF(pizza_sales[[#All],[order_id]],pizza_sales[[#This Row],[order_id]])</f>
        <v>0.25</v>
      </c>
      <c r="D105" t="s">
        <v>133</v>
      </c>
      <c r="E105">
        <v>1</v>
      </c>
      <c r="F105" s="1">
        <v>42005</v>
      </c>
      <c r="G105" s="1" t="str">
        <f>TEXT(pizza_sales[[#This Row],[order_date]],"dddd")</f>
        <v>Thursday</v>
      </c>
      <c r="H105" s="2">
        <v>36526.727881944447</v>
      </c>
      <c r="I105">
        <v>16.5</v>
      </c>
      <c r="J105">
        <v>16.5</v>
      </c>
      <c r="K105" t="s">
        <v>13</v>
      </c>
      <c r="L105" t="s">
        <v>26</v>
      </c>
      <c r="M105" t="s">
        <v>107</v>
      </c>
      <c r="N105" t="s">
        <v>108</v>
      </c>
    </row>
    <row r="106" spans="1:14" x14ac:dyDescent="0.3">
      <c r="A106">
        <v>105</v>
      </c>
      <c r="B106">
        <v>43</v>
      </c>
      <c r="C106">
        <f>1/COUNTIF(pizza_sales[[#All],[order_id]],pizza_sales[[#This Row],[order_id]])</f>
        <v>0.33333333333333331</v>
      </c>
      <c r="D106" t="s">
        <v>134</v>
      </c>
      <c r="E106">
        <v>1</v>
      </c>
      <c r="F106" s="1">
        <v>42005</v>
      </c>
      <c r="G106" s="1" t="str">
        <f>TEXT(pizza_sales[[#This Row],[order_date]],"dddd")</f>
        <v>Thursday</v>
      </c>
      <c r="H106" s="2">
        <v>36526.735115740739</v>
      </c>
      <c r="I106">
        <v>16.75</v>
      </c>
      <c r="J106">
        <v>16.75</v>
      </c>
      <c r="K106" t="s">
        <v>13</v>
      </c>
      <c r="L106" t="s">
        <v>33</v>
      </c>
      <c r="M106" t="s">
        <v>124</v>
      </c>
      <c r="N106" t="s">
        <v>125</v>
      </c>
    </row>
    <row r="107" spans="1:14" x14ac:dyDescent="0.3">
      <c r="A107">
        <v>106</v>
      </c>
      <c r="B107">
        <v>43</v>
      </c>
      <c r="C107">
        <f>1/COUNTIF(pizza_sales[[#All],[order_id]],pizza_sales[[#This Row],[order_id]])</f>
        <v>0.33333333333333331</v>
      </c>
      <c r="D107" t="s">
        <v>36</v>
      </c>
      <c r="E107">
        <v>1</v>
      </c>
      <c r="F107" s="1">
        <v>42005</v>
      </c>
      <c r="G107" s="1" t="str">
        <f>TEXT(pizza_sales[[#This Row],[order_date]],"dddd")</f>
        <v>Thursday</v>
      </c>
      <c r="H107" s="2">
        <v>36526.735115740739</v>
      </c>
      <c r="I107">
        <v>16.5</v>
      </c>
      <c r="J107">
        <v>16.5</v>
      </c>
      <c r="K107" t="s">
        <v>13</v>
      </c>
      <c r="L107" t="s">
        <v>26</v>
      </c>
      <c r="M107" t="s">
        <v>27</v>
      </c>
      <c r="N107" t="s">
        <v>28</v>
      </c>
    </row>
    <row r="108" spans="1:14" x14ac:dyDescent="0.3">
      <c r="A108">
        <v>107</v>
      </c>
      <c r="B108">
        <v>43</v>
      </c>
      <c r="C108">
        <f>1/COUNTIF(pizza_sales[[#All],[order_id]],pizza_sales[[#This Row],[order_id]])</f>
        <v>0.33333333333333331</v>
      </c>
      <c r="D108" t="s">
        <v>135</v>
      </c>
      <c r="E108">
        <v>1</v>
      </c>
      <c r="F108" s="1">
        <v>42005</v>
      </c>
      <c r="G108" s="1" t="str">
        <f>TEXT(pizza_sales[[#This Row],[order_date]],"dddd")</f>
        <v>Thursday</v>
      </c>
      <c r="H108" s="2">
        <v>36526.735115740739</v>
      </c>
      <c r="I108">
        <v>20.75</v>
      </c>
      <c r="J108">
        <v>20.75</v>
      </c>
      <c r="K108" t="s">
        <v>21</v>
      </c>
      <c r="L108" t="s">
        <v>26</v>
      </c>
      <c r="M108" t="s">
        <v>107</v>
      </c>
      <c r="N108" t="s">
        <v>108</v>
      </c>
    </row>
    <row r="109" spans="1:14" x14ac:dyDescent="0.3">
      <c r="A109">
        <v>108</v>
      </c>
      <c r="B109">
        <v>44</v>
      </c>
      <c r="C109">
        <f>1/COUNTIF(pizza_sales[[#All],[order_id]],pizza_sales[[#This Row],[order_id]])</f>
        <v>1</v>
      </c>
      <c r="D109" t="s">
        <v>136</v>
      </c>
      <c r="E109">
        <v>1</v>
      </c>
      <c r="F109" s="1">
        <v>42005</v>
      </c>
      <c r="G109" s="1" t="str">
        <f>TEXT(pizza_sales[[#This Row],[order_date]],"dddd")</f>
        <v>Thursday</v>
      </c>
      <c r="H109" s="2">
        <v>36526.746064814812</v>
      </c>
      <c r="I109">
        <v>12.5</v>
      </c>
      <c r="J109">
        <v>12.5</v>
      </c>
      <c r="K109" t="s">
        <v>41</v>
      </c>
      <c r="L109" t="s">
        <v>22</v>
      </c>
      <c r="M109" t="s">
        <v>63</v>
      </c>
      <c r="N109" t="s">
        <v>64</v>
      </c>
    </row>
    <row r="110" spans="1:14" x14ac:dyDescent="0.3">
      <c r="A110">
        <v>109</v>
      </c>
      <c r="B110">
        <v>45</v>
      </c>
      <c r="C110">
        <f>1/COUNTIF(pizza_sales[[#All],[order_id]],pizza_sales[[#This Row],[order_id]])</f>
        <v>0.33333333333333331</v>
      </c>
      <c r="D110" t="s">
        <v>90</v>
      </c>
      <c r="E110">
        <v>1</v>
      </c>
      <c r="F110" s="1">
        <v>42005</v>
      </c>
      <c r="G110" s="1" t="str">
        <f>TEXT(pizza_sales[[#This Row],[order_date]],"dddd")</f>
        <v>Thursday</v>
      </c>
      <c r="H110" s="2">
        <v>36526.747083333335</v>
      </c>
      <c r="I110">
        <v>17.95</v>
      </c>
      <c r="J110">
        <v>17.95</v>
      </c>
      <c r="K110" t="s">
        <v>21</v>
      </c>
      <c r="L110" t="s">
        <v>22</v>
      </c>
      <c r="M110" t="s">
        <v>91</v>
      </c>
      <c r="N110" t="s">
        <v>92</v>
      </c>
    </row>
    <row r="111" spans="1:14" x14ac:dyDescent="0.3">
      <c r="A111">
        <v>110</v>
      </c>
      <c r="B111">
        <v>45</v>
      </c>
      <c r="C111">
        <f>1/COUNTIF(pizza_sales[[#All],[order_id]],pizza_sales[[#This Row],[order_id]])</f>
        <v>0.33333333333333331</v>
      </c>
      <c r="D111" t="s">
        <v>132</v>
      </c>
      <c r="E111">
        <v>1</v>
      </c>
      <c r="F111" s="1">
        <v>42005</v>
      </c>
      <c r="G111" s="1" t="str">
        <f>TEXT(pizza_sales[[#This Row],[order_date]],"dddd")</f>
        <v>Thursday</v>
      </c>
      <c r="H111" s="2">
        <v>36526.747083333335</v>
      </c>
      <c r="I111">
        <v>10.5</v>
      </c>
      <c r="J111">
        <v>10.5</v>
      </c>
      <c r="K111" t="s">
        <v>41</v>
      </c>
      <c r="L111" t="s">
        <v>14</v>
      </c>
      <c r="M111" t="s">
        <v>15</v>
      </c>
      <c r="N111" t="s">
        <v>16</v>
      </c>
    </row>
    <row r="112" spans="1:14" x14ac:dyDescent="0.3">
      <c r="A112">
        <v>111</v>
      </c>
      <c r="B112">
        <v>45</v>
      </c>
      <c r="C112">
        <f>1/COUNTIF(pizza_sales[[#All],[order_id]],pizza_sales[[#This Row],[order_id]])</f>
        <v>0.33333333333333331</v>
      </c>
      <c r="D112" t="s">
        <v>137</v>
      </c>
      <c r="E112">
        <v>1</v>
      </c>
      <c r="F112" s="1">
        <v>42005</v>
      </c>
      <c r="G112" s="1" t="str">
        <f>TEXT(pizza_sales[[#This Row],[order_date]],"dddd")</f>
        <v>Thursday</v>
      </c>
      <c r="H112" s="2">
        <v>36526.747083333335</v>
      </c>
      <c r="I112">
        <v>16.75</v>
      </c>
      <c r="J112">
        <v>16.75</v>
      </c>
      <c r="K112" t="s">
        <v>13</v>
      </c>
      <c r="L112" t="s">
        <v>33</v>
      </c>
      <c r="M112" t="s">
        <v>34</v>
      </c>
      <c r="N112" t="s">
        <v>35</v>
      </c>
    </row>
    <row r="113" spans="1:14" x14ac:dyDescent="0.3">
      <c r="A113">
        <v>112</v>
      </c>
      <c r="B113">
        <v>46</v>
      </c>
      <c r="C113">
        <f>1/COUNTIF(pizza_sales[[#All],[order_id]],pizza_sales[[#This Row],[order_id]])</f>
        <v>0.33333333333333331</v>
      </c>
      <c r="D113" t="s">
        <v>81</v>
      </c>
      <c r="E113">
        <v>1</v>
      </c>
      <c r="F113" s="1">
        <v>42005</v>
      </c>
      <c r="G113" s="1" t="str">
        <f>TEXT(pizza_sales[[#This Row],[order_date]],"dddd")</f>
        <v>Thursday</v>
      </c>
      <c r="H113" s="2">
        <v>36526.767951388887</v>
      </c>
      <c r="I113">
        <v>20.75</v>
      </c>
      <c r="J113">
        <v>20.75</v>
      </c>
      <c r="K113" t="s">
        <v>21</v>
      </c>
      <c r="L113" t="s">
        <v>33</v>
      </c>
      <c r="M113" t="s">
        <v>82</v>
      </c>
      <c r="N113" t="s">
        <v>83</v>
      </c>
    </row>
    <row r="114" spans="1:14" x14ac:dyDescent="0.3">
      <c r="A114">
        <v>113</v>
      </c>
      <c r="B114">
        <v>46</v>
      </c>
      <c r="C114">
        <f>1/COUNTIF(pizza_sales[[#All],[order_id]],pizza_sales[[#This Row],[order_id]])</f>
        <v>0.33333333333333331</v>
      </c>
      <c r="D114" t="s">
        <v>138</v>
      </c>
      <c r="E114">
        <v>1</v>
      </c>
      <c r="F114" s="1">
        <v>42005</v>
      </c>
      <c r="G114" s="1" t="str">
        <f>TEXT(pizza_sales[[#This Row],[order_date]],"dddd")</f>
        <v>Thursday</v>
      </c>
      <c r="H114" s="2">
        <v>36526.767951388887</v>
      </c>
      <c r="I114">
        <v>20.5</v>
      </c>
      <c r="J114">
        <v>20.5</v>
      </c>
      <c r="K114" t="s">
        <v>21</v>
      </c>
      <c r="L114" t="s">
        <v>14</v>
      </c>
      <c r="M114" t="s">
        <v>18</v>
      </c>
      <c r="N114" t="s">
        <v>19</v>
      </c>
    </row>
    <row r="115" spans="1:14" x14ac:dyDescent="0.3">
      <c r="A115">
        <v>114</v>
      </c>
      <c r="B115">
        <v>46</v>
      </c>
      <c r="C115">
        <f>1/COUNTIF(pizza_sales[[#All],[order_id]],pizza_sales[[#This Row],[order_id]])</f>
        <v>0.33333333333333331</v>
      </c>
      <c r="D115" t="s">
        <v>137</v>
      </c>
      <c r="E115">
        <v>1</v>
      </c>
      <c r="F115" s="1">
        <v>42005</v>
      </c>
      <c r="G115" s="1" t="str">
        <f>TEXT(pizza_sales[[#This Row],[order_date]],"dddd")</f>
        <v>Thursday</v>
      </c>
      <c r="H115" s="2">
        <v>36526.767951388887</v>
      </c>
      <c r="I115">
        <v>16.75</v>
      </c>
      <c r="J115">
        <v>16.75</v>
      </c>
      <c r="K115" t="s">
        <v>13</v>
      </c>
      <c r="L115" t="s">
        <v>33</v>
      </c>
      <c r="M115" t="s">
        <v>34</v>
      </c>
      <c r="N115" t="s">
        <v>35</v>
      </c>
    </row>
    <row r="116" spans="1:14" x14ac:dyDescent="0.3">
      <c r="A116">
        <v>115</v>
      </c>
      <c r="B116">
        <v>47</v>
      </c>
      <c r="C116">
        <f>1/COUNTIF(pizza_sales[[#All],[order_id]],pizza_sales[[#This Row],[order_id]])</f>
        <v>0.5</v>
      </c>
      <c r="D116" t="s">
        <v>69</v>
      </c>
      <c r="E116">
        <v>1</v>
      </c>
      <c r="F116" s="1">
        <v>42005</v>
      </c>
      <c r="G116" s="1" t="str">
        <f>TEXT(pizza_sales[[#This Row],[order_date]],"dddd")</f>
        <v>Thursday</v>
      </c>
      <c r="H116" s="2">
        <v>36526.768449074072</v>
      </c>
      <c r="I116">
        <v>20.75</v>
      </c>
      <c r="J116">
        <v>20.75</v>
      </c>
      <c r="K116" t="s">
        <v>21</v>
      </c>
      <c r="L116" t="s">
        <v>33</v>
      </c>
      <c r="M116" t="s">
        <v>70</v>
      </c>
      <c r="N116" t="s">
        <v>71</v>
      </c>
    </row>
    <row r="117" spans="1:14" x14ac:dyDescent="0.3">
      <c r="A117">
        <v>116</v>
      </c>
      <c r="B117">
        <v>47</v>
      </c>
      <c r="C117">
        <f>1/COUNTIF(pizza_sales[[#All],[order_id]],pizza_sales[[#This Row],[order_id]])</f>
        <v>0.5</v>
      </c>
      <c r="D117" t="s">
        <v>65</v>
      </c>
      <c r="E117">
        <v>1</v>
      </c>
      <c r="F117" s="1">
        <v>42005</v>
      </c>
      <c r="G117" s="1" t="str">
        <f>TEXT(pizza_sales[[#This Row],[order_date]],"dddd")</f>
        <v>Thursday</v>
      </c>
      <c r="H117" s="2">
        <v>36526.768449074072</v>
      </c>
      <c r="I117">
        <v>12</v>
      </c>
      <c r="J117">
        <v>12</v>
      </c>
      <c r="K117" t="s">
        <v>41</v>
      </c>
      <c r="L117" t="s">
        <v>22</v>
      </c>
      <c r="M117" t="s">
        <v>66</v>
      </c>
      <c r="N117" t="s">
        <v>67</v>
      </c>
    </row>
    <row r="118" spans="1:14" x14ac:dyDescent="0.3">
      <c r="A118">
        <v>117</v>
      </c>
      <c r="B118">
        <v>48</v>
      </c>
      <c r="C118">
        <f>1/COUNTIF(pizza_sales[[#All],[order_id]],pizza_sales[[#This Row],[order_id]])</f>
        <v>0.25</v>
      </c>
      <c r="D118" t="s">
        <v>139</v>
      </c>
      <c r="E118">
        <v>1</v>
      </c>
      <c r="F118" s="1">
        <v>42005</v>
      </c>
      <c r="G118" s="1" t="str">
        <f>TEXT(pizza_sales[[#This Row],[order_date]],"dddd")</f>
        <v>Thursday</v>
      </c>
      <c r="H118" s="2">
        <v>36526.768541666665</v>
      </c>
      <c r="I118">
        <v>16.75</v>
      </c>
      <c r="J118">
        <v>16.75</v>
      </c>
      <c r="K118" t="s">
        <v>13</v>
      </c>
      <c r="L118" t="s">
        <v>33</v>
      </c>
      <c r="M118" t="s">
        <v>82</v>
      </c>
      <c r="N118" t="s">
        <v>83</v>
      </c>
    </row>
    <row r="119" spans="1:14" x14ac:dyDescent="0.3">
      <c r="A119">
        <v>118</v>
      </c>
      <c r="B119">
        <v>48</v>
      </c>
      <c r="C119">
        <f>1/COUNTIF(pizza_sales[[#All],[order_id]],pizza_sales[[#This Row],[order_id]])</f>
        <v>0.25</v>
      </c>
      <c r="D119" t="s">
        <v>51</v>
      </c>
      <c r="E119">
        <v>1</v>
      </c>
      <c r="F119" s="1">
        <v>42005</v>
      </c>
      <c r="G119" s="1" t="str">
        <f>TEXT(pizza_sales[[#This Row],[order_date]],"dddd")</f>
        <v>Thursday</v>
      </c>
      <c r="H119" s="2">
        <v>36526.768541666665</v>
      </c>
      <c r="I119">
        <v>12</v>
      </c>
      <c r="J119">
        <v>12</v>
      </c>
      <c r="K119" t="s">
        <v>41</v>
      </c>
      <c r="L119" t="s">
        <v>22</v>
      </c>
      <c r="M119" t="s">
        <v>52</v>
      </c>
      <c r="N119" t="s">
        <v>53</v>
      </c>
    </row>
    <row r="120" spans="1:14" x14ac:dyDescent="0.3">
      <c r="A120">
        <v>119</v>
      </c>
      <c r="B120">
        <v>48</v>
      </c>
      <c r="C120">
        <f>1/COUNTIF(pizza_sales[[#All],[order_id]],pizza_sales[[#This Row],[order_id]])</f>
        <v>0.25</v>
      </c>
      <c r="D120" t="s">
        <v>37</v>
      </c>
      <c r="E120">
        <v>1</v>
      </c>
      <c r="F120" s="1">
        <v>42005</v>
      </c>
      <c r="G120" s="1" t="str">
        <f>TEXT(pizza_sales[[#This Row],[order_date]],"dddd")</f>
        <v>Thursday</v>
      </c>
      <c r="H120" s="2">
        <v>36526.768541666665</v>
      </c>
      <c r="I120">
        <v>20.75</v>
      </c>
      <c r="J120">
        <v>20.75</v>
      </c>
      <c r="K120" t="s">
        <v>21</v>
      </c>
      <c r="L120" t="s">
        <v>26</v>
      </c>
      <c r="M120" t="s">
        <v>38</v>
      </c>
      <c r="N120" t="s">
        <v>39</v>
      </c>
    </row>
    <row r="121" spans="1:14" x14ac:dyDescent="0.3">
      <c r="A121">
        <v>120</v>
      </c>
      <c r="B121">
        <v>48</v>
      </c>
      <c r="C121">
        <f>1/COUNTIF(pizza_sales[[#All],[order_id]],pizza_sales[[#This Row],[order_id]])</f>
        <v>0.25</v>
      </c>
      <c r="D121" t="s">
        <v>59</v>
      </c>
      <c r="E121">
        <v>1</v>
      </c>
      <c r="F121" s="1">
        <v>42005</v>
      </c>
      <c r="G121" s="1" t="str">
        <f>TEXT(pizza_sales[[#This Row],[order_date]],"dddd")</f>
        <v>Thursday</v>
      </c>
      <c r="H121" s="2">
        <v>36526.768541666665</v>
      </c>
      <c r="I121">
        <v>20.75</v>
      </c>
      <c r="J121">
        <v>20.75</v>
      </c>
      <c r="K121" t="s">
        <v>21</v>
      </c>
      <c r="L121" t="s">
        <v>26</v>
      </c>
      <c r="M121" t="s">
        <v>60</v>
      </c>
      <c r="N121" t="s">
        <v>61</v>
      </c>
    </row>
    <row r="122" spans="1:14" x14ac:dyDescent="0.3">
      <c r="A122">
        <v>121</v>
      </c>
      <c r="B122">
        <v>49</v>
      </c>
      <c r="C122">
        <f>1/COUNTIF(pizza_sales[[#All],[order_id]],pizza_sales[[#This Row],[order_id]])</f>
        <v>1</v>
      </c>
      <c r="D122" t="s">
        <v>113</v>
      </c>
      <c r="E122">
        <v>1</v>
      </c>
      <c r="F122" s="1">
        <v>42005</v>
      </c>
      <c r="G122" s="1" t="str">
        <f>TEXT(pizza_sales[[#This Row],[order_date]],"dddd")</f>
        <v>Thursday</v>
      </c>
      <c r="H122" s="2">
        <v>36526.772916666669</v>
      </c>
      <c r="I122">
        <v>20.25</v>
      </c>
      <c r="J122">
        <v>20.25</v>
      </c>
      <c r="K122" t="s">
        <v>21</v>
      </c>
      <c r="L122" t="s">
        <v>26</v>
      </c>
      <c r="M122" t="s">
        <v>114</v>
      </c>
      <c r="N122" t="s">
        <v>115</v>
      </c>
    </row>
    <row r="123" spans="1:14" x14ac:dyDescent="0.3">
      <c r="A123">
        <v>122</v>
      </c>
      <c r="B123">
        <v>50</v>
      </c>
      <c r="C123">
        <f>1/COUNTIF(pizza_sales[[#All],[order_id]],pizza_sales[[#This Row],[order_id]])</f>
        <v>1</v>
      </c>
      <c r="D123" t="s">
        <v>140</v>
      </c>
      <c r="E123">
        <v>1</v>
      </c>
      <c r="F123" s="1">
        <v>42005</v>
      </c>
      <c r="G123" s="1" t="str">
        <f>TEXT(pizza_sales[[#This Row],[order_date]],"dddd")</f>
        <v>Thursday</v>
      </c>
      <c r="H123" s="2">
        <v>36526.778483796297</v>
      </c>
      <c r="I123">
        <v>25.5</v>
      </c>
      <c r="J123">
        <v>25.5</v>
      </c>
      <c r="K123" t="s">
        <v>141</v>
      </c>
      <c r="L123" t="s">
        <v>14</v>
      </c>
      <c r="M123" t="s">
        <v>45</v>
      </c>
      <c r="N123" t="s">
        <v>46</v>
      </c>
    </row>
    <row r="124" spans="1:14" x14ac:dyDescent="0.3">
      <c r="A124">
        <v>123</v>
      </c>
      <c r="B124">
        <v>51</v>
      </c>
      <c r="C124">
        <f>1/COUNTIF(pizza_sales[[#All],[order_id]],pizza_sales[[#This Row],[order_id]])</f>
        <v>0.5</v>
      </c>
      <c r="D124" t="s">
        <v>72</v>
      </c>
      <c r="E124">
        <v>1</v>
      </c>
      <c r="F124" s="1">
        <v>42005</v>
      </c>
      <c r="G124" s="1" t="str">
        <f>TEXT(pizza_sales[[#This Row],[order_date]],"dddd")</f>
        <v>Thursday</v>
      </c>
      <c r="H124" s="2">
        <v>36526.78365740741</v>
      </c>
      <c r="I124">
        <v>20.75</v>
      </c>
      <c r="J124">
        <v>20.75</v>
      </c>
      <c r="K124" t="s">
        <v>21</v>
      </c>
      <c r="L124" t="s">
        <v>33</v>
      </c>
      <c r="M124" t="s">
        <v>42</v>
      </c>
      <c r="N124" t="s">
        <v>43</v>
      </c>
    </row>
    <row r="125" spans="1:14" x14ac:dyDescent="0.3">
      <c r="A125">
        <v>124</v>
      </c>
      <c r="B125">
        <v>51</v>
      </c>
      <c r="C125">
        <f>1/COUNTIF(pizza_sales[[#All],[order_id]],pizza_sales[[#This Row],[order_id]])</f>
        <v>0.5</v>
      </c>
      <c r="D125" t="s">
        <v>129</v>
      </c>
      <c r="E125">
        <v>1</v>
      </c>
      <c r="F125" s="1">
        <v>42005</v>
      </c>
      <c r="G125" s="1" t="str">
        <f>TEXT(pizza_sales[[#This Row],[order_date]],"dddd")</f>
        <v>Thursday</v>
      </c>
      <c r="H125" s="2">
        <v>36526.78365740741</v>
      </c>
      <c r="I125">
        <v>17.5</v>
      </c>
      <c r="J125">
        <v>17.5</v>
      </c>
      <c r="K125" t="s">
        <v>21</v>
      </c>
      <c r="L125" t="s">
        <v>14</v>
      </c>
      <c r="M125" t="s">
        <v>130</v>
      </c>
      <c r="N125" t="s">
        <v>131</v>
      </c>
    </row>
    <row r="126" spans="1:14" x14ac:dyDescent="0.3">
      <c r="A126">
        <v>125</v>
      </c>
      <c r="B126">
        <v>52</v>
      </c>
      <c r="C126">
        <f>1/COUNTIF(pizza_sales[[#All],[order_id]],pizza_sales[[#This Row],[order_id]])</f>
        <v>0.33333333333333331</v>
      </c>
      <c r="D126" t="s">
        <v>142</v>
      </c>
      <c r="E126">
        <v>1</v>
      </c>
      <c r="F126" s="1">
        <v>42005</v>
      </c>
      <c r="G126" s="1" t="str">
        <f>TEXT(pizza_sales[[#This Row],[order_date]],"dddd")</f>
        <v>Thursday</v>
      </c>
      <c r="H126" s="2">
        <v>36526.786828703705</v>
      </c>
      <c r="I126">
        <v>16.5</v>
      </c>
      <c r="J126">
        <v>16.5</v>
      </c>
      <c r="K126" t="s">
        <v>21</v>
      </c>
      <c r="L126" t="s">
        <v>14</v>
      </c>
      <c r="M126" t="s">
        <v>15</v>
      </c>
      <c r="N126" t="s">
        <v>16</v>
      </c>
    </row>
    <row r="127" spans="1:14" x14ac:dyDescent="0.3">
      <c r="A127">
        <v>126</v>
      </c>
      <c r="B127">
        <v>52</v>
      </c>
      <c r="C127">
        <f>1/COUNTIF(pizza_sales[[#All],[order_id]],pizza_sales[[#This Row],[order_id]])</f>
        <v>0.33333333333333331</v>
      </c>
      <c r="D127" t="s">
        <v>68</v>
      </c>
      <c r="E127">
        <v>1</v>
      </c>
      <c r="F127" s="1">
        <v>42005</v>
      </c>
      <c r="G127" s="1" t="str">
        <f>TEXT(pizza_sales[[#This Row],[order_date]],"dddd")</f>
        <v>Thursday</v>
      </c>
      <c r="H127" s="2">
        <v>36526.786828703705</v>
      </c>
      <c r="I127">
        <v>20.25</v>
      </c>
      <c r="J127">
        <v>20.25</v>
      </c>
      <c r="K127" t="s">
        <v>21</v>
      </c>
      <c r="L127" t="s">
        <v>22</v>
      </c>
      <c r="M127" t="s">
        <v>30</v>
      </c>
      <c r="N127" t="s">
        <v>31</v>
      </c>
    </row>
    <row r="128" spans="1:14" x14ac:dyDescent="0.3">
      <c r="A128">
        <v>127</v>
      </c>
      <c r="B128">
        <v>52</v>
      </c>
      <c r="C128">
        <f>1/COUNTIF(pizza_sales[[#All],[order_id]],pizza_sales[[#This Row],[order_id]])</f>
        <v>0.33333333333333331</v>
      </c>
      <c r="D128" t="s">
        <v>59</v>
      </c>
      <c r="E128">
        <v>1</v>
      </c>
      <c r="F128" s="1">
        <v>42005</v>
      </c>
      <c r="G128" s="1" t="str">
        <f>TEXT(pizza_sales[[#This Row],[order_date]],"dddd")</f>
        <v>Thursday</v>
      </c>
      <c r="H128" s="2">
        <v>36526.786828703705</v>
      </c>
      <c r="I128">
        <v>20.75</v>
      </c>
      <c r="J128">
        <v>20.75</v>
      </c>
      <c r="K128" t="s">
        <v>21</v>
      </c>
      <c r="L128" t="s">
        <v>26</v>
      </c>
      <c r="M128" t="s">
        <v>60</v>
      </c>
      <c r="N128" t="s">
        <v>61</v>
      </c>
    </row>
    <row r="129" spans="1:14" x14ac:dyDescent="0.3">
      <c r="A129">
        <v>128</v>
      </c>
      <c r="B129">
        <v>53</v>
      </c>
      <c r="C129">
        <f>1/COUNTIF(pizza_sales[[#All],[order_id]],pizza_sales[[#This Row],[order_id]])</f>
        <v>0.5</v>
      </c>
      <c r="D129" t="s">
        <v>143</v>
      </c>
      <c r="E129">
        <v>1</v>
      </c>
      <c r="F129" s="1">
        <v>42005</v>
      </c>
      <c r="G129" s="1" t="str">
        <f>TEXT(pizza_sales[[#This Row],[order_date]],"dddd")</f>
        <v>Thursday</v>
      </c>
      <c r="H129" s="2">
        <v>36526.78769675926</v>
      </c>
      <c r="I129">
        <v>11</v>
      </c>
      <c r="J129">
        <v>11</v>
      </c>
      <c r="K129" t="s">
        <v>41</v>
      </c>
      <c r="L129" t="s">
        <v>14</v>
      </c>
      <c r="M129" t="s">
        <v>130</v>
      </c>
      <c r="N129" t="s">
        <v>131</v>
      </c>
    </row>
    <row r="130" spans="1:14" x14ac:dyDescent="0.3">
      <c r="A130">
        <v>129</v>
      </c>
      <c r="B130">
        <v>53</v>
      </c>
      <c r="C130">
        <f>1/COUNTIF(pizza_sales[[#All],[order_id]],pizza_sales[[#This Row],[order_id]])</f>
        <v>0.5</v>
      </c>
      <c r="D130" t="s">
        <v>144</v>
      </c>
      <c r="E130">
        <v>1</v>
      </c>
      <c r="F130" s="1">
        <v>42005</v>
      </c>
      <c r="G130" s="1" t="str">
        <f>TEXT(pizza_sales[[#This Row],[order_date]],"dddd")</f>
        <v>Thursday</v>
      </c>
      <c r="H130" s="2">
        <v>36526.78769675926</v>
      </c>
      <c r="I130">
        <v>16.5</v>
      </c>
      <c r="J130">
        <v>16.5</v>
      </c>
      <c r="K130" t="s">
        <v>13</v>
      </c>
      <c r="L130" t="s">
        <v>26</v>
      </c>
      <c r="M130" t="s">
        <v>48</v>
      </c>
      <c r="N130" t="s">
        <v>49</v>
      </c>
    </row>
    <row r="131" spans="1:14" x14ac:dyDescent="0.3">
      <c r="A131">
        <v>130</v>
      </c>
      <c r="B131">
        <v>54</v>
      </c>
      <c r="C131">
        <f>1/COUNTIF(pizza_sales[[#All],[order_id]],pizza_sales[[#This Row],[order_id]])</f>
        <v>0.5</v>
      </c>
      <c r="D131" t="s">
        <v>145</v>
      </c>
      <c r="E131">
        <v>1</v>
      </c>
      <c r="F131" s="1">
        <v>42005</v>
      </c>
      <c r="G131" s="1" t="str">
        <f>TEXT(pizza_sales[[#This Row],[order_date]],"dddd")</f>
        <v>Thursday</v>
      </c>
      <c r="H131" s="2">
        <v>36526.792881944442</v>
      </c>
      <c r="I131">
        <v>16.5</v>
      </c>
      <c r="J131">
        <v>16.5</v>
      </c>
      <c r="K131" t="s">
        <v>13</v>
      </c>
      <c r="L131" t="s">
        <v>26</v>
      </c>
      <c r="M131" t="s">
        <v>38</v>
      </c>
      <c r="N131" t="s">
        <v>39</v>
      </c>
    </row>
    <row r="132" spans="1:14" x14ac:dyDescent="0.3">
      <c r="A132">
        <v>131</v>
      </c>
      <c r="B132">
        <v>54</v>
      </c>
      <c r="C132">
        <f>1/COUNTIF(pizza_sales[[#All],[order_id]],pizza_sales[[#This Row],[order_id]])</f>
        <v>0.5</v>
      </c>
      <c r="D132" t="s">
        <v>32</v>
      </c>
      <c r="E132">
        <v>1</v>
      </c>
      <c r="F132" s="1">
        <v>42005</v>
      </c>
      <c r="G132" s="1" t="str">
        <f>TEXT(pizza_sales[[#This Row],[order_date]],"dddd")</f>
        <v>Thursday</v>
      </c>
      <c r="H132" s="2">
        <v>36526.792881944442</v>
      </c>
      <c r="I132">
        <v>20.75</v>
      </c>
      <c r="J132">
        <v>20.75</v>
      </c>
      <c r="K132" t="s">
        <v>21</v>
      </c>
      <c r="L132" t="s">
        <v>33</v>
      </c>
      <c r="M132" t="s">
        <v>34</v>
      </c>
      <c r="N132" t="s">
        <v>35</v>
      </c>
    </row>
    <row r="133" spans="1:14" x14ac:dyDescent="0.3">
      <c r="A133">
        <v>132</v>
      </c>
      <c r="B133">
        <v>55</v>
      </c>
      <c r="C133">
        <f>1/COUNTIF(pizza_sales[[#All],[order_id]],pizza_sales[[#This Row],[order_id]])</f>
        <v>0.5</v>
      </c>
      <c r="D133" t="s">
        <v>106</v>
      </c>
      <c r="E133">
        <v>1</v>
      </c>
      <c r="F133" s="1">
        <v>42005</v>
      </c>
      <c r="G133" s="1" t="str">
        <f>TEXT(pizza_sales[[#This Row],[order_date]],"dddd")</f>
        <v>Thursday</v>
      </c>
      <c r="H133" s="2">
        <v>36526.793969907405</v>
      </c>
      <c r="I133">
        <v>12.5</v>
      </c>
      <c r="J133">
        <v>12.5</v>
      </c>
      <c r="K133" t="s">
        <v>41</v>
      </c>
      <c r="L133" t="s">
        <v>26</v>
      </c>
      <c r="M133" t="s">
        <v>107</v>
      </c>
      <c r="N133" t="s">
        <v>108</v>
      </c>
    </row>
    <row r="134" spans="1:14" x14ac:dyDescent="0.3">
      <c r="A134">
        <v>133</v>
      </c>
      <c r="B134">
        <v>55</v>
      </c>
      <c r="C134">
        <f>1/COUNTIF(pizza_sales[[#All],[order_id]],pizza_sales[[#This Row],[order_id]])</f>
        <v>0.5</v>
      </c>
      <c r="D134" t="s">
        <v>59</v>
      </c>
      <c r="E134">
        <v>1</v>
      </c>
      <c r="F134" s="1">
        <v>42005</v>
      </c>
      <c r="G134" s="1" t="str">
        <f>TEXT(pizza_sales[[#This Row],[order_date]],"dddd")</f>
        <v>Thursday</v>
      </c>
      <c r="H134" s="2">
        <v>36526.793969907405</v>
      </c>
      <c r="I134">
        <v>20.75</v>
      </c>
      <c r="J134">
        <v>20.75</v>
      </c>
      <c r="K134" t="s">
        <v>21</v>
      </c>
      <c r="L134" t="s">
        <v>26</v>
      </c>
      <c r="M134" t="s">
        <v>60</v>
      </c>
      <c r="N134" t="s">
        <v>61</v>
      </c>
    </row>
    <row r="135" spans="1:14" x14ac:dyDescent="0.3">
      <c r="A135">
        <v>134</v>
      </c>
      <c r="B135">
        <v>56</v>
      </c>
      <c r="C135">
        <f>1/COUNTIF(pizza_sales[[#All],[order_id]],pizza_sales[[#This Row],[order_id]])</f>
        <v>0.33333333333333331</v>
      </c>
      <c r="D135" t="s">
        <v>17</v>
      </c>
      <c r="E135">
        <v>1</v>
      </c>
      <c r="F135" s="1">
        <v>42005</v>
      </c>
      <c r="G135" s="1" t="str">
        <f>TEXT(pizza_sales[[#This Row],[order_date]],"dddd")</f>
        <v>Thursday</v>
      </c>
      <c r="H135" s="2">
        <v>36526.796527777777</v>
      </c>
      <c r="I135">
        <v>16</v>
      </c>
      <c r="J135">
        <v>16</v>
      </c>
      <c r="K135" t="s">
        <v>13</v>
      </c>
      <c r="L135" t="s">
        <v>14</v>
      </c>
      <c r="M135" t="s">
        <v>18</v>
      </c>
      <c r="N135" t="s">
        <v>19</v>
      </c>
    </row>
    <row r="136" spans="1:14" x14ac:dyDescent="0.3">
      <c r="A136">
        <v>135</v>
      </c>
      <c r="B136">
        <v>56</v>
      </c>
      <c r="C136">
        <f>1/COUNTIF(pizza_sales[[#All],[order_id]],pizza_sales[[#This Row],[order_id]])</f>
        <v>0.33333333333333331</v>
      </c>
      <c r="D136" t="s">
        <v>146</v>
      </c>
      <c r="E136">
        <v>1</v>
      </c>
      <c r="F136" s="1">
        <v>42005</v>
      </c>
      <c r="G136" s="1" t="str">
        <f>TEXT(pizza_sales[[#This Row],[order_date]],"dddd")</f>
        <v>Thursday</v>
      </c>
      <c r="H136" s="2">
        <v>36526.796527777777</v>
      </c>
      <c r="I136">
        <v>20.25</v>
      </c>
      <c r="J136">
        <v>20.25</v>
      </c>
      <c r="K136" t="s">
        <v>21</v>
      </c>
      <c r="L136" t="s">
        <v>22</v>
      </c>
      <c r="M136" t="s">
        <v>104</v>
      </c>
      <c r="N136" t="s">
        <v>105</v>
      </c>
    </row>
    <row r="137" spans="1:14" x14ac:dyDescent="0.3">
      <c r="A137">
        <v>136</v>
      </c>
      <c r="B137">
        <v>56</v>
      </c>
      <c r="C137">
        <f>1/COUNTIF(pizza_sales[[#All],[order_id]],pizza_sales[[#This Row],[order_id]])</f>
        <v>0.33333333333333331</v>
      </c>
      <c r="D137" t="s">
        <v>147</v>
      </c>
      <c r="E137">
        <v>1</v>
      </c>
      <c r="F137" s="1">
        <v>42005</v>
      </c>
      <c r="G137" s="1" t="str">
        <f>TEXT(pizza_sales[[#This Row],[order_date]],"dddd")</f>
        <v>Thursday</v>
      </c>
      <c r="H137" s="2">
        <v>36526.796527777777</v>
      </c>
      <c r="I137">
        <v>16.75</v>
      </c>
      <c r="J137">
        <v>16.75</v>
      </c>
      <c r="K137" t="s">
        <v>13</v>
      </c>
      <c r="L137" t="s">
        <v>33</v>
      </c>
      <c r="M137" t="s">
        <v>70</v>
      </c>
      <c r="N137" t="s">
        <v>71</v>
      </c>
    </row>
    <row r="138" spans="1:14" x14ac:dyDescent="0.3">
      <c r="A138">
        <v>137</v>
      </c>
      <c r="B138">
        <v>57</v>
      </c>
      <c r="C138">
        <f>1/COUNTIF(pizza_sales[[#All],[order_id]],pizza_sales[[#This Row],[order_id]])</f>
        <v>1</v>
      </c>
      <c r="D138" t="s">
        <v>17</v>
      </c>
      <c r="E138">
        <v>1</v>
      </c>
      <c r="F138" s="1">
        <v>42005</v>
      </c>
      <c r="G138" s="1" t="str">
        <f>TEXT(pizza_sales[[#This Row],[order_date]],"dddd")</f>
        <v>Thursday</v>
      </c>
      <c r="H138" s="2">
        <v>36526.799201388887</v>
      </c>
      <c r="I138">
        <v>16</v>
      </c>
      <c r="J138">
        <v>16</v>
      </c>
      <c r="K138" t="s">
        <v>13</v>
      </c>
      <c r="L138" t="s">
        <v>14</v>
      </c>
      <c r="M138" t="s">
        <v>18</v>
      </c>
      <c r="N138" t="s">
        <v>19</v>
      </c>
    </row>
    <row r="139" spans="1:14" x14ac:dyDescent="0.3">
      <c r="A139">
        <v>138</v>
      </c>
      <c r="B139">
        <v>58</v>
      </c>
      <c r="C139">
        <f>1/COUNTIF(pizza_sales[[#All],[order_id]],pizza_sales[[#This Row],[order_id]])</f>
        <v>0.5</v>
      </c>
      <c r="D139" t="s">
        <v>20</v>
      </c>
      <c r="E139">
        <v>1</v>
      </c>
      <c r="F139" s="1">
        <v>42005</v>
      </c>
      <c r="G139" s="1" t="str">
        <f>TEXT(pizza_sales[[#This Row],[order_date]],"dddd")</f>
        <v>Thursday</v>
      </c>
      <c r="H139" s="2">
        <v>36526.812962962962</v>
      </c>
      <c r="I139">
        <v>18.5</v>
      </c>
      <c r="J139">
        <v>18.5</v>
      </c>
      <c r="K139" t="s">
        <v>21</v>
      </c>
      <c r="L139" t="s">
        <v>22</v>
      </c>
      <c r="M139" t="s">
        <v>23</v>
      </c>
      <c r="N139" t="s">
        <v>24</v>
      </c>
    </row>
    <row r="140" spans="1:14" x14ac:dyDescent="0.3">
      <c r="A140">
        <v>139</v>
      </c>
      <c r="B140">
        <v>58</v>
      </c>
      <c r="C140">
        <f>1/COUNTIF(pizza_sales[[#All],[order_id]],pizza_sales[[#This Row],[order_id]])</f>
        <v>0.5</v>
      </c>
      <c r="D140" t="s">
        <v>119</v>
      </c>
      <c r="E140">
        <v>1</v>
      </c>
      <c r="F140" s="1">
        <v>42005</v>
      </c>
      <c r="G140" s="1" t="str">
        <f>TEXT(pizza_sales[[#This Row],[order_date]],"dddd")</f>
        <v>Thursday</v>
      </c>
      <c r="H140" s="2">
        <v>36526.812962962962</v>
      </c>
      <c r="I140">
        <v>12.5</v>
      </c>
      <c r="J140">
        <v>12.5</v>
      </c>
      <c r="K140" t="s">
        <v>13</v>
      </c>
      <c r="L140" t="s">
        <v>14</v>
      </c>
      <c r="M140" t="s">
        <v>78</v>
      </c>
      <c r="N140" t="s">
        <v>79</v>
      </c>
    </row>
    <row r="141" spans="1:14" x14ac:dyDescent="0.3">
      <c r="A141">
        <v>140</v>
      </c>
      <c r="B141">
        <v>59</v>
      </c>
      <c r="C141">
        <f>1/COUNTIF(pizza_sales[[#All],[order_id]],pizza_sales[[#This Row],[order_id]])</f>
        <v>0.33333333333333331</v>
      </c>
      <c r="D141" t="s">
        <v>100</v>
      </c>
      <c r="E141">
        <v>1</v>
      </c>
      <c r="F141" s="1">
        <v>42005</v>
      </c>
      <c r="G141" s="1" t="str">
        <f>TEXT(pizza_sales[[#This Row],[order_date]],"dddd")</f>
        <v>Thursday</v>
      </c>
      <c r="H141" s="2">
        <v>36526.819537037038</v>
      </c>
      <c r="I141">
        <v>12.75</v>
      </c>
      <c r="J141">
        <v>12.75</v>
      </c>
      <c r="K141" t="s">
        <v>41</v>
      </c>
      <c r="L141" t="s">
        <v>22</v>
      </c>
      <c r="M141" t="s">
        <v>101</v>
      </c>
      <c r="N141" t="s">
        <v>102</v>
      </c>
    </row>
    <row r="142" spans="1:14" x14ac:dyDescent="0.3">
      <c r="A142">
        <v>141</v>
      </c>
      <c r="B142">
        <v>59</v>
      </c>
      <c r="C142">
        <f>1/COUNTIF(pizza_sales[[#All],[order_id]],pizza_sales[[#This Row],[order_id]])</f>
        <v>0.33333333333333331</v>
      </c>
      <c r="D142" t="s">
        <v>143</v>
      </c>
      <c r="E142">
        <v>1</v>
      </c>
      <c r="F142" s="1">
        <v>42005</v>
      </c>
      <c r="G142" s="1" t="str">
        <f>TEXT(pizza_sales[[#This Row],[order_date]],"dddd")</f>
        <v>Thursday</v>
      </c>
      <c r="H142" s="2">
        <v>36526.819537037038</v>
      </c>
      <c r="I142">
        <v>11</v>
      </c>
      <c r="J142">
        <v>11</v>
      </c>
      <c r="K142" t="s">
        <v>41</v>
      </c>
      <c r="L142" t="s">
        <v>14</v>
      </c>
      <c r="M142" t="s">
        <v>130</v>
      </c>
      <c r="N142" t="s">
        <v>131</v>
      </c>
    </row>
    <row r="143" spans="1:14" x14ac:dyDescent="0.3">
      <c r="A143">
        <v>142</v>
      </c>
      <c r="B143">
        <v>59</v>
      </c>
      <c r="C143">
        <f>1/COUNTIF(pizza_sales[[#All],[order_id]],pizza_sales[[#This Row],[order_id]])</f>
        <v>0.33333333333333331</v>
      </c>
      <c r="D143" t="s">
        <v>77</v>
      </c>
      <c r="E143">
        <v>1</v>
      </c>
      <c r="F143" s="1">
        <v>42005</v>
      </c>
      <c r="G143" s="1" t="str">
        <f>TEXT(pizza_sales[[#This Row],[order_date]],"dddd")</f>
        <v>Thursday</v>
      </c>
      <c r="H143" s="2">
        <v>36526.819537037038</v>
      </c>
      <c r="I143">
        <v>15.25</v>
      </c>
      <c r="J143">
        <v>15.25</v>
      </c>
      <c r="K143" t="s">
        <v>21</v>
      </c>
      <c r="L143" t="s">
        <v>14</v>
      </c>
      <c r="M143" t="s">
        <v>78</v>
      </c>
      <c r="N143" t="s">
        <v>79</v>
      </c>
    </row>
    <row r="144" spans="1:14" x14ac:dyDescent="0.3">
      <c r="A144">
        <v>143</v>
      </c>
      <c r="B144">
        <v>60</v>
      </c>
      <c r="C144">
        <f>1/COUNTIF(pizza_sales[[#All],[order_id]],pizza_sales[[#This Row],[order_id]])</f>
        <v>0.5</v>
      </c>
      <c r="D144" t="s">
        <v>81</v>
      </c>
      <c r="E144">
        <v>1</v>
      </c>
      <c r="F144" s="1">
        <v>42005</v>
      </c>
      <c r="G144" s="1" t="str">
        <f>TEXT(pizza_sales[[#This Row],[order_date]],"dddd")</f>
        <v>Thursday</v>
      </c>
      <c r="H144" s="2">
        <v>36526.83699074074</v>
      </c>
      <c r="I144">
        <v>20.75</v>
      </c>
      <c r="J144">
        <v>20.75</v>
      </c>
      <c r="K144" t="s">
        <v>21</v>
      </c>
      <c r="L144" t="s">
        <v>33</v>
      </c>
      <c r="M144" t="s">
        <v>82</v>
      </c>
      <c r="N144" t="s">
        <v>83</v>
      </c>
    </row>
    <row r="145" spans="1:14" x14ac:dyDescent="0.3">
      <c r="A145">
        <v>144</v>
      </c>
      <c r="B145">
        <v>60</v>
      </c>
      <c r="C145">
        <f>1/COUNTIF(pizza_sales[[#All],[order_id]],pizza_sales[[#This Row],[order_id]])</f>
        <v>0.5</v>
      </c>
      <c r="D145" t="s">
        <v>99</v>
      </c>
      <c r="E145">
        <v>1</v>
      </c>
      <c r="F145" s="1">
        <v>42005</v>
      </c>
      <c r="G145" s="1" t="str">
        <f>TEXT(pizza_sales[[#This Row],[order_date]],"dddd")</f>
        <v>Thursday</v>
      </c>
      <c r="H145" s="2">
        <v>36526.83699074074</v>
      </c>
      <c r="I145">
        <v>14.75</v>
      </c>
      <c r="J145">
        <v>14.75</v>
      </c>
      <c r="K145" t="s">
        <v>13</v>
      </c>
      <c r="L145" t="s">
        <v>22</v>
      </c>
      <c r="M145" t="s">
        <v>91</v>
      </c>
      <c r="N145" t="s">
        <v>92</v>
      </c>
    </row>
    <row r="146" spans="1:14" x14ac:dyDescent="0.3">
      <c r="A146">
        <v>145</v>
      </c>
      <c r="B146">
        <v>61</v>
      </c>
      <c r="C146">
        <f>1/COUNTIF(pizza_sales[[#All],[order_id]],pizza_sales[[#This Row],[order_id]])</f>
        <v>0.5</v>
      </c>
      <c r="D146" t="s">
        <v>118</v>
      </c>
      <c r="E146">
        <v>1</v>
      </c>
      <c r="F146" s="1">
        <v>42005</v>
      </c>
      <c r="G146" s="1" t="str">
        <f>TEXT(pizza_sales[[#This Row],[order_date]],"dddd")</f>
        <v>Thursday</v>
      </c>
      <c r="H146" s="2">
        <v>36526.839386574073</v>
      </c>
      <c r="I146">
        <v>16.75</v>
      </c>
      <c r="J146">
        <v>16.75</v>
      </c>
      <c r="K146" t="s">
        <v>13</v>
      </c>
      <c r="L146" t="s">
        <v>33</v>
      </c>
      <c r="M146" t="s">
        <v>42</v>
      </c>
      <c r="N146" t="s">
        <v>43</v>
      </c>
    </row>
    <row r="147" spans="1:14" x14ac:dyDescent="0.3">
      <c r="A147">
        <v>146</v>
      </c>
      <c r="B147">
        <v>61</v>
      </c>
      <c r="C147">
        <f>1/COUNTIF(pizza_sales[[#All],[order_id]],pizza_sales[[#This Row],[order_id]])</f>
        <v>0.5</v>
      </c>
      <c r="D147" t="s">
        <v>25</v>
      </c>
      <c r="E147">
        <v>1</v>
      </c>
      <c r="F147" s="1">
        <v>42005</v>
      </c>
      <c r="G147" s="1" t="str">
        <f>TEXT(pizza_sales[[#This Row],[order_date]],"dddd")</f>
        <v>Thursday</v>
      </c>
      <c r="H147" s="2">
        <v>36526.839386574073</v>
      </c>
      <c r="I147">
        <v>20.75</v>
      </c>
      <c r="J147">
        <v>20.75</v>
      </c>
      <c r="K147" t="s">
        <v>21</v>
      </c>
      <c r="L147" t="s">
        <v>26</v>
      </c>
      <c r="M147" t="s">
        <v>27</v>
      </c>
      <c r="N147" t="s">
        <v>28</v>
      </c>
    </row>
    <row r="148" spans="1:14" x14ac:dyDescent="0.3">
      <c r="A148">
        <v>147</v>
      </c>
      <c r="B148">
        <v>62</v>
      </c>
      <c r="C148">
        <f>1/COUNTIF(pizza_sales[[#All],[order_id]],pizza_sales[[#This Row],[order_id]])</f>
        <v>0.5</v>
      </c>
      <c r="D148" t="s">
        <v>118</v>
      </c>
      <c r="E148">
        <v>1</v>
      </c>
      <c r="F148" s="1">
        <v>42005</v>
      </c>
      <c r="G148" s="1" t="str">
        <f>TEXT(pizza_sales[[#This Row],[order_date]],"dddd")</f>
        <v>Thursday</v>
      </c>
      <c r="H148" s="2">
        <v>36526.86824074074</v>
      </c>
      <c r="I148">
        <v>16.75</v>
      </c>
      <c r="J148">
        <v>16.75</v>
      </c>
      <c r="K148" t="s">
        <v>13</v>
      </c>
      <c r="L148" t="s">
        <v>33</v>
      </c>
      <c r="M148" t="s">
        <v>42</v>
      </c>
      <c r="N148" t="s">
        <v>43</v>
      </c>
    </row>
    <row r="149" spans="1:14" x14ac:dyDescent="0.3">
      <c r="A149">
        <v>148</v>
      </c>
      <c r="B149">
        <v>62</v>
      </c>
      <c r="C149">
        <f>1/COUNTIF(pizza_sales[[#All],[order_id]],pizza_sales[[#This Row],[order_id]])</f>
        <v>0.5</v>
      </c>
      <c r="D149" t="s">
        <v>144</v>
      </c>
      <c r="E149">
        <v>1</v>
      </c>
      <c r="F149" s="1">
        <v>42005</v>
      </c>
      <c r="G149" s="1" t="str">
        <f>TEXT(pizza_sales[[#This Row],[order_date]],"dddd")</f>
        <v>Thursday</v>
      </c>
      <c r="H149" s="2">
        <v>36526.86824074074</v>
      </c>
      <c r="I149">
        <v>16.5</v>
      </c>
      <c r="J149">
        <v>16.5</v>
      </c>
      <c r="K149" t="s">
        <v>13</v>
      </c>
      <c r="L149" t="s">
        <v>26</v>
      </c>
      <c r="M149" t="s">
        <v>48</v>
      </c>
      <c r="N149" t="s">
        <v>49</v>
      </c>
    </row>
    <row r="150" spans="1:14" x14ac:dyDescent="0.3">
      <c r="A150">
        <v>149</v>
      </c>
      <c r="B150">
        <v>63</v>
      </c>
      <c r="C150">
        <f>1/COUNTIF(pizza_sales[[#All],[order_id]],pizza_sales[[#This Row],[order_id]])</f>
        <v>1</v>
      </c>
      <c r="D150" t="s">
        <v>148</v>
      </c>
      <c r="E150">
        <v>1</v>
      </c>
      <c r="F150" s="1">
        <v>42005</v>
      </c>
      <c r="G150" s="1" t="str">
        <f>TEXT(pizza_sales[[#This Row],[order_date]],"dddd")</f>
        <v>Thursday</v>
      </c>
      <c r="H150" s="2">
        <v>36526.86923611111</v>
      </c>
      <c r="I150">
        <v>14.5</v>
      </c>
      <c r="J150">
        <v>14.5</v>
      </c>
      <c r="K150" t="s">
        <v>13</v>
      </c>
      <c r="L150" t="s">
        <v>14</v>
      </c>
      <c r="M150" t="s">
        <v>130</v>
      </c>
      <c r="N150" t="s">
        <v>131</v>
      </c>
    </row>
    <row r="151" spans="1:14" x14ac:dyDescent="0.3">
      <c r="A151">
        <v>150</v>
      </c>
      <c r="B151">
        <v>64</v>
      </c>
      <c r="C151">
        <f>1/COUNTIF(pizza_sales[[#All],[order_id]],pizza_sales[[#This Row],[order_id]])</f>
        <v>1</v>
      </c>
      <c r="D151" t="s">
        <v>84</v>
      </c>
      <c r="E151">
        <v>1</v>
      </c>
      <c r="F151" s="1">
        <v>42005</v>
      </c>
      <c r="G151" s="1" t="str">
        <f>TEXT(pizza_sales[[#This Row],[order_date]],"dddd")</f>
        <v>Thursday</v>
      </c>
      <c r="H151" s="2">
        <v>36526.869537037041</v>
      </c>
      <c r="I151">
        <v>12</v>
      </c>
      <c r="J151">
        <v>12</v>
      </c>
      <c r="K151" t="s">
        <v>41</v>
      </c>
      <c r="L151" t="s">
        <v>14</v>
      </c>
      <c r="M151" t="s">
        <v>85</v>
      </c>
      <c r="N151" t="s">
        <v>86</v>
      </c>
    </row>
    <row r="152" spans="1:14" x14ac:dyDescent="0.3">
      <c r="A152">
        <v>151</v>
      </c>
      <c r="B152">
        <v>65</v>
      </c>
      <c r="C152">
        <f>1/COUNTIF(pizza_sales[[#All],[order_id]],pizza_sales[[#This Row],[order_id]])</f>
        <v>0.25</v>
      </c>
      <c r="D152" t="s">
        <v>143</v>
      </c>
      <c r="E152">
        <v>1</v>
      </c>
      <c r="F152" s="1">
        <v>42005</v>
      </c>
      <c r="G152" s="1" t="str">
        <f>TEXT(pizza_sales[[#This Row],[order_date]],"dddd")</f>
        <v>Thursday</v>
      </c>
      <c r="H152" s="2">
        <v>36526.886111111111</v>
      </c>
      <c r="I152">
        <v>11</v>
      </c>
      <c r="J152">
        <v>11</v>
      </c>
      <c r="K152" t="s">
        <v>41</v>
      </c>
      <c r="L152" t="s">
        <v>14</v>
      </c>
      <c r="M152" t="s">
        <v>130</v>
      </c>
      <c r="N152" t="s">
        <v>131</v>
      </c>
    </row>
    <row r="153" spans="1:14" x14ac:dyDescent="0.3">
      <c r="A153">
        <v>152</v>
      </c>
      <c r="B153">
        <v>65</v>
      </c>
      <c r="C153">
        <f>1/COUNTIF(pizza_sales[[#All],[order_id]],pizza_sales[[#This Row],[order_id]])</f>
        <v>0.25</v>
      </c>
      <c r="D153" t="s">
        <v>149</v>
      </c>
      <c r="E153">
        <v>1</v>
      </c>
      <c r="F153" s="1">
        <v>42005</v>
      </c>
      <c r="G153" s="1" t="str">
        <f>TEXT(pizza_sales[[#This Row],[order_date]],"dddd")</f>
        <v>Thursday</v>
      </c>
      <c r="H153" s="2">
        <v>36526.886111111111</v>
      </c>
      <c r="I153">
        <v>12.25</v>
      </c>
      <c r="J153">
        <v>12.25</v>
      </c>
      <c r="K153" t="s">
        <v>41</v>
      </c>
      <c r="L153" t="s">
        <v>26</v>
      </c>
      <c r="M153" t="s">
        <v>114</v>
      </c>
      <c r="N153" t="s">
        <v>115</v>
      </c>
    </row>
    <row r="154" spans="1:14" x14ac:dyDescent="0.3">
      <c r="A154">
        <v>153</v>
      </c>
      <c r="B154">
        <v>65</v>
      </c>
      <c r="C154">
        <f>1/COUNTIF(pizza_sales[[#All],[order_id]],pizza_sales[[#This Row],[order_id]])</f>
        <v>0.25</v>
      </c>
      <c r="D154" t="s">
        <v>150</v>
      </c>
      <c r="E154">
        <v>1</v>
      </c>
      <c r="F154" s="1">
        <v>42005</v>
      </c>
      <c r="G154" s="1" t="str">
        <f>TEXT(pizza_sales[[#This Row],[order_date]],"dddd")</f>
        <v>Thursday</v>
      </c>
      <c r="H154" s="2">
        <v>36526.886111111111</v>
      </c>
      <c r="I154">
        <v>12.5</v>
      </c>
      <c r="J154">
        <v>12.5</v>
      </c>
      <c r="K154" t="s">
        <v>41</v>
      </c>
      <c r="L154" t="s">
        <v>26</v>
      </c>
      <c r="M154" t="s">
        <v>60</v>
      </c>
      <c r="N154" t="s">
        <v>61</v>
      </c>
    </row>
    <row r="155" spans="1:14" x14ac:dyDescent="0.3">
      <c r="A155">
        <v>154</v>
      </c>
      <c r="B155">
        <v>65</v>
      </c>
      <c r="C155">
        <f>1/COUNTIF(pizza_sales[[#All],[order_id]],pizza_sales[[#This Row],[order_id]])</f>
        <v>0.25</v>
      </c>
      <c r="D155" t="s">
        <v>144</v>
      </c>
      <c r="E155">
        <v>1</v>
      </c>
      <c r="F155" s="1">
        <v>42005</v>
      </c>
      <c r="G155" s="1" t="str">
        <f>TEXT(pizza_sales[[#This Row],[order_date]],"dddd")</f>
        <v>Thursday</v>
      </c>
      <c r="H155" s="2">
        <v>36526.886111111111</v>
      </c>
      <c r="I155">
        <v>16.5</v>
      </c>
      <c r="J155">
        <v>16.5</v>
      </c>
      <c r="K155" t="s">
        <v>13</v>
      </c>
      <c r="L155" t="s">
        <v>26</v>
      </c>
      <c r="M155" t="s">
        <v>48</v>
      </c>
      <c r="N155" t="s">
        <v>49</v>
      </c>
    </row>
    <row r="156" spans="1:14" x14ac:dyDescent="0.3">
      <c r="A156">
        <v>155</v>
      </c>
      <c r="B156">
        <v>66</v>
      </c>
      <c r="C156">
        <f>1/COUNTIF(pizza_sales[[#All],[order_id]],pizza_sales[[#This Row],[order_id]])</f>
        <v>0.5</v>
      </c>
      <c r="D156" t="s">
        <v>17</v>
      </c>
      <c r="E156">
        <v>1</v>
      </c>
      <c r="F156" s="1">
        <v>42005</v>
      </c>
      <c r="G156" s="1" t="str">
        <f>TEXT(pizza_sales[[#This Row],[order_date]],"dddd")</f>
        <v>Thursday</v>
      </c>
      <c r="H156" s="2">
        <v>36526.908275462964</v>
      </c>
      <c r="I156">
        <v>16</v>
      </c>
      <c r="J156">
        <v>16</v>
      </c>
      <c r="K156" t="s">
        <v>13</v>
      </c>
      <c r="L156" t="s">
        <v>14</v>
      </c>
      <c r="M156" t="s">
        <v>18</v>
      </c>
      <c r="N156" t="s">
        <v>19</v>
      </c>
    </row>
    <row r="157" spans="1:14" x14ac:dyDescent="0.3">
      <c r="A157">
        <v>156</v>
      </c>
      <c r="B157">
        <v>66</v>
      </c>
      <c r="C157">
        <f>1/COUNTIF(pizza_sales[[#All],[order_id]],pizza_sales[[#This Row],[order_id]])</f>
        <v>0.5</v>
      </c>
      <c r="D157" t="s">
        <v>116</v>
      </c>
      <c r="E157">
        <v>1</v>
      </c>
      <c r="F157" s="1">
        <v>42005</v>
      </c>
      <c r="G157" s="1" t="str">
        <f>TEXT(pizza_sales[[#This Row],[order_date]],"dddd")</f>
        <v>Thursday</v>
      </c>
      <c r="H157" s="2">
        <v>36526.908275462964</v>
      </c>
      <c r="I157">
        <v>16</v>
      </c>
      <c r="J157">
        <v>16</v>
      </c>
      <c r="K157" t="s">
        <v>13</v>
      </c>
      <c r="L157" t="s">
        <v>14</v>
      </c>
      <c r="M157" t="s">
        <v>55</v>
      </c>
      <c r="N157" t="s">
        <v>56</v>
      </c>
    </row>
    <row r="158" spans="1:14" x14ac:dyDescent="0.3">
      <c r="A158">
        <v>157</v>
      </c>
      <c r="B158">
        <v>67</v>
      </c>
      <c r="C158">
        <f>1/COUNTIF(pizza_sales[[#All],[order_id]],pizza_sales[[#This Row],[order_id]])</f>
        <v>1</v>
      </c>
      <c r="D158" t="s">
        <v>69</v>
      </c>
      <c r="E158">
        <v>1</v>
      </c>
      <c r="F158" s="1">
        <v>42005</v>
      </c>
      <c r="G158" s="1" t="str">
        <f>TEXT(pizza_sales[[#This Row],[order_date]],"dddd")</f>
        <v>Thursday</v>
      </c>
      <c r="H158" s="2">
        <v>36526.919212962966</v>
      </c>
      <c r="I158">
        <v>20.75</v>
      </c>
      <c r="J158">
        <v>20.75</v>
      </c>
      <c r="K158" t="s">
        <v>21</v>
      </c>
      <c r="L158" t="s">
        <v>33</v>
      </c>
      <c r="M158" t="s">
        <v>70</v>
      </c>
      <c r="N158" t="s">
        <v>71</v>
      </c>
    </row>
    <row r="159" spans="1:14" x14ac:dyDescent="0.3">
      <c r="A159">
        <v>158</v>
      </c>
      <c r="B159">
        <v>68</v>
      </c>
      <c r="C159">
        <f>1/COUNTIF(pizza_sales[[#All],[order_id]],pizza_sales[[#This Row],[order_id]])</f>
        <v>0.33333333333333331</v>
      </c>
      <c r="D159" t="s">
        <v>17</v>
      </c>
      <c r="E159">
        <v>1</v>
      </c>
      <c r="F159" s="1">
        <v>42005</v>
      </c>
      <c r="G159" s="1" t="str">
        <f>TEXT(pizza_sales[[#This Row],[order_date]],"dddd")</f>
        <v>Thursday</v>
      </c>
      <c r="H159" s="2">
        <v>36526.921898148146</v>
      </c>
      <c r="I159">
        <v>16</v>
      </c>
      <c r="J159">
        <v>16</v>
      </c>
      <c r="K159" t="s">
        <v>13</v>
      </c>
      <c r="L159" t="s">
        <v>14</v>
      </c>
      <c r="M159" t="s">
        <v>18</v>
      </c>
      <c r="N159" t="s">
        <v>19</v>
      </c>
    </row>
    <row r="160" spans="1:14" x14ac:dyDescent="0.3">
      <c r="A160">
        <v>159</v>
      </c>
      <c r="B160">
        <v>68</v>
      </c>
      <c r="C160">
        <f>1/COUNTIF(pizza_sales[[#All],[order_id]],pizza_sales[[#This Row],[order_id]])</f>
        <v>0.33333333333333331</v>
      </c>
      <c r="D160" t="s">
        <v>25</v>
      </c>
      <c r="E160">
        <v>1</v>
      </c>
      <c r="F160" s="1">
        <v>42005</v>
      </c>
      <c r="G160" s="1" t="str">
        <f>TEXT(pizza_sales[[#This Row],[order_date]],"dddd")</f>
        <v>Thursday</v>
      </c>
      <c r="H160" s="2">
        <v>36526.921898148146</v>
      </c>
      <c r="I160">
        <v>20.75</v>
      </c>
      <c r="J160">
        <v>20.75</v>
      </c>
      <c r="K160" t="s">
        <v>21</v>
      </c>
      <c r="L160" t="s">
        <v>26</v>
      </c>
      <c r="M160" t="s">
        <v>27</v>
      </c>
      <c r="N160" t="s">
        <v>28</v>
      </c>
    </row>
    <row r="161" spans="1:14" x14ac:dyDescent="0.3">
      <c r="A161">
        <v>160</v>
      </c>
      <c r="B161">
        <v>68</v>
      </c>
      <c r="C161">
        <f>1/COUNTIF(pizza_sales[[#All],[order_id]],pizza_sales[[#This Row],[order_id]])</f>
        <v>0.33333333333333331</v>
      </c>
      <c r="D161" t="s">
        <v>36</v>
      </c>
      <c r="E161">
        <v>1</v>
      </c>
      <c r="F161" s="1">
        <v>42005</v>
      </c>
      <c r="G161" s="1" t="str">
        <f>TEXT(pizza_sales[[#This Row],[order_date]],"dddd")</f>
        <v>Thursday</v>
      </c>
      <c r="H161" s="2">
        <v>36526.921898148146</v>
      </c>
      <c r="I161">
        <v>16.5</v>
      </c>
      <c r="J161">
        <v>16.5</v>
      </c>
      <c r="K161" t="s">
        <v>13</v>
      </c>
      <c r="L161" t="s">
        <v>26</v>
      </c>
      <c r="M161" t="s">
        <v>27</v>
      </c>
      <c r="N161" t="s">
        <v>28</v>
      </c>
    </row>
    <row r="162" spans="1:14" x14ac:dyDescent="0.3">
      <c r="A162">
        <v>161</v>
      </c>
      <c r="B162">
        <v>69</v>
      </c>
      <c r="C162">
        <f>1/COUNTIF(pizza_sales[[#All],[order_id]],pizza_sales[[#This Row],[order_id]])</f>
        <v>1</v>
      </c>
      <c r="D162" t="s">
        <v>72</v>
      </c>
      <c r="E162">
        <v>1</v>
      </c>
      <c r="F162" s="1">
        <v>42005</v>
      </c>
      <c r="G162" s="1" t="str">
        <f>TEXT(pizza_sales[[#This Row],[order_date]],"dddd")</f>
        <v>Thursday</v>
      </c>
      <c r="H162" s="2">
        <v>36526.925150462965</v>
      </c>
      <c r="I162">
        <v>20.75</v>
      </c>
      <c r="J162">
        <v>20.75</v>
      </c>
      <c r="K162" t="s">
        <v>21</v>
      </c>
      <c r="L162" t="s">
        <v>33</v>
      </c>
      <c r="M162" t="s">
        <v>42</v>
      </c>
      <c r="N162" t="s">
        <v>43</v>
      </c>
    </row>
    <row r="163" spans="1:14" x14ac:dyDescent="0.3">
      <c r="A163">
        <v>162</v>
      </c>
      <c r="B163">
        <v>70</v>
      </c>
      <c r="C163">
        <f>1/COUNTIF(pizza_sales[[#All],[order_id]],pizza_sales[[#This Row],[order_id]])</f>
        <v>0.5</v>
      </c>
      <c r="D163" t="s">
        <v>100</v>
      </c>
      <c r="E163">
        <v>1</v>
      </c>
      <c r="F163" s="1">
        <v>42006</v>
      </c>
      <c r="G163" s="1" t="str">
        <f>TEXT(pizza_sales[[#This Row],[order_date]],"dddd")</f>
        <v>Friday</v>
      </c>
      <c r="H163" s="2">
        <v>36526.485312500001</v>
      </c>
      <c r="I163">
        <v>12.75</v>
      </c>
      <c r="J163">
        <v>12.75</v>
      </c>
      <c r="K163" t="s">
        <v>41</v>
      </c>
      <c r="L163" t="s">
        <v>22</v>
      </c>
      <c r="M163" t="s">
        <v>101</v>
      </c>
      <c r="N163" t="s">
        <v>102</v>
      </c>
    </row>
    <row r="164" spans="1:14" x14ac:dyDescent="0.3">
      <c r="A164">
        <v>163</v>
      </c>
      <c r="B164">
        <v>70</v>
      </c>
      <c r="C164">
        <f>1/COUNTIF(pizza_sales[[#All],[order_id]],pizza_sales[[#This Row],[order_id]])</f>
        <v>0.5</v>
      </c>
      <c r="D164" t="s">
        <v>87</v>
      </c>
      <c r="E164">
        <v>1</v>
      </c>
      <c r="F164" s="1">
        <v>42006</v>
      </c>
      <c r="G164" s="1" t="str">
        <f>TEXT(pizza_sales[[#This Row],[order_date]],"dddd")</f>
        <v>Friday</v>
      </c>
      <c r="H164" s="2">
        <v>36526.485312500001</v>
      </c>
      <c r="I164">
        <v>20.75</v>
      </c>
      <c r="J164">
        <v>20.75</v>
      </c>
      <c r="K164" t="s">
        <v>21</v>
      </c>
      <c r="L164" t="s">
        <v>26</v>
      </c>
      <c r="M164" t="s">
        <v>88</v>
      </c>
      <c r="N164" t="s">
        <v>89</v>
      </c>
    </row>
    <row r="165" spans="1:14" x14ac:dyDescent="0.3">
      <c r="A165">
        <v>164</v>
      </c>
      <c r="B165">
        <v>71</v>
      </c>
      <c r="C165">
        <f>1/COUNTIF(pizza_sales[[#All],[order_id]],pizza_sales[[#This Row],[order_id]])</f>
        <v>1</v>
      </c>
      <c r="D165" t="s">
        <v>32</v>
      </c>
      <c r="E165">
        <v>1</v>
      </c>
      <c r="F165" s="1">
        <v>42006</v>
      </c>
      <c r="G165" s="1" t="str">
        <f>TEXT(pizza_sales[[#This Row],[order_date]],"dddd")</f>
        <v>Friday</v>
      </c>
      <c r="H165" s="2">
        <v>36526.486689814818</v>
      </c>
      <c r="I165">
        <v>20.75</v>
      </c>
      <c r="J165">
        <v>20.75</v>
      </c>
      <c r="K165" t="s">
        <v>21</v>
      </c>
      <c r="L165" t="s">
        <v>33</v>
      </c>
      <c r="M165" t="s">
        <v>34</v>
      </c>
      <c r="N165" t="s">
        <v>35</v>
      </c>
    </row>
    <row r="166" spans="1:14" x14ac:dyDescent="0.3">
      <c r="A166">
        <v>165</v>
      </c>
      <c r="B166">
        <v>72</v>
      </c>
      <c r="C166">
        <f>1/COUNTIF(pizza_sales[[#All],[order_id]],pizza_sales[[#This Row],[order_id]])</f>
        <v>1</v>
      </c>
      <c r="D166" t="s">
        <v>109</v>
      </c>
      <c r="E166">
        <v>1</v>
      </c>
      <c r="F166" s="1">
        <v>42006</v>
      </c>
      <c r="G166" s="1" t="str">
        <f>TEXT(pizza_sales[[#This Row],[order_date]],"dddd")</f>
        <v>Friday</v>
      </c>
      <c r="H166" s="2">
        <v>36526.498206018521</v>
      </c>
      <c r="I166">
        <v>20.25</v>
      </c>
      <c r="J166">
        <v>20.25</v>
      </c>
      <c r="K166" t="s">
        <v>21</v>
      </c>
      <c r="L166" t="s">
        <v>22</v>
      </c>
      <c r="M166" t="s">
        <v>110</v>
      </c>
      <c r="N166" t="s">
        <v>111</v>
      </c>
    </row>
    <row r="167" spans="1:14" x14ac:dyDescent="0.3">
      <c r="A167">
        <v>166</v>
      </c>
      <c r="B167">
        <v>73</v>
      </c>
      <c r="C167">
        <f>1/COUNTIF(pizza_sales[[#All],[order_id]],pizza_sales[[#This Row],[order_id]])</f>
        <v>1</v>
      </c>
      <c r="D167" t="s">
        <v>151</v>
      </c>
      <c r="E167">
        <v>1</v>
      </c>
      <c r="F167" s="1">
        <v>42006</v>
      </c>
      <c r="G167" s="1" t="str">
        <f>TEXT(pizza_sales[[#This Row],[order_date]],"dddd")</f>
        <v>Friday</v>
      </c>
      <c r="H167" s="2">
        <v>36526.499259259261</v>
      </c>
      <c r="I167">
        <v>12.75</v>
      </c>
      <c r="J167">
        <v>12.75</v>
      </c>
      <c r="K167" t="s">
        <v>41</v>
      </c>
      <c r="L167" t="s">
        <v>33</v>
      </c>
      <c r="M167" t="s">
        <v>34</v>
      </c>
      <c r="N167" t="s">
        <v>35</v>
      </c>
    </row>
    <row r="168" spans="1:14" x14ac:dyDescent="0.3">
      <c r="A168">
        <v>167</v>
      </c>
      <c r="B168">
        <v>74</v>
      </c>
      <c r="C168">
        <f>1/COUNTIF(pizza_sales[[#All],[order_id]],pizza_sales[[#This Row],[order_id]])</f>
        <v>0.25</v>
      </c>
      <c r="D168" t="s">
        <v>20</v>
      </c>
      <c r="E168">
        <v>1</v>
      </c>
      <c r="F168" s="1">
        <v>42006</v>
      </c>
      <c r="G168" s="1" t="str">
        <f>TEXT(pizza_sales[[#This Row],[order_date]],"dddd")</f>
        <v>Friday</v>
      </c>
      <c r="H168" s="2">
        <v>36526.500833333332</v>
      </c>
      <c r="I168">
        <v>18.5</v>
      </c>
      <c r="J168">
        <v>18.5</v>
      </c>
      <c r="K168" t="s">
        <v>21</v>
      </c>
      <c r="L168" t="s">
        <v>22</v>
      </c>
      <c r="M168" t="s">
        <v>23</v>
      </c>
      <c r="N168" t="s">
        <v>24</v>
      </c>
    </row>
    <row r="169" spans="1:14" x14ac:dyDescent="0.3">
      <c r="A169">
        <v>168</v>
      </c>
      <c r="B169">
        <v>74</v>
      </c>
      <c r="C169">
        <f>1/COUNTIF(pizza_sales[[#All],[order_id]],pizza_sales[[#This Row],[order_id]])</f>
        <v>0.25</v>
      </c>
      <c r="D169" t="s">
        <v>68</v>
      </c>
      <c r="E169">
        <v>1</v>
      </c>
      <c r="F169" s="1">
        <v>42006</v>
      </c>
      <c r="G169" s="1" t="str">
        <f>TEXT(pizza_sales[[#This Row],[order_date]],"dddd")</f>
        <v>Friday</v>
      </c>
      <c r="H169" s="2">
        <v>36526.500833333332</v>
      </c>
      <c r="I169">
        <v>20.25</v>
      </c>
      <c r="J169">
        <v>20.25</v>
      </c>
      <c r="K169" t="s">
        <v>21</v>
      </c>
      <c r="L169" t="s">
        <v>22</v>
      </c>
      <c r="M169" t="s">
        <v>30</v>
      </c>
      <c r="N169" t="s">
        <v>31</v>
      </c>
    </row>
    <row r="170" spans="1:14" x14ac:dyDescent="0.3">
      <c r="A170">
        <v>169</v>
      </c>
      <c r="B170">
        <v>74</v>
      </c>
      <c r="C170">
        <f>1/COUNTIF(pizza_sales[[#All],[order_id]],pizza_sales[[#This Row],[order_id]])</f>
        <v>0.25</v>
      </c>
      <c r="D170" t="s">
        <v>136</v>
      </c>
      <c r="E170">
        <v>1</v>
      </c>
      <c r="F170" s="1">
        <v>42006</v>
      </c>
      <c r="G170" s="1" t="str">
        <f>TEXT(pizza_sales[[#This Row],[order_date]],"dddd")</f>
        <v>Friday</v>
      </c>
      <c r="H170" s="2">
        <v>36526.500833333332</v>
      </c>
      <c r="I170">
        <v>12.5</v>
      </c>
      <c r="J170">
        <v>12.5</v>
      </c>
      <c r="K170" t="s">
        <v>41</v>
      </c>
      <c r="L170" t="s">
        <v>22</v>
      </c>
      <c r="M170" t="s">
        <v>63</v>
      </c>
      <c r="N170" t="s">
        <v>64</v>
      </c>
    </row>
    <row r="171" spans="1:14" x14ac:dyDescent="0.3">
      <c r="A171">
        <v>170</v>
      </c>
      <c r="B171">
        <v>74</v>
      </c>
      <c r="C171">
        <f>1/COUNTIF(pizza_sales[[#All],[order_id]],pizza_sales[[#This Row],[order_id]])</f>
        <v>0.25</v>
      </c>
      <c r="D171" t="s">
        <v>152</v>
      </c>
      <c r="E171">
        <v>1</v>
      </c>
      <c r="F171" s="1">
        <v>42006</v>
      </c>
      <c r="G171" s="1" t="str">
        <f>TEXT(pizza_sales[[#This Row],[order_date]],"dddd")</f>
        <v>Friday</v>
      </c>
      <c r="H171" s="2">
        <v>36526.500833333332</v>
      </c>
      <c r="I171">
        <v>20.75</v>
      </c>
      <c r="J171">
        <v>20.75</v>
      </c>
      <c r="K171" t="s">
        <v>21</v>
      </c>
      <c r="L171" t="s">
        <v>26</v>
      </c>
      <c r="M171" t="s">
        <v>48</v>
      </c>
      <c r="N171" t="s">
        <v>49</v>
      </c>
    </row>
    <row r="172" spans="1:14" x14ac:dyDescent="0.3">
      <c r="A172">
        <v>171</v>
      </c>
      <c r="B172">
        <v>75</v>
      </c>
      <c r="C172">
        <f>1/COUNTIF(pizza_sales[[#All],[order_id]],pizza_sales[[#This Row],[order_id]])</f>
        <v>0.33333333333333331</v>
      </c>
      <c r="D172" t="s">
        <v>57</v>
      </c>
      <c r="E172">
        <v>1</v>
      </c>
      <c r="F172" s="1">
        <v>42006</v>
      </c>
      <c r="G172" s="1" t="str">
        <f>TEXT(pizza_sales[[#This Row],[order_date]],"dddd")</f>
        <v>Friday</v>
      </c>
      <c r="H172" s="2">
        <v>36526.507118055553</v>
      </c>
      <c r="I172">
        <v>12.5</v>
      </c>
      <c r="J172">
        <v>12.5</v>
      </c>
      <c r="K172" t="s">
        <v>41</v>
      </c>
      <c r="L172" t="s">
        <v>26</v>
      </c>
      <c r="M172" t="s">
        <v>27</v>
      </c>
      <c r="N172" t="s">
        <v>28</v>
      </c>
    </row>
    <row r="173" spans="1:14" x14ac:dyDescent="0.3">
      <c r="A173">
        <v>172</v>
      </c>
      <c r="B173">
        <v>75</v>
      </c>
      <c r="C173">
        <f>1/COUNTIF(pizza_sales[[#All],[order_id]],pizza_sales[[#This Row],[order_id]])</f>
        <v>0.33333333333333331</v>
      </c>
      <c r="D173" t="s">
        <v>146</v>
      </c>
      <c r="E173">
        <v>1</v>
      </c>
      <c r="F173" s="1">
        <v>42006</v>
      </c>
      <c r="G173" s="1" t="str">
        <f>TEXT(pizza_sales[[#This Row],[order_date]],"dddd")</f>
        <v>Friday</v>
      </c>
      <c r="H173" s="2">
        <v>36526.507118055553</v>
      </c>
      <c r="I173">
        <v>20.25</v>
      </c>
      <c r="J173">
        <v>20.25</v>
      </c>
      <c r="K173" t="s">
        <v>21</v>
      </c>
      <c r="L173" t="s">
        <v>22</v>
      </c>
      <c r="M173" t="s">
        <v>104</v>
      </c>
      <c r="N173" t="s">
        <v>105</v>
      </c>
    </row>
    <row r="174" spans="1:14" x14ac:dyDescent="0.3">
      <c r="A174">
        <v>173</v>
      </c>
      <c r="B174">
        <v>75</v>
      </c>
      <c r="C174">
        <f>1/COUNTIF(pizza_sales[[#All],[order_id]],pizza_sales[[#This Row],[order_id]])</f>
        <v>0.33333333333333331</v>
      </c>
      <c r="D174" t="s">
        <v>112</v>
      </c>
      <c r="E174">
        <v>1</v>
      </c>
      <c r="F174" s="1">
        <v>42006</v>
      </c>
      <c r="G174" s="1" t="str">
        <f>TEXT(pizza_sales[[#This Row],[order_date]],"dddd")</f>
        <v>Friday</v>
      </c>
      <c r="H174" s="2">
        <v>36526.507118055553</v>
      </c>
      <c r="I174">
        <v>20.5</v>
      </c>
      <c r="J174">
        <v>20.5</v>
      </c>
      <c r="K174" t="s">
        <v>21</v>
      </c>
      <c r="L174" t="s">
        <v>14</v>
      </c>
      <c r="M174" t="s">
        <v>94</v>
      </c>
      <c r="N174" t="s">
        <v>95</v>
      </c>
    </row>
    <row r="175" spans="1:14" x14ac:dyDescent="0.3">
      <c r="A175">
        <v>174</v>
      </c>
      <c r="B175">
        <v>76</v>
      </c>
      <c r="C175">
        <f>1/COUNTIF(pizza_sales[[#All],[order_id]],pizza_sales[[#This Row],[order_id]])</f>
        <v>0.25</v>
      </c>
      <c r="D175" t="s">
        <v>84</v>
      </c>
      <c r="E175">
        <v>1</v>
      </c>
      <c r="F175" s="1">
        <v>42006</v>
      </c>
      <c r="G175" s="1" t="str">
        <f>TEXT(pizza_sales[[#This Row],[order_date]],"dddd")</f>
        <v>Friday</v>
      </c>
      <c r="H175" s="2">
        <v>36526.514780092592</v>
      </c>
      <c r="I175">
        <v>12</v>
      </c>
      <c r="J175">
        <v>12</v>
      </c>
      <c r="K175" t="s">
        <v>41</v>
      </c>
      <c r="L175" t="s">
        <v>14</v>
      </c>
      <c r="M175" t="s">
        <v>85</v>
      </c>
      <c r="N175" t="s">
        <v>86</v>
      </c>
    </row>
    <row r="176" spans="1:14" x14ac:dyDescent="0.3">
      <c r="A176">
        <v>175</v>
      </c>
      <c r="B176">
        <v>76</v>
      </c>
      <c r="C176">
        <f>1/COUNTIF(pizza_sales[[#All],[order_id]],pizza_sales[[#This Row],[order_id]])</f>
        <v>0.25</v>
      </c>
      <c r="D176" t="s">
        <v>142</v>
      </c>
      <c r="E176">
        <v>1</v>
      </c>
      <c r="F176" s="1">
        <v>42006</v>
      </c>
      <c r="G176" s="1" t="str">
        <f>TEXT(pizza_sales[[#This Row],[order_date]],"dddd")</f>
        <v>Friday</v>
      </c>
      <c r="H176" s="2">
        <v>36526.514780092592</v>
      </c>
      <c r="I176">
        <v>16.5</v>
      </c>
      <c r="J176">
        <v>16.5</v>
      </c>
      <c r="K176" t="s">
        <v>21</v>
      </c>
      <c r="L176" t="s">
        <v>14</v>
      </c>
      <c r="M176" t="s">
        <v>15</v>
      </c>
      <c r="N176" t="s">
        <v>16</v>
      </c>
    </row>
    <row r="177" spans="1:14" x14ac:dyDescent="0.3">
      <c r="A177">
        <v>176</v>
      </c>
      <c r="B177">
        <v>76</v>
      </c>
      <c r="C177">
        <f>1/COUNTIF(pizza_sales[[#All],[order_id]],pizza_sales[[#This Row],[order_id]])</f>
        <v>0.25</v>
      </c>
      <c r="D177" t="s">
        <v>153</v>
      </c>
      <c r="E177">
        <v>1</v>
      </c>
      <c r="F177" s="1">
        <v>42006</v>
      </c>
      <c r="G177" s="1" t="str">
        <f>TEXT(pizza_sales[[#This Row],[order_date]],"dddd")</f>
        <v>Friday</v>
      </c>
      <c r="H177" s="2">
        <v>36526.514780092592</v>
      </c>
      <c r="I177">
        <v>21</v>
      </c>
      <c r="J177">
        <v>21</v>
      </c>
      <c r="K177" t="s">
        <v>21</v>
      </c>
      <c r="L177" t="s">
        <v>22</v>
      </c>
      <c r="M177" t="s">
        <v>101</v>
      </c>
      <c r="N177" t="s">
        <v>102</v>
      </c>
    </row>
    <row r="178" spans="1:14" x14ac:dyDescent="0.3">
      <c r="A178">
        <v>177</v>
      </c>
      <c r="B178">
        <v>76</v>
      </c>
      <c r="C178">
        <f>1/COUNTIF(pizza_sales[[#All],[order_id]],pizza_sales[[#This Row],[order_id]])</f>
        <v>0.25</v>
      </c>
      <c r="D178" t="s">
        <v>59</v>
      </c>
      <c r="E178">
        <v>1</v>
      </c>
      <c r="F178" s="1">
        <v>42006</v>
      </c>
      <c r="G178" s="1" t="str">
        <f>TEXT(pizza_sales[[#This Row],[order_date]],"dddd")</f>
        <v>Friday</v>
      </c>
      <c r="H178" s="2">
        <v>36526.514780092592</v>
      </c>
      <c r="I178">
        <v>20.75</v>
      </c>
      <c r="J178">
        <v>20.75</v>
      </c>
      <c r="K178" t="s">
        <v>21</v>
      </c>
      <c r="L178" t="s">
        <v>26</v>
      </c>
      <c r="M178" t="s">
        <v>60</v>
      </c>
      <c r="N178" t="s">
        <v>61</v>
      </c>
    </row>
    <row r="179" spans="1:14" x14ac:dyDescent="0.3">
      <c r="A179">
        <v>178</v>
      </c>
      <c r="B179">
        <v>77</v>
      </c>
      <c r="C179">
        <f>1/COUNTIF(pizza_sales[[#All],[order_id]],pizza_sales[[#This Row],[order_id]])</f>
        <v>0.5</v>
      </c>
      <c r="D179" t="s">
        <v>118</v>
      </c>
      <c r="E179">
        <v>1</v>
      </c>
      <c r="F179" s="1">
        <v>42006</v>
      </c>
      <c r="G179" s="1" t="str">
        <f>TEXT(pizza_sales[[#This Row],[order_date]],"dddd")</f>
        <v>Friday</v>
      </c>
      <c r="H179" s="2">
        <v>36526.515810185185</v>
      </c>
      <c r="I179">
        <v>16.75</v>
      </c>
      <c r="J179">
        <v>16.75</v>
      </c>
      <c r="K179" t="s">
        <v>13</v>
      </c>
      <c r="L179" t="s">
        <v>33</v>
      </c>
      <c r="M179" t="s">
        <v>42</v>
      </c>
      <c r="N179" t="s">
        <v>43</v>
      </c>
    </row>
    <row r="180" spans="1:14" x14ac:dyDescent="0.3">
      <c r="A180">
        <v>179</v>
      </c>
      <c r="B180">
        <v>77</v>
      </c>
      <c r="C180">
        <f>1/COUNTIF(pizza_sales[[#All],[order_id]],pizza_sales[[#This Row],[order_id]])</f>
        <v>0.5</v>
      </c>
      <c r="D180" t="s">
        <v>12</v>
      </c>
      <c r="E180">
        <v>1</v>
      </c>
      <c r="F180" s="1">
        <v>42006</v>
      </c>
      <c r="G180" s="1" t="str">
        <f>TEXT(pizza_sales[[#This Row],[order_date]],"dddd")</f>
        <v>Friday</v>
      </c>
      <c r="H180" s="2">
        <v>36526.515810185185</v>
      </c>
      <c r="I180">
        <v>13.25</v>
      </c>
      <c r="J180">
        <v>13.25</v>
      </c>
      <c r="K180" t="s">
        <v>13</v>
      </c>
      <c r="L180" t="s">
        <v>14</v>
      </c>
      <c r="M180" t="s">
        <v>15</v>
      </c>
      <c r="N180" t="s">
        <v>16</v>
      </c>
    </row>
    <row r="181" spans="1:14" x14ac:dyDescent="0.3">
      <c r="A181">
        <v>180</v>
      </c>
      <c r="B181">
        <v>78</v>
      </c>
      <c r="C181">
        <f>1/COUNTIF(pizza_sales[[#All],[order_id]],pizza_sales[[#This Row],[order_id]])</f>
        <v>0.16666666666666666</v>
      </c>
      <c r="D181" t="s">
        <v>84</v>
      </c>
      <c r="E181">
        <v>1</v>
      </c>
      <c r="F181" s="1">
        <v>42006</v>
      </c>
      <c r="G181" s="1" t="str">
        <f>TEXT(pizza_sales[[#This Row],[order_date]],"dddd")</f>
        <v>Friday</v>
      </c>
      <c r="H181" s="2">
        <v>36526.519606481481</v>
      </c>
      <c r="I181">
        <v>12</v>
      </c>
      <c r="J181">
        <v>12</v>
      </c>
      <c r="K181" t="s">
        <v>41</v>
      </c>
      <c r="L181" t="s">
        <v>14</v>
      </c>
      <c r="M181" t="s">
        <v>85</v>
      </c>
      <c r="N181" t="s">
        <v>86</v>
      </c>
    </row>
    <row r="182" spans="1:14" x14ac:dyDescent="0.3">
      <c r="A182">
        <v>181</v>
      </c>
      <c r="B182">
        <v>78</v>
      </c>
      <c r="C182">
        <f>1/COUNTIF(pizza_sales[[#All],[order_id]],pizza_sales[[#This Row],[order_id]])</f>
        <v>0.16666666666666666</v>
      </c>
      <c r="D182" t="s">
        <v>50</v>
      </c>
      <c r="E182">
        <v>1</v>
      </c>
      <c r="F182" s="1">
        <v>42006</v>
      </c>
      <c r="G182" s="1" t="str">
        <f>TEXT(pizza_sales[[#This Row],[order_date]],"dddd")</f>
        <v>Friday</v>
      </c>
      <c r="H182" s="2">
        <v>36526.519606481481</v>
      </c>
      <c r="I182">
        <v>12</v>
      </c>
      <c r="J182">
        <v>12</v>
      </c>
      <c r="K182" t="s">
        <v>41</v>
      </c>
      <c r="L182" t="s">
        <v>14</v>
      </c>
      <c r="M182" t="s">
        <v>18</v>
      </c>
      <c r="N182" t="s">
        <v>19</v>
      </c>
    </row>
    <row r="183" spans="1:14" x14ac:dyDescent="0.3">
      <c r="A183">
        <v>182</v>
      </c>
      <c r="B183">
        <v>78</v>
      </c>
      <c r="C183">
        <f>1/COUNTIF(pizza_sales[[#All],[order_id]],pizza_sales[[#This Row],[order_id]])</f>
        <v>0.16666666666666666</v>
      </c>
      <c r="D183" t="s">
        <v>90</v>
      </c>
      <c r="E183">
        <v>1</v>
      </c>
      <c r="F183" s="1">
        <v>42006</v>
      </c>
      <c r="G183" s="1" t="str">
        <f>TEXT(pizza_sales[[#This Row],[order_date]],"dddd")</f>
        <v>Friday</v>
      </c>
      <c r="H183" s="2">
        <v>36526.519606481481</v>
      </c>
      <c r="I183">
        <v>17.95</v>
      </c>
      <c r="J183">
        <v>17.95</v>
      </c>
      <c r="K183" t="s">
        <v>21</v>
      </c>
      <c r="L183" t="s">
        <v>22</v>
      </c>
      <c r="M183" t="s">
        <v>91</v>
      </c>
      <c r="N183" t="s">
        <v>92</v>
      </c>
    </row>
    <row r="184" spans="1:14" x14ac:dyDescent="0.3">
      <c r="A184">
        <v>183</v>
      </c>
      <c r="B184">
        <v>78</v>
      </c>
      <c r="C184">
        <f>1/COUNTIF(pizza_sales[[#All],[order_id]],pizza_sales[[#This Row],[order_id]])</f>
        <v>0.16666666666666666</v>
      </c>
      <c r="D184" t="s">
        <v>116</v>
      </c>
      <c r="E184">
        <v>1</v>
      </c>
      <c r="F184" s="1">
        <v>42006</v>
      </c>
      <c r="G184" s="1" t="str">
        <f>TEXT(pizza_sales[[#This Row],[order_date]],"dddd")</f>
        <v>Friday</v>
      </c>
      <c r="H184" s="2">
        <v>36526.519606481481</v>
      </c>
      <c r="I184">
        <v>16</v>
      </c>
      <c r="J184">
        <v>16</v>
      </c>
      <c r="K184" t="s">
        <v>13</v>
      </c>
      <c r="L184" t="s">
        <v>14</v>
      </c>
      <c r="M184" t="s">
        <v>55</v>
      </c>
      <c r="N184" t="s">
        <v>56</v>
      </c>
    </row>
    <row r="185" spans="1:14" x14ac:dyDescent="0.3">
      <c r="A185">
        <v>184</v>
      </c>
      <c r="B185">
        <v>78</v>
      </c>
      <c r="C185">
        <f>1/COUNTIF(pizza_sales[[#All],[order_id]],pizza_sales[[#This Row],[order_id]])</f>
        <v>0.16666666666666666</v>
      </c>
      <c r="D185" t="s">
        <v>59</v>
      </c>
      <c r="E185">
        <v>3</v>
      </c>
      <c r="F185" s="1">
        <v>42006</v>
      </c>
      <c r="G185" s="1" t="str">
        <f>TEXT(pizza_sales[[#This Row],[order_date]],"dddd")</f>
        <v>Friday</v>
      </c>
      <c r="H185" s="2">
        <v>36526.519606481481</v>
      </c>
      <c r="I185">
        <v>20.75</v>
      </c>
      <c r="J185">
        <v>62.25</v>
      </c>
      <c r="K185" t="s">
        <v>21</v>
      </c>
      <c r="L185" t="s">
        <v>26</v>
      </c>
      <c r="M185" t="s">
        <v>60</v>
      </c>
      <c r="N185" t="s">
        <v>61</v>
      </c>
    </row>
    <row r="186" spans="1:14" x14ac:dyDescent="0.3">
      <c r="A186">
        <v>185</v>
      </c>
      <c r="B186">
        <v>78</v>
      </c>
      <c r="C186">
        <f>1/COUNTIF(pizza_sales[[#All],[order_id]],pizza_sales[[#This Row],[order_id]])</f>
        <v>0.16666666666666666</v>
      </c>
      <c r="D186" t="s">
        <v>151</v>
      </c>
      <c r="E186">
        <v>1</v>
      </c>
      <c r="F186" s="1">
        <v>42006</v>
      </c>
      <c r="G186" s="1" t="str">
        <f>TEXT(pizza_sales[[#This Row],[order_date]],"dddd")</f>
        <v>Friday</v>
      </c>
      <c r="H186" s="2">
        <v>36526.519606481481</v>
      </c>
      <c r="I186">
        <v>12.75</v>
      </c>
      <c r="J186">
        <v>12.75</v>
      </c>
      <c r="K186" t="s">
        <v>41</v>
      </c>
      <c r="L186" t="s">
        <v>33</v>
      </c>
      <c r="M186" t="s">
        <v>34</v>
      </c>
      <c r="N186" t="s">
        <v>35</v>
      </c>
    </row>
    <row r="187" spans="1:14" x14ac:dyDescent="0.3">
      <c r="A187">
        <v>186</v>
      </c>
      <c r="B187">
        <v>79</v>
      </c>
      <c r="C187">
        <f>1/COUNTIF(pizza_sales[[#All],[order_id]],pizza_sales[[#This Row],[order_id]])</f>
        <v>0.33333333333333331</v>
      </c>
      <c r="D187" t="s">
        <v>54</v>
      </c>
      <c r="E187">
        <v>1</v>
      </c>
      <c r="F187" s="1">
        <v>42006</v>
      </c>
      <c r="G187" s="1" t="str">
        <f>TEXT(pizza_sales[[#This Row],[order_date]],"dddd")</f>
        <v>Friday</v>
      </c>
      <c r="H187" s="2">
        <v>36526.520266203705</v>
      </c>
      <c r="I187">
        <v>20.5</v>
      </c>
      <c r="J187">
        <v>20.5</v>
      </c>
      <c r="K187" t="s">
        <v>21</v>
      </c>
      <c r="L187" t="s">
        <v>14</v>
      </c>
      <c r="M187" t="s">
        <v>55</v>
      </c>
      <c r="N187" t="s">
        <v>56</v>
      </c>
    </row>
    <row r="188" spans="1:14" x14ac:dyDescent="0.3">
      <c r="A188">
        <v>187</v>
      </c>
      <c r="B188">
        <v>79</v>
      </c>
      <c r="C188">
        <f>1/COUNTIF(pizza_sales[[#All],[order_id]],pizza_sales[[#This Row],[order_id]])</f>
        <v>0.33333333333333331</v>
      </c>
      <c r="D188" t="s">
        <v>143</v>
      </c>
      <c r="E188">
        <v>1</v>
      </c>
      <c r="F188" s="1">
        <v>42006</v>
      </c>
      <c r="G188" s="1" t="str">
        <f>TEXT(pizza_sales[[#This Row],[order_date]],"dddd")</f>
        <v>Friday</v>
      </c>
      <c r="H188" s="2">
        <v>36526.520266203705</v>
      </c>
      <c r="I188">
        <v>11</v>
      </c>
      <c r="J188">
        <v>11</v>
      </c>
      <c r="K188" t="s">
        <v>41</v>
      </c>
      <c r="L188" t="s">
        <v>14</v>
      </c>
      <c r="M188" t="s">
        <v>130</v>
      </c>
      <c r="N188" t="s">
        <v>131</v>
      </c>
    </row>
    <row r="189" spans="1:14" x14ac:dyDescent="0.3">
      <c r="A189">
        <v>188</v>
      </c>
      <c r="B189">
        <v>79</v>
      </c>
      <c r="C189">
        <f>1/COUNTIF(pizza_sales[[#All],[order_id]],pizza_sales[[#This Row],[order_id]])</f>
        <v>0.33333333333333331</v>
      </c>
      <c r="D189" t="s">
        <v>32</v>
      </c>
      <c r="E189">
        <v>1</v>
      </c>
      <c r="F189" s="1">
        <v>42006</v>
      </c>
      <c r="G189" s="1" t="str">
        <f>TEXT(pizza_sales[[#This Row],[order_date]],"dddd")</f>
        <v>Friday</v>
      </c>
      <c r="H189" s="2">
        <v>36526.520266203705</v>
      </c>
      <c r="I189">
        <v>20.75</v>
      </c>
      <c r="J189">
        <v>20.75</v>
      </c>
      <c r="K189" t="s">
        <v>21</v>
      </c>
      <c r="L189" t="s">
        <v>33</v>
      </c>
      <c r="M189" t="s">
        <v>34</v>
      </c>
      <c r="N189" t="s">
        <v>35</v>
      </c>
    </row>
    <row r="190" spans="1:14" x14ac:dyDescent="0.3">
      <c r="A190">
        <v>189</v>
      </c>
      <c r="B190">
        <v>80</v>
      </c>
      <c r="C190">
        <f>1/COUNTIF(pizza_sales[[#All],[order_id]],pizza_sales[[#This Row],[order_id]])</f>
        <v>0.5</v>
      </c>
      <c r="D190" t="s">
        <v>126</v>
      </c>
      <c r="E190">
        <v>1</v>
      </c>
      <c r="F190" s="1">
        <v>42006</v>
      </c>
      <c r="G190" s="1" t="str">
        <f>TEXT(pizza_sales[[#This Row],[order_date]],"dddd")</f>
        <v>Friday</v>
      </c>
      <c r="H190" s="2">
        <v>36526.524745370371</v>
      </c>
      <c r="I190">
        <v>9.75</v>
      </c>
      <c r="J190">
        <v>9.75</v>
      </c>
      <c r="K190" t="s">
        <v>41</v>
      </c>
      <c r="L190" t="s">
        <v>14</v>
      </c>
      <c r="M190" t="s">
        <v>78</v>
      </c>
      <c r="N190" t="s">
        <v>79</v>
      </c>
    </row>
    <row r="191" spans="1:14" x14ac:dyDescent="0.3">
      <c r="A191">
        <v>190</v>
      </c>
      <c r="B191">
        <v>80</v>
      </c>
      <c r="C191">
        <f>1/COUNTIF(pizza_sales[[#All],[order_id]],pizza_sales[[#This Row],[order_id]])</f>
        <v>0.5</v>
      </c>
      <c r="D191" t="s">
        <v>137</v>
      </c>
      <c r="E191">
        <v>1</v>
      </c>
      <c r="F191" s="1">
        <v>42006</v>
      </c>
      <c r="G191" s="1" t="str">
        <f>TEXT(pizza_sales[[#This Row],[order_date]],"dddd")</f>
        <v>Friday</v>
      </c>
      <c r="H191" s="2">
        <v>36526.524745370371</v>
      </c>
      <c r="I191">
        <v>16.75</v>
      </c>
      <c r="J191">
        <v>16.75</v>
      </c>
      <c r="K191" t="s">
        <v>13</v>
      </c>
      <c r="L191" t="s">
        <v>33</v>
      </c>
      <c r="M191" t="s">
        <v>34</v>
      </c>
      <c r="N191" t="s">
        <v>35</v>
      </c>
    </row>
    <row r="192" spans="1:14" x14ac:dyDescent="0.3">
      <c r="A192">
        <v>191</v>
      </c>
      <c r="B192">
        <v>81</v>
      </c>
      <c r="C192">
        <f>1/COUNTIF(pizza_sales[[#All],[order_id]],pizza_sales[[#This Row],[order_id]])</f>
        <v>1</v>
      </c>
      <c r="D192" t="s">
        <v>32</v>
      </c>
      <c r="E192">
        <v>1</v>
      </c>
      <c r="F192" s="1">
        <v>42006</v>
      </c>
      <c r="G192" s="1" t="str">
        <f>TEXT(pizza_sales[[#This Row],[order_date]],"dddd")</f>
        <v>Friday</v>
      </c>
      <c r="H192" s="2">
        <v>36526.527789351851</v>
      </c>
      <c r="I192">
        <v>20.75</v>
      </c>
      <c r="J192">
        <v>20.75</v>
      </c>
      <c r="K192" t="s">
        <v>21</v>
      </c>
      <c r="L192" t="s">
        <v>33</v>
      </c>
      <c r="M192" t="s">
        <v>34</v>
      </c>
      <c r="N192" t="s">
        <v>35</v>
      </c>
    </row>
    <row r="193" spans="1:14" x14ac:dyDescent="0.3">
      <c r="A193">
        <v>192</v>
      </c>
      <c r="B193">
        <v>82</v>
      </c>
      <c r="C193">
        <f>1/COUNTIF(pizza_sales[[#All],[order_id]],pizza_sales[[#This Row],[order_id]])</f>
        <v>0.25</v>
      </c>
      <c r="D193" t="s">
        <v>84</v>
      </c>
      <c r="E193">
        <v>1</v>
      </c>
      <c r="F193" s="1">
        <v>42006</v>
      </c>
      <c r="G193" s="1" t="str">
        <f>TEXT(pizza_sales[[#This Row],[order_date]],"dddd")</f>
        <v>Friday</v>
      </c>
      <c r="H193" s="2">
        <v>36526.531840277778</v>
      </c>
      <c r="I193">
        <v>12</v>
      </c>
      <c r="J193">
        <v>12</v>
      </c>
      <c r="K193" t="s">
        <v>41</v>
      </c>
      <c r="L193" t="s">
        <v>14</v>
      </c>
      <c r="M193" t="s">
        <v>85</v>
      </c>
      <c r="N193" t="s">
        <v>86</v>
      </c>
    </row>
    <row r="194" spans="1:14" x14ac:dyDescent="0.3">
      <c r="A194">
        <v>193</v>
      </c>
      <c r="B194">
        <v>82</v>
      </c>
      <c r="C194">
        <f>1/COUNTIF(pizza_sales[[#All],[order_id]],pizza_sales[[#This Row],[order_id]])</f>
        <v>0.25</v>
      </c>
      <c r="D194" t="s">
        <v>76</v>
      </c>
      <c r="E194">
        <v>1</v>
      </c>
      <c r="F194" s="1">
        <v>42006</v>
      </c>
      <c r="G194" s="1" t="str">
        <f>TEXT(pizza_sales[[#This Row],[order_date]],"dddd")</f>
        <v>Friday</v>
      </c>
      <c r="H194" s="2">
        <v>36526.531840277778</v>
      </c>
      <c r="I194">
        <v>16.75</v>
      </c>
      <c r="J194">
        <v>16.75</v>
      </c>
      <c r="K194" t="s">
        <v>13</v>
      </c>
      <c r="L194" t="s">
        <v>33</v>
      </c>
      <c r="M194" t="s">
        <v>74</v>
      </c>
      <c r="N194" t="s">
        <v>75</v>
      </c>
    </row>
    <row r="195" spans="1:14" x14ac:dyDescent="0.3">
      <c r="A195">
        <v>194</v>
      </c>
      <c r="B195">
        <v>82</v>
      </c>
      <c r="C195">
        <f>1/COUNTIF(pizza_sales[[#All],[order_id]],pizza_sales[[#This Row],[order_id]])</f>
        <v>0.25</v>
      </c>
      <c r="D195" t="s">
        <v>59</v>
      </c>
      <c r="E195">
        <v>1</v>
      </c>
      <c r="F195" s="1">
        <v>42006</v>
      </c>
      <c r="G195" s="1" t="str">
        <f>TEXT(pizza_sales[[#This Row],[order_date]],"dddd")</f>
        <v>Friday</v>
      </c>
      <c r="H195" s="2">
        <v>36526.531840277778</v>
      </c>
      <c r="I195">
        <v>20.75</v>
      </c>
      <c r="J195">
        <v>20.75</v>
      </c>
      <c r="K195" t="s">
        <v>21</v>
      </c>
      <c r="L195" t="s">
        <v>26</v>
      </c>
      <c r="M195" t="s">
        <v>60</v>
      </c>
      <c r="N195" t="s">
        <v>61</v>
      </c>
    </row>
    <row r="196" spans="1:14" x14ac:dyDescent="0.3">
      <c r="A196">
        <v>195</v>
      </c>
      <c r="B196">
        <v>82</v>
      </c>
      <c r="C196">
        <f>1/COUNTIF(pizza_sales[[#All],[order_id]],pizza_sales[[#This Row],[order_id]])</f>
        <v>0.25</v>
      </c>
      <c r="D196" t="s">
        <v>154</v>
      </c>
      <c r="E196">
        <v>1</v>
      </c>
      <c r="F196" s="1">
        <v>42006</v>
      </c>
      <c r="G196" s="1" t="str">
        <f>TEXT(pizza_sales[[#This Row],[order_date]],"dddd")</f>
        <v>Friday</v>
      </c>
      <c r="H196" s="2">
        <v>36526.531840277778</v>
      </c>
      <c r="I196">
        <v>16</v>
      </c>
      <c r="J196">
        <v>16</v>
      </c>
      <c r="K196" t="s">
        <v>13</v>
      </c>
      <c r="L196" t="s">
        <v>22</v>
      </c>
      <c r="M196" t="s">
        <v>66</v>
      </c>
      <c r="N196" t="s">
        <v>67</v>
      </c>
    </row>
    <row r="197" spans="1:14" x14ac:dyDescent="0.3">
      <c r="A197">
        <v>196</v>
      </c>
      <c r="B197">
        <v>83</v>
      </c>
      <c r="C197">
        <f>1/COUNTIF(pizza_sales[[#All],[order_id]],pizza_sales[[#This Row],[order_id]])</f>
        <v>1</v>
      </c>
      <c r="D197" t="s">
        <v>117</v>
      </c>
      <c r="E197">
        <v>1</v>
      </c>
      <c r="F197" s="1">
        <v>42006</v>
      </c>
      <c r="G197" s="1" t="str">
        <f>TEXT(pizza_sales[[#This Row],[order_date]],"dddd")</f>
        <v>Friday</v>
      </c>
      <c r="H197" s="2">
        <v>36526.537118055552</v>
      </c>
      <c r="I197">
        <v>12.75</v>
      </c>
      <c r="J197">
        <v>12.75</v>
      </c>
      <c r="K197" t="s">
        <v>41</v>
      </c>
      <c r="L197" t="s">
        <v>33</v>
      </c>
      <c r="M197" t="s">
        <v>70</v>
      </c>
      <c r="N197" t="s">
        <v>71</v>
      </c>
    </row>
    <row r="198" spans="1:14" x14ac:dyDescent="0.3">
      <c r="A198">
        <v>197</v>
      </c>
      <c r="B198">
        <v>84</v>
      </c>
      <c r="C198">
        <f>1/COUNTIF(pizza_sales[[#All],[order_id]],pizza_sales[[#This Row],[order_id]])</f>
        <v>1</v>
      </c>
      <c r="D198" t="s">
        <v>77</v>
      </c>
      <c r="E198">
        <v>1</v>
      </c>
      <c r="F198" s="1">
        <v>42006</v>
      </c>
      <c r="G198" s="1" t="str">
        <f>TEXT(pizza_sales[[#This Row],[order_date]],"dddd")</f>
        <v>Friday</v>
      </c>
      <c r="H198" s="2">
        <v>36526.551168981481</v>
      </c>
      <c r="I198">
        <v>15.25</v>
      </c>
      <c r="J198">
        <v>15.25</v>
      </c>
      <c r="K198" t="s">
        <v>21</v>
      </c>
      <c r="L198" t="s">
        <v>14</v>
      </c>
      <c r="M198" t="s">
        <v>78</v>
      </c>
      <c r="N198" t="s">
        <v>79</v>
      </c>
    </row>
    <row r="199" spans="1:14" x14ac:dyDescent="0.3">
      <c r="A199">
        <v>198</v>
      </c>
      <c r="B199">
        <v>85</v>
      </c>
      <c r="C199">
        <f>1/COUNTIF(pizza_sales[[#All],[order_id]],pizza_sales[[#This Row],[order_id]])</f>
        <v>0.25</v>
      </c>
      <c r="D199" t="s">
        <v>17</v>
      </c>
      <c r="E199">
        <v>1</v>
      </c>
      <c r="F199" s="1">
        <v>42006</v>
      </c>
      <c r="G199" s="1" t="str">
        <f>TEXT(pizza_sales[[#This Row],[order_date]],"dddd")</f>
        <v>Friday</v>
      </c>
      <c r="H199" s="2">
        <v>36526.565844907411</v>
      </c>
      <c r="I199">
        <v>16</v>
      </c>
      <c r="J199">
        <v>16</v>
      </c>
      <c r="K199" t="s">
        <v>13</v>
      </c>
      <c r="L199" t="s">
        <v>14</v>
      </c>
      <c r="M199" t="s">
        <v>18</v>
      </c>
      <c r="N199" t="s">
        <v>19</v>
      </c>
    </row>
    <row r="200" spans="1:14" x14ac:dyDescent="0.3">
      <c r="A200">
        <v>199</v>
      </c>
      <c r="B200">
        <v>85</v>
      </c>
      <c r="C200">
        <f>1/COUNTIF(pizza_sales[[#All],[order_id]],pizza_sales[[#This Row],[order_id]])</f>
        <v>0.25</v>
      </c>
      <c r="D200" t="s">
        <v>50</v>
      </c>
      <c r="E200">
        <v>1</v>
      </c>
      <c r="F200" s="1">
        <v>42006</v>
      </c>
      <c r="G200" s="1" t="str">
        <f>TEXT(pizza_sales[[#This Row],[order_date]],"dddd")</f>
        <v>Friday</v>
      </c>
      <c r="H200" s="2">
        <v>36526.565844907411</v>
      </c>
      <c r="I200">
        <v>12</v>
      </c>
      <c r="J200">
        <v>12</v>
      </c>
      <c r="K200" t="s">
        <v>41</v>
      </c>
      <c r="L200" t="s">
        <v>14</v>
      </c>
      <c r="M200" t="s">
        <v>18</v>
      </c>
      <c r="N200" t="s">
        <v>19</v>
      </c>
    </row>
    <row r="201" spans="1:14" x14ac:dyDescent="0.3">
      <c r="A201">
        <v>200</v>
      </c>
      <c r="B201">
        <v>85</v>
      </c>
      <c r="C201">
        <f>1/COUNTIF(pizza_sales[[#All],[order_id]],pizza_sales[[#This Row],[order_id]])</f>
        <v>0.25</v>
      </c>
      <c r="D201" t="s">
        <v>25</v>
      </c>
      <c r="E201">
        <v>1</v>
      </c>
      <c r="F201" s="1">
        <v>42006</v>
      </c>
      <c r="G201" s="1" t="str">
        <f>TEXT(pizza_sales[[#This Row],[order_date]],"dddd")</f>
        <v>Friday</v>
      </c>
      <c r="H201" s="2">
        <v>36526.565844907411</v>
      </c>
      <c r="I201">
        <v>20.75</v>
      </c>
      <c r="J201">
        <v>20.75</v>
      </c>
      <c r="K201" t="s">
        <v>21</v>
      </c>
      <c r="L201" t="s">
        <v>26</v>
      </c>
      <c r="M201" t="s">
        <v>27</v>
      </c>
      <c r="N201" t="s">
        <v>28</v>
      </c>
    </row>
    <row r="202" spans="1:14" x14ac:dyDescent="0.3">
      <c r="A202">
        <v>201</v>
      </c>
      <c r="B202">
        <v>85</v>
      </c>
      <c r="C202">
        <f>1/COUNTIF(pizza_sales[[#All],[order_id]],pizza_sales[[#This Row],[order_id]])</f>
        <v>0.25</v>
      </c>
      <c r="D202" t="s">
        <v>155</v>
      </c>
      <c r="E202">
        <v>1</v>
      </c>
      <c r="F202" s="1">
        <v>42006</v>
      </c>
      <c r="G202" s="1" t="str">
        <f>TEXT(pizza_sales[[#This Row],[order_date]],"dddd")</f>
        <v>Friday</v>
      </c>
      <c r="H202" s="2">
        <v>36526.565844907411</v>
      </c>
      <c r="I202">
        <v>16</v>
      </c>
      <c r="J202">
        <v>16</v>
      </c>
      <c r="K202" t="s">
        <v>13</v>
      </c>
      <c r="L202" t="s">
        <v>14</v>
      </c>
      <c r="M202" t="s">
        <v>45</v>
      </c>
      <c r="N202" t="s">
        <v>46</v>
      </c>
    </row>
    <row r="203" spans="1:14" x14ac:dyDescent="0.3">
      <c r="A203">
        <v>202</v>
      </c>
      <c r="B203">
        <v>86</v>
      </c>
      <c r="C203">
        <f>1/COUNTIF(pizza_sales[[#All],[order_id]],pizza_sales[[#This Row],[order_id]])</f>
        <v>1</v>
      </c>
      <c r="D203" t="s">
        <v>142</v>
      </c>
      <c r="E203">
        <v>1</v>
      </c>
      <c r="F203" s="1">
        <v>42006</v>
      </c>
      <c r="G203" s="1" t="str">
        <f>TEXT(pizza_sales[[#This Row],[order_date]],"dddd")</f>
        <v>Friday</v>
      </c>
      <c r="H203" s="2">
        <v>36526.569803240738</v>
      </c>
      <c r="I203">
        <v>16.5</v>
      </c>
      <c r="J203">
        <v>16.5</v>
      </c>
      <c r="K203" t="s">
        <v>21</v>
      </c>
      <c r="L203" t="s">
        <v>14</v>
      </c>
      <c r="M203" t="s">
        <v>15</v>
      </c>
      <c r="N203" t="s">
        <v>16</v>
      </c>
    </row>
    <row r="204" spans="1:14" x14ac:dyDescent="0.3">
      <c r="A204">
        <v>203</v>
      </c>
      <c r="B204">
        <v>87</v>
      </c>
      <c r="C204">
        <f>1/COUNTIF(pizza_sales[[#All],[order_id]],pizza_sales[[#This Row],[order_id]])</f>
        <v>0.25</v>
      </c>
      <c r="D204" t="s">
        <v>116</v>
      </c>
      <c r="E204">
        <v>1</v>
      </c>
      <c r="F204" s="1">
        <v>42006</v>
      </c>
      <c r="G204" s="1" t="str">
        <f>TEXT(pizza_sales[[#This Row],[order_date]],"dddd")</f>
        <v>Friday</v>
      </c>
      <c r="H204" s="2">
        <v>36526.584050925929</v>
      </c>
      <c r="I204">
        <v>16</v>
      </c>
      <c r="J204">
        <v>16</v>
      </c>
      <c r="K204" t="s">
        <v>13</v>
      </c>
      <c r="L204" t="s">
        <v>14</v>
      </c>
      <c r="M204" t="s">
        <v>55</v>
      </c>
      <c r="N204" t="s">
        <v>56</v>
      </c>
    </row>
    <row r="205" spans="1:14" x14ac:dyDescent="0.3">
      <c r="A205">
        <v>204</v>
      </c>
      <c r="B205">
        <v>87</v>
      </c>
      <c r="C205">
        <f>1/COUNTIF(pizza_sales[[#All],[order_id]],pizza_sales[[#This Row],[order_id]])</f>
        <v>0.25</v>
      </c>
      <c r="D205" t="s">
        <v>29</v>
      </c>
      <c r="E205">
        <v>1</v>
      </c>
      <c r="F205" s="1">
        <v>42006</v>
      </c>
      <c r="G205" s="1" t="str">
        <f>TEXT(pizza_sales[[#This Row],[order_date]],"dddd")</f>
        <v>Friday</v>
      </c>
      <c r="H205" s="2">
        <v>36526.584050925929</v>
      </c>
      <c r="I205">
        <v>16</v>
      </c>
      <c r="J205">
        <v>16</v>
      </c>
      <c r="K205" t="s">
        <v>13</v>
      </c>
      <c r="L205" t="s">
        <v>22</v>
      </c>
      <c r="M205" t="s">
        <v>30</v>
      </c>
      <c r="N205" t="s">
        <v>31</v>
      </c>
    </row>
    <row r="206" spans="1:14" x14ac:dyDescent="0.3">
      <c r="A206">
        <v>205</v>
      </c>
      <c r="B206">
        <v>87</v>
      </c>
      <c r="C206">
        <f>1/COUNTIF(pizza_sales[[#All],[order_id]],pizza_sales[[#This Row],[order_id]])</f>
        <v>0.25</v>
      </c>
      <c r="D206" t="s">
        <v>152</v>
      </c>
      <c r="E206">
        <v>1</v>
      </c>
      <c r="F206" s="1">
        <v>42006</v>
      </c>
      <c r="G206" s="1" t="str">
        <f>TEXT(pizza_sales[[#This Row],[order_date]],"dddd")</f>
        <v>Friday</v>
      </c>
      <c r="H206" s="2">
        <v>36526.584050925929</v>
      </c>
      <c r="I206">
        <v>20.75</v>
      </c>
      <c r="J206">
        <v>20.75</v>
      </c>
      <c r="K206" t="s">
        <v>21</v>
      </c>
      <c r="L206" t="s">
        <v>26</v>
      </c>
      <c r="M206" t="s">
        <v>48</v>
      </c>
      <c r="N206" t="s">
        <v>49</v>
      </c>
    </row>
    <row r="207" spans="1:14" x14ac:dyDescent="0.3">
      <c r="A207">
        <v>206</v>
      </c>
      <c r="B207">
        <v>87</v>
      </c>
      <c r="C207">
        <f>1/COUNTIF(pizza_sales[[#All],[order_id]],pizza_sales[[#This Row],[order_id]])</f>
        <v>0.25</v>
      </c>
      <c r="D207" t="s">
        <v>47</v>
      </c>
      <c r="E207">
        <v>1</v>
      </c>
      <c r="F207" s="1">
        <v>42006</v>
      </c>
      <c r="G207" s="1" t="str">
        <f>TEXT(pizza_sales[[#This Row],[order_date]],"dddd")</f>
        <v>Friday</v>
      </c>
      <c r="H207" s="2">
        <v>36526.584050925929</v>
      </c>
      <c r="I207">
        <v>12.5</v>
      </c>
      <c r="J207">
        <v>12.5</v>
      </c>
      <c r="K207" t="s">
        <v>41</v>
      </c>
      <c r="L207" t="s">
        <v>26</v>
      </c>
      <c r="M207" t="s">
        <v>48</v>
      </c>
      <c r="N207" t="s">
        <v>49</v>
      </c>
    </row>
    <row r="208" spans="1:14" x14ac:dyDescent="0.3">
      <c r="A208">
        <v>207</v>
      </c>
      <c r="B208">
        <v>88</v>
      </c>
      <c r="C208">
        <f>1/COUNTIF(pizza_sales[[#All],[order_id]],pizza_sales[[#This Row],[order_id]])</f>
        <v>1</v>
      </c>
      <c r="D208" t="s">
        <v>20</v>
      </c>
      <c r="E208">
        <v>1</v>
      </c>
      <c r="F208" s="1">
        <v>42006</v>
      </c>
      <c r="G208" s="1" t="str">
        <f>TEXT(pizza_sales[[#This Row],[order_date]],"dddd")</f>
        <v>Friday</v>
      </c>
      <c r="H208" s="2">
        <v>36526.590370370373</v>
      </c>
      <c r="I208">
        <v>18.5</v>
      </c>
      <c r="J208">
        <v>18.5</v>
      </c>
      <c r="K208" t="s">
        <v>21</v>
      </c>
      <c r="L208" t="s">
        <v>22</v>
      </c>
      <c r="M208" t="s">
        <v>23</v>
      </c>
      <c r="N208" t="s">
        <v>24</v>
      </c>
    </row>
    <row r="209" spans="1:14" x14ac:dyDescent="0.3">
      <c r="A209">
        <v>208</v>
      </c>
      <c r="B209">
        <v>89</v>
      </c>
      <c r="C209">
        <f>1/COUNTIF(pizza_sales[[#All],[order_id]],pizza_sales[[#This Row],[order_id]])</f>
        <v>0.5</v>
      </c>
      <c r="D209" t="s">
        <v>87</v>
      </c>
      <c r="E209">
        <v>1</v>
      </c>
      <c r="F209" s="1">
        <v>42006</v>
      </c>
      <c r="G209" s="1" t="str">
        <f>TEXT(pizza_sales[[#This Row],[order_date]],"dddd")</f>
        <v>Friday</v>
      </c>
      <c r="H209" s="2">
        <v>36526.604386574072</v>
      </c>
      <c r="I209">
        <v>20.75</v>
      </c>
      <c r="J209">
        <v>20.75</v>
      </c>
      <c r="K209" t="s">
        <v>21</v>
      </c>
      <c r="L209" t="s">
        <v>26</v>
      </c>
      <c r="M209" t="s">
        <v>88</v>
      </c>
      <c r="N209" t="s">
        <v>89</v>
      </c>
    </row>
    <row r="210" spans="1:14" x14ac:dyDescent="0.3">
      <c r="A210">
        <v>209</v>
      </c>
      <c r="B210">
        <v>89</v>
      </c>
      <c r="C210">
        <f>1/COUNTIF(pizza_sales[[#All],[order_id]],pizza_sales[[#This Row],[order_id]])</f>
        <v>0.5</v>
      </c>
      <c r="D210" t="s">
        <v>32</v>
      </c>
      <c r="E210">
        <v>1</v>
      </c>
      <c r="F210" s="1">
        <v>42006</v>
      </c>
      <c r="G210" s="1" t="str">
        <f>TEXT(pizza_sales[[#This Row],[order_date]],"dddd")</f>
        <v>Friday</v>
      </c>
      <c r="H210" s="2">
        <v>36526.604386574072</v>
      </c>
      <c r="I210">
        <v>20.75</v>
      </c>
      <c r="J210">
        <v>20.75</v>
      </c>
      <c r="K210" t="s">
        <v>21</v>
      </c>
      <c r="L210" t="s">
        <v>33</v>
      </c>
      <c r="M210" t="s">
        <v>34</v>
      </c>
      <c r="N210" t="s">
        <v>35</v>
      </c>
    </row>
    <row r="211" spans="1:14" x14ac:dyDescent="0.3">
      <c r="A211">
        <v>210</v>
      </c>
      <c r="B211">
        <v>90</v>
      </c>
      <c r="C211">
        <f>1/COUNTIF(pizza_sales[[#All],[order_id]],pizza_sales[[#This Row],[order_id]])</f>
        <v>0.5</v>
      </c>
      <c r="D211" t="s">
        <v>113</v>
      </c>
      <c r="E211">
        <v>1</v>
      </c>
      <c r="F211" s="1">
        <v>42006</v>
      </c>
      <c r="G211" s="1" t="str">
        <f>TEXT(pizza_sales[[#This Row],[order_date]],"dddd")</f>
        <v>Friday</v>
      </c>
      <c r="H211" s="2">
        <v>36526.631111111114</v>
      </c>
      <c r="I211">
        <v>20.25</v>
      </c>
      <c r="J211">
        <v>20.25</v>
      </c>
      <c r="K211" t="s">
        <v>21</v>
      </c>
      <c r="L211" t="s">
        <v>26</v>
      </c>
      <c r="M211" t="s">
        <v>114</v>
      </c>
      <c r="N211" t="s">
        <v>115</v>
      </c>
    </row>
    <row r="212" spans="1:14" x14ac:dyDescent="0.3">
      <c r="A212">
        <v>211</v>
      </c>
      <c r="B212">
        <v>90</v>
      </c>
      <c r="C212">
        <f>1/COUNTIF(pizza_sales[[#All],[order_id]],pizza_sales[[#This Row],[order_id]])</f>
        <v>0.5</v>
      </c>
      <c r="D212" t="s">
        <v>151</v>
      </c>
      <c r="E212">
        <v>1</v>
      </c>
      <c r="F212" s="1">
        <v>42006</v>
      </c>
      <c r="G212" s="1" t="str">
        <f>TEXT(pizza_sales[[#This Row],[order_date]],"dddd")</f>
        <v>Friday</v>
      </c>
      <c r="H212" s="2">
        <v>36526.631111111114</v>
      </c>
      <c r="I212">
        <v>12.75</v>
      </c>
      <c r="J212">
        <v>12.75</v>
      </c>
      <c r="K212" t="s">
        <v>41</v>
      </c>
      <c r="L212" t="s">
        <v>33</v>
      </c>
      <c r="M212" t="s">
        <v>34</v>
      </c>
      <c r="N212" t="s">
        <v>35</v>
      </c>
    </row>
    <row r="213" spans="1:14" x14ac:dyDescent="0.3">
      <c r="A213">
        <v>212</v>
      </c>
      <c r="B213">
        <v>91</v>
      </c>
      <c r="C213">
        <f>1/COUNTIF(pizza_sales[[#All],[order_id]],pizza_sales[[#This Row],[order_id]])</f>
        <v>0.33333333333333331</v>
      </c>
      <c r="D213" t="s">
        <v>72</v>
      </c>
      <c r="E213">
        <v>2</v>
      </c>
      <c r="F213" s="1">
        <v>42006</v>
      </c>
      <c r="G213" s="1" t="str">
        <f>TEXT(pizza_sales[[#This Row],[order_date]],"dddd")</f>
        <v>Friday</v>
      </c>
      <c r="H213" s="2">
        <v>36526.63521990741</v>
      </c>
      <c r="I213">
        <v>20.75</v>
      </c>
      <c r="J213">
        <v>41.5</v>
      </c>
      <c r="K213" t="s">
        <v>21</v>
      </c>
      <c r="L213" t="s">
        <v>33</v>
      </c>
      <c r="M213" t="s">
        <v>42</v>
      </c>
      <c r="N213" t="s">
        <v>43</v>
      </c>
    </row>
    <row r="214" spans="1:14" x14ac:dyDescent="0.3">
      <c r="A214">
        <v>213</v>
      </c>
      <c r="B214">
        <v>91</v>
      </c>
      <c r="C214">
        <f>1/COUNTIF(pizza_sales[[#All],[order_id]],pizza_sales[[#This Row],[order_id]])</f>
        <v>0.33333333333333331</v>
      </c>
      <c r="D214" t="s">
        <v>156</v>
      </c>
      <c r="E214">
        <v>1</v>
      </c>
      <c r="F214" s="1">
        <v>42006</v>
      </c>
      <c r="G214" s="1" t="str">
        <f>TEXT(pizza_sales[[#This Row],[order_date]],"dddd")</f>
        <v>Friday</v>
      </c>
      <c r="H214" s="2">
        <v>36526.63521990741</v>
      </c>
      <c r="I214">
        <v>12.75</v>
      </c>
      <c r="J214">
        <v>12.75</v>
      </c>
      <c r="K214" t="s">
        <v>41</v>
      </c>
      <c r="L214" t="s">
        <v>33</v>
      </c>
      <c r="M214" t="s">
        <v>82</v>
      </c>
      <c r="N214" t="s">
        <v>83</v>
      </c>
    </row>
    <row r="215" spans="1:14" x14ac:dyDescent="0.3">
      <c r="A215">
        <v>214</v>
      </c>
      <c r="B215">
        <v>91</v>
      </c>
      <c r="C215">
        <f>1/COUNTIF(pizza_sales[[#All],[order_id]],pizza_sales[[#This Row],[order_id]])</f>
        <v>0.33333333333333331</v>
      </c>
      <c r="D215" t="s">
        <v>126</v>
      </c>
      <c r="E215">
        <v>1</v>
      </c>
      <c r="F215" s="1">
        <v>42006</v>
      </c>
      <c r="G215" s="1" t="str">
        <f>TEXT(pizza_sales[[#This Row],[order_date]],"dddd")</f>
        <v>Friday</v>
      </c>
      <c r="H215" s="2">
        <v>36526.63521990741</v>
      </c>
      <c r="I215">
        <v>9.75</v>
      </c>
      <c r="J215">
        <v>9.75</v>
      </c>
      <c r="K215" t="s">
        <v>41</v>
      </c>
      <c r="L215" t="s">
        <v>14</v>
      </c>
      <c r="M215" t="s">
        <v>78</v>
      </c>
      <c r="N215" t="s">
        <v>79</v>
      </c>
    </row>
    <row r="216" spans="1:14" x14ac:dyDescent="0.3">
      <c r="A216">
        <v>215</v>
      </c>
      <c r="B216">
        <v>92</v>
      </c>
      <c r="C216">
        <f>1/COUNTIF(pizza_sales[[#All],[order_id]],pizza_sales[[#This Row],[order_id]])</f>
        <v>0.1111111111111111</v>
      </c>
      <c r="D216" t="s">
        <v>118</v>
      </c>
      <c r="E216">
        <v>1</v>
      </c>
      <c r="F216" s="1">
        <v>42006</v>
      </c>
      <c r="G216" s="1" t="str">
        <f>TEXT(pizza_sales[[#This Row],[order_date]],"dddd")</f>
        <v>Friday</v>
      </c>
      <c r="H216" s="2">
        <v>36526.636828703704</v>
      </c>
      <c r="I216">
        <v>16.75</v>
      </c>
      <c r="J216">
        <v>16.75</v>
      </c>
      <c r="K216" t="s">
        <v>13</v>
      </c>
      <c r="L216" t="s">
        <v>33</v>
      </c>
      <c r="M216" t="s">
        <v>42</v>
      </c>
      <c r="N216" t="s">
        <v>43</v>
      </c>
    </row>
    <row r="217" spans="1:14" x14ac:dyDescent="0.3">
      <c r="A217">
        <v>216</v>
      </c>
      <c r="B217">
        <v>92</v>
      </c>
      <c r="C217">
        <f>1/COUNTIF(pizza_sales[[#All],[order_id]],pizza_sales[[#This Row],[order_id]])</f>
        <v>0.1111111111111111</v>
      </c>
      <c r="D217" t="s">
        <v>25</v>
      </c>
      <c r="E217">
        <v>1</v>
      </c>
      <c r="F217" s="1">
        <v>42006</v>
      </c>
      <c r="G217" s="1" t="str">
        <f>TEXT(pizza_sales[[#This Row],[order_date]],"dddd")</f>
        <v>Friday</v>
      </c>
      <c r="H217" s="2">
        <v>36526.636828703704</v>
      </c>
      <c r="I217">
        <v>20.75</v>
      </c>
      <c r="J217">
        <v>20.75</v>
      </c>
      <c r="K217" t="s">
        <v>21</v>
      </c>
      <c r="L217" t="s">
        <v>26</v>
      </c>
      <c r="M217" t="s">
        <v>27</v>
      </c>
      <c r="N217" t="s">
        <v>28</v>
      </c>
    </row>
    <row r="218" spans="1:14" x14ac:dyDescent="0.3">
      <c r="A218">
        <v>217</v>
      </c>
      <c r="B218">
        <v>92</v>
      </c>
      <c r="C218">
        <f>1/COUNTIF(pizza_sales[[#All],[order_id]],pizza_sales[[#This Row],[order_id]])</f>
        <v>0.1111111111111111</v>
      </c>
      <c r="D218" t="s">
        <v>36</v>
      </c>
      <c r="E218">
        <v>1</v>
      </c>
      <c r="F218" s="1">
        <v>42006</v>
      </c>
      <c r="G218" s="1" t="str">
        <f>TEXT(pizza_sales[[#This Row],[order_date]],"dddd")</f>
        <v>Friday</v>
      </c>
      <c r="H218" s="2">
        <v>36526.636828703704</v>
      </c>
      <c r="I218">
        <v>16.5</v>
      </c>
      <c r="J218">
        <v>16.5</v>
      </c>
      <c r="K218" t="s">
        <v>13</v>
      </c>
      <c r="L218" t="s">
        <v>26</v>
      </c>
      <c r="M218" t="s">
        <v>27</v>
      </c>
      <c r="N218" t="s">
        <v>28</v>
      </c>
    </row>
    <row r="219" spans="1:14" x14ac:dyDescent="0.3">
      <c r="A219">
        <v>218</v>
      </c>
      <c r="B219">
        <v>92</v>
      </c>
      <c r="C219">
        <f>1/COUNTIF(pizza_sales[[#All],[order_id]],pizza_sales[[#This Row],[order_id]])</f>
        <v>0.1111111111111111</v>
      </c>
      <c r="D219" t="s">
        <v>100</v>
      </c>
      <c r="E219">
        <v>1</v>
      </c>
      <c r="F219" s="1">
        <v>42006</v>
      </c>
      <c r="G219" s="1" t="str">
        <f>TEXT(pizza_sales[[#This Row],[order_date]],"dddd")</f>
        <v>Friday</v>
      </c>
      <c r="H219" s="2">
        <v>36526.636828703704</v>
      </c>
      <c r="I219">
        <v>12.75</v>
      </c>
      <c r="J219">
        <v>12.75</v>
      </c>
      <c r="K219" t="s">
        <v>41</v>
      </c>
      <c r="L219" t="s">
        <v>22</v>
      </c>
      <c r="M219" t="s">
        <v>101</v>
      </c>
      <c r="N219" t="s">
        <v>102</v>
      </c>
    </row>
    <row r="220" spans="1:14" x14ac:dyDescent="0.3">
      <c r="A220">
        <v>219</v>
      </c>
      <c r="B220">
        <v>92</v>
      </c>
      <c r="C220">
        <f>1/COUNTIF(pizza_sales[[#All],[order_id]],pizza_sales[[#This Row],[order_id]])</f>
        <v>0.1111111111111111</v>
      </c>
      <c r="D220" t="s">
        <v>119</v>
      </c>
      <c r="E220">
        <v>1</v>
      </c>
      <c r="F220" s="1">
        <v>42006</v>
      </c>
      <c r="G220" s="1" t="str">
        <f>TEXT(pizza_sales[[#This Row],[order_date]],"dddd")</f>
        <v>Friday</v>
      </c>
      <c r="H220" s="2">
        <v>36526.636828703704</v>
      </c>
      <c r="I220">
        <v>12.5</v>
      </c>
      <c r="J220">
        <v>12.5</v>
      </c>
      <c r="K220" t="s">
        <v>13</v>
      </c>
      <c r="L220" t="s">
        <v>14</v>
      </c>
      <c r="M220" t="s">
        <v>78</v>
      </c>
      <c r="N220" t="s">
        <v>79</v>
      </c>
    </row>
    <row r="221" spans="1:14" x14ac:dyDescent="0.3">
      <c r="A221">
        <v>220</v>
      </c>
      <c r="B221">
        <v>92</v>
      </c>
      <c r="C221">
        <f>1/COUNTIF(pizza_sales[[#All],[order_id]],pizza_sales[[#This Row],[order_id]])</f>
        <v>0.1111111111111111</v>
      </c>
      <c r="D221" t="s">
        <v>133</v>
      </c>
      <c r="E221">
        <v>1</v>
      </c>
      <c r="F221" s="1">
        <v>42006</v>
      </c>
      <c r="G221" s="1" t="str">
        <f>TEXT(pizza_sales[[#This Row],[order_date]],"dddd")</f>
        <v>Friday</v>
      </c>
      <c r="H221" s="2">
        <v>36526.636828703704</v>
      </c>
      <c r="I221">
        <v>16.5</v>
      </c>
      <c r="J221">
        <v>16.5</v>
      </c>
      <c r="K221" t="s">
        <v>13</v>
      </c>
      <c r="L221" t="s">
        <v>26</v>
      </c>
      <c r="M221" t="s">
        <v>107</v>
      </c>
      <c r="N221" t="s">
        <v>108</v>
      </c>
    </row>
    <row r="222" spans="1:14" x14ac:dyDescent="0.3">
      <c r="A222">
        <v>221</v>
      </c>
      <c r="B222">
        <v>92</v>
      </c>
      <c r="C222">
        <f>1/COUNTIF(pizza_sales[[#All],[order_id]],pizza_sales[[#This Row],[order_id]])</f>
        <v>0.1111111111111111</v>
      </c>
      <c r="D222" t="s">
        <v>157</v>
      </c>
      <c r="E222">
        <v>1</v>
      </c>
      <c r="F222" s="1">
        <v>42006</v>
      </c>
      <c r="G222" s="1" t="str">
        <f>TEXT(pizza_sales[[#This Row],[order_date]],"dddd")</f>
        <v>Friday</v>
      </c>
      <c r="H222" s="2">
        <v>36526.636828703704</v>
      </c>
      <c r="I222">
        <v>12</v>
      </c>
      <c r="J222">
        <v>12</v>
      </c>
      <c r="K222" t="s">
        <v>41</v>
      </c>
      <c r="L222" t="s">
        <v>22</v>
      </c>
      <c r="M222" t="s">
        <v>110</v>
      </c>
      <c r="N222" t="s">
        <v>111</v>
      </c>
    </row>
    <row r="223" spans="1:14" x14ac:dyDescent="0.3">
      <c r="A223">
        <v>222</v>
      </c>
      <c r="B223">
        <v>92</v>
      </c>
      <c r="C223">
        <f>1/COUNTIF(pizza_sales[[#All],[order_id]],pizza_sales[[#This Row],[order_id]])</f>
        <v>0.1111111111111111</v>
      </c>
      <c r="D223" t="s">
        <v>47</v>
      </c>
      <c r="E223">
        <v>1</v>
      </c>
      <c r="F223" s="1">
        <v>42006</v>
      </c>
      <c r="G223" s="1" t="str">
        <f>TEXT(pizza_sales[[#This Row],[order_date]],"dddd")</f>
        <v>Friday</v>
      </c>
      <c r="H223" s="2">
        <v>36526.636828703704</v>
      </c>
      <c r="I223">
        <v>12.5</v>
      </c>
      <c r="J223">
        <v>12.5</v>
      </c>
      <c r="K223" t="s">
        <v>41</v>
      </c>
      <c r="L223" t="s">
        <v>26</v>
      </c>
      <c r="M223" t="s">
        <v>48</v>
      </c>
      <c r="N223" t="s">
        <v>49</v>
      </c>
    </row>
    <row r="224" spans="1:14" x14ac:dyDescent="0.3">
      <c r="A224">
        <v>223</v>
      </c>
      <c r="B224">
        <v>92</v>
      </c>
      <c r="C224">
        <f>1/COUNTIF(pizza_sales[[#All],[order_id]],pizza_sales[[#This Row],[order_id]])</f>
        <v>0.1111111111111111</v>
      </c>
      <c r="D224" t="s">
        <v>155</v>
      </c>
      <c r="E224">
        <v>2</v>
      </c>
      <c r="F224" s="1">
        <v>42006</v>
      </c>
      <c r="G224" s="1" t="str">
        <f>TEXT(pizza_sales[[#This Row],[order_date]],"dddd")</f>
        <v>Friday</v>
      </c>
      <c r="H224" s="2">
        <v>36526.636828703704</v>
      </c>
      <c r="I224">
        <v>16</v>
      </c>
      <c r="J224">
        <v>32</v>
      </c>
      <c r="K224" t="s">
        <v>13</v>
      </c>
      <c r="L224" t="s">
        <v>14</v>
      </c>
      <c r="M224" t="s">
        <v>45</v>
      </c>
      <c r="N224" t="s">
        <v>46</v>
      </c>
    </row>
    <row r="225" spans="1:14" x14ac:dyDescent="0.3">
      <c r="A225">
        <v>224</v>
      </c>
      <c r="B225">
        <v>93</v>
      </c>
      <c r="C225">
        <f>1/COUNTIF(pizza_sales[[#All],[order_id]],pizza_sales[[#This Row],[order_id]])</f>
        <v>1</v>
      </c>
      <c r="D225" t="s">
        <v>121</v>
      </c>
      <c r="E225">
        <v>1</v>
      </c>
      <c r="F225" s="1">
        <v>42006</v>
      </c>
      <c r="G225" s="1" t="str">
        <f>TEXT(pizza_sales[[#This Row],[order_date]],"dddd")</f>
        <v>Friday</v>
      </c>
      <c r="H225" s="2">
        <v>36526.645497685182</v>
      </c>
      <c r="I225">
        <v>16.25</v>
      </c>
      <c r="J225">
        <v>16.25</v>
      </c>
      <c r="K225" t="s">
        <v>13</v>
      </c>
      <c r="L225" t="s">
        <v>26</v>
      </c>
      <c r="M225" t="s">
        <v>114</v>
      </c>
      <c r="N225" t="s">
        <v>115</v>
      </c>
    </row>
    <row r="226" spans="1:14" x14ac:dyDescent="0.3">
      <c r="A226">
        <v>225</v>
      </c>
      <c r="B226">
        <v>94</v>
      </c>
      <c r="C226">
        <f>1/COUNTIF(pizza_sales[[#All],[order_id]],pizza_sales[[#This Row],[order_id]])</f>
        <v>0.5</v>
      </c>
      <c r="D226" t="s">
        <v>116</v>
      </c>
      <c r="E226">
        <v>1</v>
      </c>
      <c r="F226" s="1">
        <v>42006</v>
      </c>
      <c r="G226" s="1" t="str">
        <f>TEXT(pizza_sales[[#This Row],[order_date]],"dddd")</f>
        <v>Friday</v>
      </c>
      <c r="H226" s="2">
        <v>36526.678657407407</v>
      </c>
      <c r="I226">
        <v>16</v>
      </c>
      <c r="J226">
        <v>16</v>
      </c>
      <c r="K226" t="s">
        <v>13</v>
      </c>
      <c r="L226" t="s">
        <v>14</v>
      </c>
      <c r="M226" t="s">
        <v>55</v>
      </c>
      <c r="N226" t="s">
        <v>56</v>
      </c>
    </row>
    <row r="227" spans="1:14" x14ac:dyDescent="0.3">
      <c r="A227">
        <v>226</v>
      </c>
      <c r="B227">
        <v>94</v>
      </c>
      <c r="C227">
        <f>1/COUNTIF(pizza_sales[[#All],[order_id]],pizza_sales[[#This Row],[order_id]])</f>
        <v>0.5</v>
      </c>
      <c r="D227" t="s">
        <v>117</v>
      </c>
      <c r="E227">
        <v>1</v>
      </c>
      <c r="F227" s="1">
        <v>42006</v>
      </c>
      <c r="G227" s="1" t="str">
        <f>TEXT(pizza_sales[[#This Row],[order_date]],"dddd")</f>
        <v>Friday</v>
      </c>
      <c r="H227" s="2">
        <v>36526.678657407407</v>
      </c>
      <c r="I227">
        <v>12.75</v>
      </c>
      <c r="J227">
        <v>12.75</v>
      </c>
      <c r="K227" t="s">
        <v>41</v>
      </c>
      <c r="L227" t="s">
        <v>33</v>
      </c>
      <c r="M227" t="s">
        <v>70</v>
      </c>
      <c r="N227" t="s">
        <v>71</v>
      </c>
    </row>
    <row r="228" spans="1:14" x14ac:dyDescent="0.3">
      <c r="A228">
        <v>227</v>
      </c>
      <c r="B228">
        <v>95</v>
      </c>
      <c r="C228">
        <f>1/COUNTIF(pizza_sales[[#All],[order_id]],pizza_sales[[#This Row],[order_id]])</f>
        <v>0.5</v>
      </c>
      <c r="D228" t="s">
        <v>93</v>
      </c>
      <c r="E228">
        <v>1</v>
      </c>
      <c r="F228" s="1">
        <v>42006</v>
      </c>
      <c r="G228" s="1" t="str">
        <f>TEXT(pizza_sales[[#This Row],[order_date]],"dddd")</f>
        <v>Friday</v>
      </c>
      <c r="H228" s="2">
        <v>36526.679212962961</v>
      </c>
      <c r="I228">
        <v>12</v>
      </c>
      <c r="J228">
        <v>12</v>
      </c>
      <c r="K228" t="s">
        <v>41</v>
      </c>
      <c r="L228" t="s">
        <v>14</v>
      </c>
      <c r="M228" t="s">
        <v>94</v>
      </c>
      <c r="N228" t="s">
        <v>95</v>
      </c>
    </row>
    <row r="229" spans="1:14" x14ac:dyDescent="0.3">
      <c r="A229">
        <v>228</v>
      </c>
      <c r="B229">
        <v>95</v>
      </c>
      <c r="C229">
        <f>1/COUNTIF(pizza_sales[[#All],[order_id]],pizza_sales[[#This Row],[order_id]])</f>
        <v>0.5</v>
      </c>
      <c r="D229" t="s">
        <v>135</v>
      </c>
      <c r="E229">
        <v>1</v>
      </c>
      <c r="F229" s="1">
        <v>42006</v>
      </c>
      <c r="G229" s="1" t="str">
        <f>TEXT(pizza_sales[[#This Row],[order_date]],"dddd")</f>
        <v>Friday</v>
      </c>
      <c r="H229" s="2">
        <v>36526.679212962961</v>
      </c>
      <c r="I229">
        <v>20.75</v>
      </c>
      <c r="J229">
        <v>20.75</v>
      </c>
      <c r="K229" t="s">
        <v>21</v>
      </c>
      <c r="L229" t="s">
        <v>26</v>
      </c>
      <c r="M229" t="s">
        <v>107</v>
      </c>
      <c r="N229" t="s">
        <v>108</v>
      </c>
    </row>
    <row r="230" spans="1:14" x14ac:dyDescent="0.3">
      <c r="A230">
        <v>229</v>
      </c>
      <c r="B230">
        <v>96</v>
      </c>
      <c r="C230">
        <f>1/COUNTIF(pizza_sales[[#All],[order_id]],pizza_sales[[#This Row],[order_id]])</f>
        <v>1</v>
      </c>
      <c r="D230" t="s">
        <v>93</v>
      </c>
      <c r="E230">
        <v>1</v>
      </c>
      <c r="F230" s="1">
        <v>42006</v>
      </c>
      <c r="G230" s="1" t="str">
        <f>TEXT(pizza_sales[[#This Row],[order_date]],"dddd")</f>
        <v>Friday</v>
      </c>
      <c r="H230" s="2">
        <v>36526.681481481479</v>
      </c>
      <c r="I230">
        <v>12</v>
      </c>
      <c r="J230">
        <v>12</v>
      </c>
      <c r="K230" t="s">
        <v>41</v>
      </c>
      <c r="L230" t="s">
        <v>14</v>
      </c>
      <c r="M230" t="s">
        <v>94</v>
      </c>
      <c r="N230" t="s">
        <v>95</v>
      </c>
    </row>
    <row r="231" spans="1:14" x14ac:dyDescent="0.3">
      <c r="A231">
        <v>230</v>
      </c>
      <c r="B231">
        <v>97</v>
      </c>
      <c r="C231">
        <f>1/COUNTIF(pizza_sales[[#All],[order_id]],pizza_sales[[#This Row],[order_id]])</f>
        <v>1</v>
      </c>
      <c r="D231" t="s">
        <v>84</v>
      </c>
      <c r="E231">
        <v>1</v>
      </c>
      <c r="F231" s="1">
        <v>42006</v>
      </c>
      <c r="G231" s="1" t="str">
        <f>TEXT(pizza_sales[[#This Row],[order_date]],"dddd")</f>
        <v>Friday</v>
      </c>
      <c r="H231" s="2">
        <v>36526.698298611111</v>
      </c>
      <c r="I231">
        <v>12</v>
      </c>
      <c r="J231">
        <v>12</v>
      </c>
      <c r="K231" t="s">
        <v>41</v>
      </c>
      <c r="L231" t="s">
        <v>14</v>
      </c>
      <c r="M231" t="s">
        <v>85</v>
      </c>
      <c r="N231" t="s">
        <v>86</v>
      </c>
    </row>
    <row r="232" spans="1:14" x14ac:dyDescent="0.3">
      <c r="A232">
        <v>231</v>
      </c>
      <c r="B232">
        <v>98</v>
      </c>
      <c r="C232">
        <f>1/COUNTIF(pizza_sales[[#All],[order_id]],pizza_sales[[#This Row],[order_id]])</f>
        <v>0.5</v>
      </c>
      <c r="D232" t="s">
        <v>138</v>
      </c>
      <c r="E232">
        <v>1</v>
      </c>
      <c r="F232" s="1">
        <v>42006</v>
      </c>
      <c r="G232" s="1" t="str">
        <f>TEXT(pizza_sales[[#This Row],[order_date]],"dddd")</f>
        <v>Friday</v>
      </c>
      <c r="H232" s="2">
        <v>36526.721041666664</v>
      </c>
      <c r="I232">
        <v>20.5</v>
      </c>
      <c r="J232">
        <v>20.5</v>
      </c>
      <c r="K232" t="s">
        <v>21</v>
      </c>
      <c r="L232" t="s">
        <v>14</v>
      </c>
      <c r="M232" t="s">
        <v>18</v>
      </c>
      <c r="N232" t="s">
        <v>19</v>
      </c>
    </row>
    <row r="233" spans="1:14" x14ac:dyDescent="0.3">
      <c r="A233">
        <v>232</v>
      </c>
      <c r="B233">
        <v>98</v>
      </c>
      <c r="C233">
        <f>1/COUNTIF(pizza_sales[[#All],[order_id]],pizza_sales[[#This Row],[order_id]])</f>
        <v>0.5</v>
      </c>
      <c r="D233" t="s">
        <v>112</v>
      </c>
      <c r="E233">
        <v>1</v>
      </c>
      <c r="F233" s="1">
        <v>42006</v>
      </c>
      <c r="G233" s="1" t="str">
        <f>TEXT(pizza_sales[[#This Row],[order_date]],"dddd")</f>
        <v>Friday</v>
      </c>
      <c r="H233" s="2">
        <v>36526.721041666664</v>
      </c>
      <c r="I233">
        <v>20.5</v>
      </c>
      <c r="J233">
        <v>20.5</v>
      </c>
      <c r="K233" t="s">
        <v>21</v>
      </c>
      <c r="L233" t="s">
        <v>14</v>
      </c>
      <c r="M233" t="s">
        <v>94</v>
      </c>
      <c r="N233" t="s">
        <v>95</v>
      </c>
    </row>
    <row r="234" spans="1:14" x14ac:dyDescent="0.3">
      <c r="A234">
        <v>233</v>
      </c>
      <c r="B234">
        <v>99</v>
      </c>
      <c r="C234">
        <f>1/COUNTIF(pizza_sales[[#All],[order_id]],pizza_sales[[#This Row],[order_id]])</f>
        <v>1</v>
      </c>
      <c r="D234" t="s">
        <v>25</v>
      </c>
      <c r="E234">
        <v>1</v>
      </c>
      <c r="F234" s="1">
        <v>42006</v>
      </c>
      <c r="G234" s="1" t="str">
        <f>TEXT(pizza_sales[[#This Row],[order_date]],"dddd")</f>
        <v>Friday</v>
      </c>
      <c r="H234" s="2">
        <v>36526.740069444444</v>
      </c>
      <c r="I234">
        <v>20.75</v>
      </c>
      <c r="J234">
        <v>20.75</v>
      </c>
      <c r="K234" t="s">
        <v>21</v>
      </c>
      <c r="L234" t="s">
        <v>26</v>
      </c>
      <c r="M234" t="s">
        <v>27</v>
      </c>
      <c r="N234" t="s">
        <v>28</v>
      </c>
    </row>
    <row r="235" spans="1:14" x14ac:dyDescent="0.3">
      <c r="A235">
        <v>234</v>
      </c>
      <c r="B235">
        <v>100</v>
      </c>
      <c r="C235">
        <f>1/COUNTIF(pizza_sales[[#All],[order_id]],pizza_sales[[#This Row],[order_id]])</f>
        <v>1</v>
      </c>
      <c r="D235" t="s">
        <v>142</v>
      </c>
      <c r="E235">
        <v>1</v>
      </c>
      <c r="F235" s="1">
        <v>42006</v>
      </c>
      <c r="G235" s="1" t="str">
        <f>TEXT(pizza_sales[[#This Row],[order_date]],"dddd")</f>
        <v>Friday</v>
      </c>
      <c r="H235" s="2">
        <v>36526.740474537037</v>
      </c>
      <c r="I235">
        <v>16.5</v>
      </c>
      <c r="J235">
        <v>16.5</v>
      </c>
      <c r="K235" t="s">
        <v>21</v>
      </c>
      <c r="L235" t="s">
        <v>14</v>
      </c>
      <c r="M235" t="s">
        <v>15</v>
      </c>
      <c r="N235" t="s">
        <v>16</v>
      </c>
    </row>
    <row r="236" spans="1:14" x14ac:dyDescent="0.3">
      <c r="A236">
        <v>235</v>
      </c>
      <c r="B236">
        <v>101</v>
      </c>
      <c r="C236">
        <f>1/COUNTIF(pizza_sales[[#All],[order_id]],pizza_sales[[#This Row],[order_id]])</f>
        <v>0.25</v>
      </c>
      <c r="D236" t="s">
        <v>73</v>
      </c>
      <c r="E236">
        <v>1</v>
      </c>
      <c r="F236" s="1">
        <v>42006</v>
      </c>
      <c r="G236" s="1" t="str">
        <f>TEXT(pizza_sales[[#This Row],[order_date]],"dddd")</f>
        <v>Friday</v>
      </c>
      <c r="H236" s="2">
        <v>36526.744131944448</v>
      </c>
      <c r="I236">
        <v>20.75</v>
      </c>
      <c r="J236">
        <v>20.75</v>
      </c>
      <c r="K236" t="s">
        <v>21</v>
      </c>
      <c r="L236" t="s">
        <v>33</v>
      </c>
      <c r="M236" t="s">
        <v>74</v>
      </c>
      <c r="N236" t="s">
        <v>75</v>
      </c>
    </row>
    <row r="237" spans="1:14" x14ac:dyDescent="0.3">
      <c r="A237">
        <v>236</v>
      </c>
      <c r="B237">
        <v>101</v>
      </c>
      <c r="C237">
        <f>1/COUNTIF(pizza_sales[[#All],[order_id]],pizza_sales[[#This Row],[order_id]])</f>
        <v>0.25</v>
      </c>
      <c r="D237" t="s">
        <v>77</v>
      </c>
      <c r="E237">
        <v>1</v>
      </c>
      <c r="F237" s="1">
        <v>42006</v>
      </c>
      <c r="G237" s="1" t="str">
        <f>TEXT(pizza_sales[[#This Row],[order_date]],"dddd")</f>
        <v>Friday</v>
      </c>
      <c r="H237" s="2">
        <v>36526.744131944448</v>
      </c>
      <c r="I237">
        <v>15.25</v>
      </c>
      <c r="J237">
        <v>15.25</v>
      </c>
      <c r="K237" t="s">
        <v>21</v>
      </c>
      <c r="L237" t="s">
        <v>14</v>
      </c>
      <c r="M237" t="s">
        <v>78</v>
      </c>
      <c r="N237" t="s">
        <v>79</v>
      </c>
    </row>
    <row r="238" spans="1:14" x14ac:dyDescent="0.3">
      <c r="A238">
        <v>237</v>
      </c>
      <c r="B238">
        <v>101</v>
      </c>
      <c r="C238">
        <f>1/COUNTIF(pizza_sales[[#All],[order_id]],pizza_sales[[#This Row],[order_id]])</f>
        <v>0.25</v>
      </c>
      <c r="D238" t="s">
        <v>87</v>
      </c>
      <c r="E238">
        <v>1</v>
      </c>
      <c r="F238" s="1">
        <v>42006</v>
      </c>
      <c r="G238" s="1" t="str">
        <f>TEXT(pizza_sales[[#This Row],[order_date]],"dddd")</f>
        <v>Friday</v>
      </c>
      <c r="H238" s="2">
        <v>36526.744131944448</v>
      </c>
      <c r="I238">
        <v>20.75</v>
      </c>
      <c r="J238">
        <v>20.75</v>
      </c>
      <c r="K238" t="s">
        <v>21</v>
      </c>
      <c r="L238" t="s">
        <v>26</v>
      </c>
      <c r="M238" t="s">
        <v>88</v>
      </c>
      <c r="N238" t="s">
        <v>89</v>
      </c>
    </row>
    <row r="239" spans="1:14" x14ac:dyDescent="0.3">
      <c r="A239">
        <v>238</v>
      </c>
      <c r="B239">
        <v>101</v>
      </c>
      <c r="C239">
        <f>1/COUNTIF(pizza_sales[[#All],[order_id]],pizza_sales[[#This Row],[order_id]])</f>
        <v>0.25</v>
      </c>
      <c r="D239" t="s">
        <v>158</v>
      </c>
      <c r="E239">
        <v>1</v>
      </c>
      <c r="F239" s="1">
        <v>42006</v>
      </c>
      <c r="G239" s="1" t="str">
        <f>TEXT(pizza_sales[[#This Row],[order_date]],"dddd")</f>
        <v>Friday</v>
      </c>
      <c r="H239" s="2">
        <v>36526.744131944448</v>
      </c>
      <c r="I239">
        <v>16.5</v>
      </c>
      <c r="J239">
        <v>16.5</v>
      </c>
      <c r="K239" t="s">
        <v>13</v>
      </c>
      <c r="L239" t="s">
        <v>26</v>
      </c>
      <c r="M239" t="s">
        <v>60</v>
      </c>
      <c r="N239" t="s">
        <v>61</v>
      </c>
    </row>
    <row r="240" spans="1:14" x14ac:dyDescent="0.3">
      <c r="A240">
        <v>239</v>
      </c>
      <c r="B240">
        <v>102</v>
      </c>
      <c r="C240">
        <f>1/COUNTIF(pizza_sales[[#All],[order_id]],pizza_sales[[#This Row],[order_id]])</f>
        <v>0.5</v>
      </c>
      <c r="D240" t="s">
        <v>40</v>
      </c>
      <c r="E240">
        <v>1</v>
      </c>
      <c r="F240" s="1">
        <v>42006</v>
      </c>
      <c r="G240" s="1" t="str">
        <f>TEXT(pizza_sales[[#This Row],[order_date]],"dddd")</f>
        <v>Friday</v>
      </c>
      <c r="H240" s="2">
        <v>36526.745879629627</v>
      </c>
      <c r="I240">
        <v>12.75</v>
      </c>
      <c r="J240">
        <v>12.75</v>
      </c>
      <c r="K240" t="s">
        <v>41</v>
      </c>
      <c r="L240" t="s">
        <v>33</v>
      </c>
      <c r="M240" t="s">
        <v>42</v>
      </c>
      <c r="N240" t="s">
        <v>43</v>
      </c>
    </row>
    <row r="241" spans="1:14" x14ac:dyDescent="0.3">
      <c r="A241">
        <v>240</v>
      </c>
      <c r="B241">
        <v>102</v>
      </c>
      <c r="C241">
        <f>1/COUNTIF(pizza_sales[[#All],[order_id]],pizza_sales[[#This Row],[order_id]])</f>
        <v>0.5</v>
      </c>
      <c r="D241" t="s">
        <v>120</v>
      </c>
      <c r="E241">
        <v>1</v>
      </c>
      <c r="F241" s="1">
        <v>42006</v>
      </c>
      <c r="G241" s="1" t="str">
        <f>TEXT(pizza_sales[[#This Row],[order_date]],"dddd")</f>
        <v>Friday</v>
      </c>
      <c r="H241" s="2">
        <v>36526.745879629627</v>
      </c>
      <c r="I241">
        <v>12.5</v>
      </c>
      <c r="J241">
        <v>12.5</v>
      </c>
      <c r="K241" t="s">
        <v>41</v>
      </c>
      <c r="L241" t="s">
        <v>26</v>
      </c>
      <c r="M241" t="s">
        <v>38</v>
      </c>
      <c r="N241" t="s">
        <v>39</v>
      </c>
    </row>
    <row r="242" spans="1:14" x14ac:dyDescent="0.3">
      <c r="A242">
        <v>241</v>
      </c>
      <c r="B242">
        <v>103</v>
      </c>
      <c r="C242">
        <f>1/COUNTIF(pizza_sales[[#All],[order_id]],pizza_sales[[#This Row],[order_id]])</f>
        <v>1</v>
      </c>
      <c r="D242" t="s">
        <v>47</v>
      </c>
      <c r="E242">
        <v>1</v>
      </c>
      <c r="F242" s="1">
        <v>42006</v>
      </c>
      <c r="G242" s="1" t="str">
        <f>TEXT(pizza_sales[[#This Row],[order_date]],"dddd")</f>
        <v>Friday</v>
      </c>
      <c r="H242" s="2">
        <v>36526.751493055555</v>
      </c>
      <c r="I242">
        <v>12.5</v>
      </c>
      <c r="J242">
        <v>12.5</v>
      </c>
      <c r="K242" t="s">
        <v>41</v>
      </c>
      <c r="L242" t="s">
        <v>26</v>
      </c>
      <c r="M242" t="s">
        <v>48</v>
      </c>
      <c r="N242" t="s">
        <v>49</v>
      </c>
    </row>
    <row r="243" spans="1:14" x14ac:dyDescent="0.3">
      <c r="A243">
        <v>242</v>
      </c>
      <c r="B243">
        <v>104</v>
      </c>
      <c r="C243">
        <f>1/COUNTIF(pizza_sales[[#All],[order_id]],pizza_sales[[#This Row],[order_id]])</f>
        <v>0.25</v>
      </c>
      <c r="D243" t="s">
        <v>118</v>
      </c>
      <c r="E243">
        <v>1</v>
      </c>
      <c r="F243" s="1">
        <v>42006</v>
      </c>
      <c r="G243" s="1" t="str">
        <f>TEXT(pizza_sales[[#This Row],[order_date]],"dddd")</f>
        <v>Friday</v>
      </c>
      <c r="H243" s="2">
        <v>36526.751527777778</v>
      </c>
      <c r="I243">
        <v>16.75</v>
      </c>
      <c r="J243">
        <v>16.75</v>
      </c>
      <c r="K243" t="s">
        <v>13</v>
      </c>
      <c r="L243" t="s">
        <v>33</v>
      </c>
      <c r="M243" t="s">
        <v>42</v>
      </c>
      <c r="N243" t="s">
        <v>43</v>
      </c>
    </row>
    <row r="244" spans="1:14" x14ac:dyDescent="0.3">
      <c r="A244">
        <v>243</v>
      </c>
      <c r="B244">
        <v>104</v>
      </c>
      <c r="C244">
        <f>1/COUNTIF(pizza_sales[[#All],[order_id]],pizza_sales[[#This Row],[order_id]])</f>
        <v>0.25</v>
      </c>
      <c r="D244" t="s">
        <v>134</v>
      </c>
      <c r="E244">
        <v>1</v>
      </c>
      <c r="F244" s="1">
        <v>42006</v>
      </c>
      <c r="G244" s="1" t="str">
        <f>TEXT(pizza_sales[[#This Row],[order_date]],"dddd")</f>
        <v>Friday</v>
      </c>
      <c r="H244" s="2">
        <v>36526.751527777778</v>
      </c>
      <c r="I244">
        <v>16.75</v>
      </c>
      <c r="J244">
        <v>16.75</v>
      </c>
      <c r="K244" t="s">
        <v>13</v>
      </c>
      <c r="L244" t="s">
        <v>33</v>
      </c>
      <c r="M244" t="s">
        <v>124</v>
      </c>
      <c r="N244" t="s">
        <v>125</v>
      </c>
    </row>
    <row r="245" spans="1:14" x14ac:dyDescent="0.3">
      <c r="A245">
        <v>244</v>
      </c>
      <c r="B245">
        <v>104</v>
      </c>
      <c r="C245">
        <f>1/COUNTIF(pizza_sales[[#All],[order_id]],pizza_sales[[#This Row],[order_id]])</f>
        <v>0.25</v>
      </c>
      <c r="D245" t="s">
        <v>159</v>
      </c>
      <c r="E245">
        <v>1</v>
      </c>
      <c r="F245" s="1">
        <v>42006</v>
      </c>
      <c r="G245" s="1" t="str">
        <f>TEXT(pizza_sales[[#This Row],[order_date]],"dddd")</f>
        <v>Friday</v>
      </c>
      <c r="H245" s="2">
        <v>36526.751527777778</v>
      </c>
      <c r="I245">
        <v>16.75</v>
      </c>
      <c r="J245">
        <v>16.75</v>
      </c>
      <c r="K245" t="s">
        <v>13</v>
      </c>
      <c r="L245" t="s">
        <v>22</v>
      </c>
      <c r="M245" t="s">
        <v>101</v>
      </c>
      <c r="N245" t="s">
        <v>102</v>
      </c>
    </row>
    <row r="246" spans="1:14" x14ac:dyDescent="0.3">
      <c r="A246">
        <v>245</v>
      </c>
      <c r="B246">
        <v>104</v>
      </c>
      <c r="C246">
        <f>1/COUNTIF(pizza_sales[[#All],[order_id]],pizza_sales[[#This Row],[order_id]])</f>
        <v>0.25</v>
      </c>
      <c r="D246" t="s">
        <v>122</v>
      </c>
      <c r="E246">
        <v>1</v>
      </c>
      <c r="F246" s="1">
        <v>42006</v>
      </c>
      <c r="G246" s="1" t="str">
        <f>TEXT(pizza_sales[[#This Row],[order_date]],"dddd")</f>
        <v>Friday</v>
      </c>
      <c r="H246" s="2">
        <v>36526.751527777778</v>
      </c>
      <c r="I246">
        <v>20.25</v>
      </c>
      <c r="J246">
        <v>20.25</v>
      </c>
      <c r="K246" t="s">
        <v>21</v>
      </c>
      <c r="L246" t="s">
        <v>22</v>
      </c>
      <c r="M246" t="s">
        <v>66</v>
      </c>
      <c r="N246" t="s">
        <v>67</v>
      </c>
    </row>
    <row r="247" spans="1:14" x14ac:dyDescent="0.3">
      <c r="A247">
        <v>246</v>
      </c>
      <c r="B247">
        <v>105</v>
      </c>
      <c r="C247">
        <f>1/COUNTIF(pizza_sales[[#All],[order_id]],pizza_sales[[#This Row],[order_id]])</f>
        <v>0.33333333333333331</v>
      </c>
      <c r="D247" t="s">
        <v>132</v>
      </c>
      <c r="E247">
        <v>2</v>
      </c>
      <c r="F247" s="1">
        <v>42006</v>
      </c>
      <c r="G247" s="1" t="str">
        <f>TEXT(pizza_sales[[#This Row],[order_date]],"dddd")</f>
        <v>Friday</v>
      </c>
      <c r="H247" s="2">
        <v>36526.758344907408</v>
      </c>
      <c r="I247">
        <v>10.5</v>
      </c>
      <c r="J247">
        <v>21</v>
      </c>
      <c r="K247" t="s">
        <v>41</v>
      </c>
      <c r="L247" t="s">
        <v>14</v>
      </c>
      <c r="M247" t="s">
        <v>15</v>
      </c>
      <c r="N247" t="s">
        <v>16</v>
      </c>
    </row>
    <row r="248" spans="1:14" x14ac:dyDescent="0.3">
      <c r="A248">
        <v>247</v>
      </c>
      <c r="B248">
        <v>105</v>
      </c>
      <c r="C248">
        <f>1/COUNTIF(pizza_sales[[#All],[order_id]],pizza_sales[[#This Row],[order_id]])</f>
        <v>0.33333333333333331</v>
      </c>
      <c r="D248" t="s">
        <v>77</v>
      </c>
      <c r="E248">
        <v>1</v>
      </c>
      <c r="F248" s="1">
        <v>42006</v>
      </c>
      <c r="G248" s="1" t="str">
        <f>TEXT(pizza_sales[[#This Row],[order_date]],"dddd")</f>
        <v>Friday</v>
      </c>
      <c r="H248" s="2">
        <v>36526.758344907408</v>
      </c>
      <c r="I248">
        <v>15.25</v>
      </c>
      <c r="J248">
        <v>15.25</v>
      </c>
      <c r="K248" t="s">
        <v>21</v>
      </c>
      <c r="L248" t="s">
        <v>14</v>
      </c>
      <c r="M248" t="s">
        <v>78</v>
      </c>
      <c r="N248" t="s">
        <v>79</v>
      </c>
    </row>
    <row r="249" spans="1:14" x14ac:dyDescent="0.3">
      <c r="A249">
        <v>248</v>
      </c>
      <c r="B249">
        <v>105</v>
      </c>
      <c r="C249">
        <f>1/COUNTIF(pizza_sales[[#All],[order_id]],pizza_sales[[#This Row],[order_id]])</f>
        <v>0.33333333333333331</v>
      </c>
      <c r="D249" t="s">
        <v>145</v>
      </c>
      <c r="E249">
        <v>1</v>
      </c>
      <c r="F249" s="1">
        <v>42006</v>
      </c>
      <c r="G249" s="1" t="str">
        <f>TEXT(pizza_sales[[#This Row],[order_date]],"dddd")</f>
        <v>Friday</v>
      </c>
      <c r="H249" s="2">
        <v>36526.758344907408</v>
      </c>
      <c r="I249">
        <v>16.5</v>
      </c>
      <c r="J249">
        <v>16.5</v>
      </c>
      <c r="K249" t="s">
        <v>13</v>
      </c>
      <c r="L249" t="s">
        <v>26</v>
      </c>
      <c r="M249" t="s">
        <v>38</v>
      </c>
      <c r="N249" t="s">
        <v>39</v>
      </c>
    </row>
    <row r="250" spans="1:14" x14ac:dyDescent="0.3">
      <c r="A250">
        <v>249</v>
      </c>
      <c r="B250">
        <v>106</v>
      </c>
      <c r="C250">
        <f>1/COUNTIF(pizza_sales[[#All],[order_id]],pizza_sales[[#This Row],[order_id]])</f>
        <v>0.5</v>
      </c>
      <c r="D250" t="s">
        <v>68</v>
      </c>
      <c r="E250">
        <v>1</v>
      </c>
      <c r="F250" s="1">
        <v>42006</v>
      </c>
      <c r="G250" s="1" t="str">
        <f>TEXT(pizza_sales[[#This Row],[order_date]],"dddd")</f>
        <v>Friday</v>
      </c>
      <c r="H250" s="2">
        <v>36526.758483796293</v>
      </c>
      <c r="I250">
        <v>20.25</v>
      </c>
      <c r="J250">
        <v>20.25</v>
      </c>
      <c r="K250" t="s">
        <v>21</v>
      </c>
      <c r="L250" t="s">
        <v>22</v>
      </c>
      <c r="M250" t="s">
        <v>30</v>
      </c>
      <c r="N250" t="s">
        <v>31</v>
      </c>
    </row>
    <row r="251" spans="1:14" x14ac:dyDescent="0.3">
      <c r="A251">
        <v>250</v>
      </c>
      <c r="B251">
        <v>106</v>
      </c>
      <c r="C251">
        <f>1/COUNTIF(pizza_sales[[#All],[order_id]],pizza_sales[[#This Row],[order_id]])</f>
        <v>0.5</v>
      </c>
      <c r="D251" t="s">
        <v>59</v>
      </c>
      <c r="E251">
        <v>1</v>
      </c>
      <c r="F251" s="1">
        <v>42006</v>
      </c>
      <c r="G251" s="1" t="str">
        <f>TEXT(pizza_sales[[#This Row],[order_date]],"dddd")</f>
        <v>Friday</v>
      </c>
      <c r="H251" s="2">
        <v>36526.758483796293</v>
      </c>
      <c r="I251">
        <v>20.75</v>
      </c>
      <c r="J251">
        <v>20.75</v>
      </c>
      <c r="K251" t="s">
        <v>21</v>
      </c>
      <c r="L251" t="s">
        <v>26</v>
      </c>
      <c r="M251" t="s">
        <v>60</v>
      </c>
      <c r="N251" t="s">
        <v>61</v>
      </c>
    </row>
    <row r="252" spans="1:14" x14ac:dyDescent="0.3">
      <c r="A252">
        <v>251</v>
      </c>
      <c r="B252">
        <v>107</v>
      </c>
      <c r="C252">
        <f>1/COUNTIF(pizza_sales[[#All],[order_id]],pizza_sales[[#This Row],[order_id]])</f>
        <v>0.25</v>
      </c>
      <c r="D252" t="s">
        <v>73</v>
      </c>
      <c r="E252">
        <v>1</v>
      </c>
      <c r="F252" s="1">
        <v>42006</v>
      </c>
      <c r="G252" s="1" t="str">
        <f>TEXT(pizza_sales[[#This Row],[order_date]],"dddd")</f>
        <v>Friday</v>
      </c>
      <c r="H252" s="2">
        <v>36526.767465277779</v>
      </c>
      <c r="I252">
        <v>20.75</v>
      </c>
      <c r="J252">
        <v>20.75</v>
      </c>
      <c r="K252" t="s">
        <v>21</v>
      </c>
      <c r="L252" t="s">
        <v>33</v>
      </c>
      <c r="M252" t="s">
        <v>74</v>
      </c>
      <c r="N252" t="s">
        <v>75</v>
      </c>
    </row>
    <row r="253" spans="1:14" x14ac:dyDescent="0.3">
      <c r="A253">
        <v>252</v>
      </c>
      <c r="B253">
        <v>107</v>
      </c>
      <c r="C253">
        <f>1/COUNTIF(pizza_sales[[#All],[order_id]],pizza_sales[[#This Row],[order_id]])</f>
        <v>0.25</v>
      </c>
      <c r="D253" t="s">
        <v>36</v>
      </c>
      <c r="E253">
        <v>1</v>
      </c>
      <c r="F253" s="1">
        <v>42006</v>
      </c>
      <c r="G253" s="1" t="str">
        <f>TEXT(pizza_sales[[#This Row],[order_date]],"dddd")</f>
        <v>Friday</v>
      </c>
      <c r="H253" s="2">
        <v>36526.767465277779</v>
      </c>
      <c r="I253">
        <v>16.5</v>
      </c>
      <c r="J253">
        <v>16.5</v>
      </c>
      <c r="K253" t="s">
        <v>13</v>
      </c>
      <c r="L253" t="s">
        <v>26</v>
      </c>
      <c r="M253" t="s">
        <v>27</v>
      </c>
      <c r="N253" t="s">
        <v>28</v>
      </c>
    </row>
    <row r="254" spans="1:14" x14ac:dyDescent="0.3">
      <c r="A254">
        <v>253</v>
      </c>
      <c r="B254">
        <v>107</v>
      </c>
      <c r="C254">
        <f>1/COUNTIF(pizza_sales[[#All],[order_id]],pizza_sales[[#This Row],[order_id]])</f>
        <v>0.25</v>
      </c>
      <c r="D254" t="s">
        <v>59</v>
      </c>
      <c r="E254">
        <v>1</v>
      </c>
      <c r="F254" s="1">
        <v>42006</v>
      </c>
      <c r="G254" s="1" t="str">
        <f>TEXT(pizza_sales[[#This Row],[order_date]],"dddd")</f>
        <v>Friday</v>
      </c>
      <c r="H254" s="2">
        <v>36526.767465277779</v>
      </c>
      <c r="I254">
        <v>20.75</v>
      </c>
      <c r="J254">
        <v>20.75</v>
      </c>
      <c r="K254" t="s">
        <v>21</v>
      </c>
      <c r="L254" t="s">
        <v>26</v>
      </c>
      <c r="M254" t="s">
        <v>60</v>
      </c>
      <c r="N254" t="s">
        <v>61</v>
      </c>
    </row>
    <row r="255" spans="1:14" x14ac:dyDescent="0.3">
      <c r="A255">
        <v>254</v>
      </c>
      <c r="B255">
        <v>107</v>
      </c>
      <c r="C255">
        <f>1/COUNTIF(pizza_sales[[#All],[order_id]],pizza_sales[[#This Row],[order_id]])</f>
        <v>0.25</v>
      </c>
      <c r="D255" t="s">
        <v>122</v>
      </c>
      <c r="E255">
        <v>1</v>
      </c>
      <c r="F255" s="1">
        <v>42006</v>
      </c>
      <c r="G255" s="1" t="str">
        <f>TEXT(pizza_sales[[#This Row],[order_date]],"dddd")</f>
        <v>Friday</v>
      </c>
      <c r="H255" s="2">
        <v>36526.767465277779</v>
      </c>
      <c r="I255">
        <v>20.25</v>
      </c>
      <c r="J255">
        <v>20.25</v>
      </c>
      <c r="K255" t="s">
        <v>21</v>
      </c>
      <c r="L255" t="s">
        <v>22</v>
      </c>
      <c r="M255" t="s">
        <v>66</v>
      </c>
      <c r="N255" t="s">
        <v>67</v>
      </c>
    </row>
    <row r="256" spans="1:14" x14ac:dyDescent="0.3">
      <c r="A256">
        <v>255</v>
      </c>
      <c r="B256">
        <v>108</v>
      </c>
      <c r="C256">
        <f>1/COUNTIF(pizza_sales[[#All],[order_id]],pizza_sales[[#This Row],[order_id]])</f>
        <v>0.33333333333333331</v>
      </c>
      <c r="D256" t="s">
        <v>138</v>
      </c>
      <c r="E256">
        <v>1</v>
      </c>
      <c r="F256" s="1">
        <v>42006</v>
      </c>
      <c r="G256" s="1" t="str">
        <f>TEXT(pizza_sales[[#This Row],[order_date]],"dddd")</f>
        <v>Friday</v>
      </c>
      <c r="H256" s="2">
        <v>36526.767650462964</v>
      </c>
      <c r="I256">
        <v>20.5</v>
      </c>
      <c r="J256">
        <v>20.5</v>
      </c>
      <c r="K256" t="s">
        <v>21</v>
      </c>
      <c r="L256" t="s">
        <v>14</v>
      </c>
      <c r="M256" t="s">
        <v>18</v>
      </c>
      <c r="N256" t="s">
        <v>19</v>
      </c>
    </row>
    <row r="257" spans="1:14" x14ac:dyDescent="0.3">
      <c r="A257">
        <v>256</v>
      </c>
      <c r="B257">
        <v>108</v>
      </c>
      <c r="C257">
        <f>1/COUNTIF(pizza_sales[[#All],[order_id]],pizza_sales[[#This Row],[order_id]])</f>
        <v>0.33333333333333331</v>
      </c>
      <c r="D257" t="s">
        <v>142</v>
      </c>
      <c r="E257">
        <v>1</v>
      </c>
      <c r="F257" s="1">
        <v>42006</v>
      </c>
      <c r="G257" s="1" t="str">
        <f>TEXT(pizza_sales[[#This Row],[order_date]],"dddd")</f>
        <v>Friday</v>
      </c>
      <c r="H257" s="2">
        <v>36526.767650462964</v>
      </c>
      <c r="I257">
        <v>16.5</v>
      </c>
      <c r="J257">
        <v>16.5</v>
      </c>
      <c r="K257" t="s">
        <v>21</v>
      </c>
      <c r="L257" t="s">
        <v>14</v>
      </c>
      <c r="M257" t="s">
        <v>15</v>
      </c>
      <c r="N257" t="s">
        <v>16</v>
      </c>
    </row>
    <row r="258" spans="1:14" x14ac:dyDescent="0.3">
      <c r="A258">
        <v>257</v>
      </c>
      <c r="B258">
        <v>108</v>
      </c>
      <c r="C258">
        <f>1/COUNTIF(pizza_sales[[#All],[order_id]],pizza_sales[[#This Row],[order_id]])</f>
        <v>0.33333333333333331</v>
      </c>
      <c r="D258" t="s">
        <v>152</v>
      </c>
      <c r="E258">
        <v>1</v>
      </c>
      <c r="F258" s="1">
        <v>42006</v>
      </c>
      <c r="G258" s="1" t="str">
        <f>TEXT(pizza_sales[[#This Row],[order_date]],"dddd")</f>
        <v>Friday</v>
      </c>
      <c r="H258" s="2">
        <v>36526.767650462964</v>
      </c>
      <c r="I258">
        <v>20.75</v>
      </c>
      <c r="J258">
        <v>20.75</v>
      </c>
      <c r="K258" t="s">
        <v>21</v>
      </c>
      <c r="L258" t="s">
        <v>26</v>
      </c>
      <c r="M258" t="s">
        <v>48</v>
      </c>
      <c r="N258" t="s">
        <v>49</v>
      </c>
    </row>
    <row r="259" spans="1:14" x14ac:dyDescent="0.3">
      <c r="A259">
        <v>258</v>
      </c>
      <c r="B259">
        <v>109</v>
      </c>
      <c r="C259">
        <f>1/COUNTIF(pizza_sales[[#All],[order_id]],pizza_sales[[#This Row],[order_id]])</f>
        <v>0.25</v>
      </c>
      <c r="D259" t="s">
        <v>54</v>
      </c>
      <c r="E259">
        <v>1</v>
      </c>
      <c r="F259" s="1">
        <v>42006</v>
      </c>
      <c r="G259" s="1" t="str">
        <f>TEXT(pizza_sales[[#This Row],[order_date]],"dddd")</f>
        <v>Friday</v>
      </c>
      <c r="H259" s="2">
        <v>36526.769328703704</v>
      </c>
      <c r="I259">
        <v>20.5</v>
      </c>
      <c r="J259">
        <v>20.5</v>
      </c>
      <c r="K259" t="s">
        <v>21</v>
      </c>
      <c r="L259" t="s">
        <v>14</v>
      </c>
      <c r="M259" t="s">
        <v>55</v>
      </c>
      <c r="N259" t="s">
        <v>56</v>
      </c>
    </row>
    <row r="260" spans="1:14" x14ac:dyDescent="0.3">
      <c r="A260">
        <v>259</v>
      </c>
      <c r="B260">
        <v>109</v>
      </c>
      <c r="C260">
        <f>1/COUNTIF(pizza_sales[[#All],[order_id]],pizza_sales[[#This Row],[order_id]])</f>
        <v>0.25</v>
      </c>
      <c r="D260" t="s">
        <v>25</v>
      </c>
      <c r="E260">
        <v>1</v>
      </c>
      <c r="F260" s="1">
        <v>42006</v>
      </c>
      <c r="G260" s="1" t="str">
        <f>TEXT(pizza_sales[[#This Row],[order_date]],"dddd")</f>
        <v>Friday</v>
      </c>
      <c r="H260" s="2">
        <v>36526.769328703704</v>
      </c>
      <c r="I260">
        <v>20.75</v>
      </c>
      <c r="J260">
        <v>20.75</v>
      </c>
      <c r="K260" t="s">
        <v>21</v>
      </c>
      <c r="L260" t="s">
        <v>26</v>
      </c>
      <c r="M260" t="s">
        <v>27</v>
      </c>
      <c r="N260" t="s">
        <v>28</v>
      </c>
    </row>
    <row r="261" spans="1:14" x14ac:dyDescent="0.3">
      <c r="A261">
        <v>260</v>
      </c>
      <c r="B261">
        <v>109</v>
      </c>
      <c r="C261">
        <f>1/COUNTIF(pizza_sales[[#All],[order_id]],pizza_sales[[#This Row],[order_id]])</f>
        <v>0.25</v>
      </c>
      <c r="D261" t="s">
        <v>119</v>
      </c>
      <c r="E261">
        <v>1</v>
      </c>
      <c r="F261" s="1">
        <v>42006</v>
      </c>
      <c r="G261" s="1" t="str">
        <f>TEXT(pizza_sales[[#This Row],[order_date]],"dddd")</f>
        <v>Friday</v>
      </c>
      <c r="H261" s="2">
        <v>36526.769328703704</v>
      </c>
      <c r="I261">
        <v>12.5</v>
      </c>
      <c r="J261">
        <v>12.5</v>
      </c>
      <c r="K261" t="s">
        <v>13</v>
      </c>
      <c r="L261" t="s">
        <v>14</v>
      </c>
      <c r="M261" t="s">
        <v>78</v>
      </c>
      <c r="N261" t="s">
        <v>79</v>
      </c>
    </row>
    <row r="262" spans="1:14" x14ac:dyDescent="0.3">
      <c r="A262">
        <v>261</v>
      </c>
      <c r="B262">
        <v>109</v>
      </c>
      <c r="C262">
        <f>1/COUNTIF(pizza_sales[[#All],[order_id]],pizza_sales[[#This Row],[order_id]])</f>
        <v>0.25</v>
      </c>
      <c r="D262" t="s">
        <v>37</v>
      </c>
      <c r="E262">
        <v>1</v>
      </c>
      <c r="F262" s="1">
        <v>42006</v>
      </c>
      <c r="G262" s="1" t="str">
        <f>TEXT(pizza_sales[[#This Row],[order_date]],"dddd")</f>
        <v>Friday</v>
      </c>
      <c r="H262" s="2">
        <v>36526.769328703704</v>
      </c>
      <c r="I262">
        <v>20.75</v>
      </c>
      <c r="J262">
        <v>20.75</v>
      </c>
      <c r="K262" t="s">
        <v>21</v>
      </c>
      <c r="L262" t="s">
        <v>26</v>
      </c>
      <c r="M262" t="s">
        <v>38</v>
      </c>
      <c r="N262" t="s">
        <v>39</v>
      </c>
    </row>
    <row r="263" spans="1:14" x14ac:dyDescent="0.3">
      <c r="A263">
        <v>262</v>
      </c>
      <c r="B263">
        <v>110</v>
      </c>
      <c r="C263">
        <f>1/COUNTIF(pizza_sales[[#All],[order_id]],pizza_sales[[#This Row],[order_id]])</f>
        <v>0.25</v>
      </c>
      <c r="D263" t="s">
        <v>84</v>
      </c>
      <c r="E263">
        <v>1</v>
      </c>
      <c r="F263" s="1">
        <v>42006</v>
      </c>
      <c r="G263" s="1" t="str">
        <f>TEXT(pizza_sales[[#This Row],[order_date]],"dddd")</f>
        <v>Friday</v>
      </c>
      <c r="H263" s="2">
        <v>36526.775219907409</v>
      </c>
      <c r="I263">
        <v>12</v>
      </c>
      <c r="J263">
        <v>12</v>
      </c>
      <c r="K263" t="s">
        <v>41</v>
      </c>
      <c r="L263" t="s">
        <v>14</v>
      </c>
      <c r="M263" t="s">
        <v>85</v>
      </c>
      <c r="N263" t="s">
        <v>86</v>
      </c>
    </row>
    <row r="264" spans="1:14" x14ac:dyDescent="0.3">
      <c r="A264">
        <v>263</v>
      </c>
      <c r="B264">
        <v>110</v>
      </c>
      <c r="C264">
        <f>1/COUNTIF(pizza_sales[[#All],[order_id]],pizza_sales[[#This Row],[order_id]])</f>
        <v>0.25</v>
      </c>
      <c r="D264" t="s">
        <v>112</v>
      </c>
      <c r="E264">
        <v>1</v>
      </c>
      <c r="F264" s="1">
        <v>42006</v>
      </c>
      <c r="G264" s="1" t="str">
        <f>TEXT(pizza_sales[[#This Row],[order_date]],"dddd")</f>
        <v>Friday</v>
      </c>
      <c r="H264" s="2">
        <v>36526.775219907409</v>
      </c>
      <c r="I264">
        <v>20.5</v>
      </c>
      <c r="J264">
        <v>20.5</v>
      </c>
      <c r="K264" t="s">
        <v>21</v>
      </c>
      <c r="L264" t="s">
        <v>14</v>
      </c>
      <c r="M264" t="s">
        <v>94</v>
      </c>
      <c r="N264" t="s">
        <v>95</v>
      </c>
    </row>
    <row r="265" spans="1:14" x14ac:dyDescent="0.3">
      <c r="A265">
        <v>264</v>
      </c>
      <c r="B265">
        <v>110</v>
      </c>
      <c r="C265">
        <f>1/COUNTIF(pizza_sales[[#All],[order_id]],pizza_sales[[#This Row],[order_id]])</f>
        <v>0.25</v>
      </c>
      <c r="D265" t="s">
        <v>87</v>
      </c>
      <c r="E265">
        <v>1</v>
      </c>
      <c r="F265" s="1">
        <v>42006</v>
      </c>
      <c r="G265" s="1" t="str">
        <f>TEXT(pizza_sales[[#This Row],[order_date]],"dddd")</f>
        <v>Friday</v>
      </c>
      <c r="H265" s="2">
        <v>36526.775219907409</v>
      </c>
      <c r="I265">
        <v>20.75</v>
      </c>
      <c r="J265">
        <v>20.75</v>
      </c>
      <c r="K265" t="s">
        <v>21</v>
      </c>
      <c r="L265" t="s">
        <v>26</v>
      </c>
      <c r="M265" t="s">
        <v>88</v>
      </c>
      <c r="N265" t="s">
        <v>89</v>
      </c>
    </row>
    <row r="266" spans="1:14" x14ac:dyDescent="0.3">
      <c r="A266">
        <v>265</v>
      </c>
      <c r="B266">
        <v>110</v>
      </c>
      <c r="C266">
        <f>1/COUNTIF(pizza_sales[[#All],[order_id]],pizza_sales[[#This Row],[order_id]])</f>
        <v>0.25</v>
      </c>
      <c r="D266" t="s">
        <v>150</v>
      </c>
      <c r="E266">
        <v>1</v>
      </c>
      <c r="F266" s="1">
        <v>42006</v>
      </c>
      <c r="G266" s="1" t="str">
        <f>TEXT(pizza_sales[[#This Row],[order_date]],"dddd")</f>
        <v>Friday</v>
      </c>
      <c r="H266" s="2">
        <v>36526.775219907409</v>
      </c>
      <c r="I266">
        <v>12.5</v>
      </c>
      <c r="J266">
        <v>12.5</v>
      </c>
      <c r="K266" t="s">
        <v>41</v>
      </c>
      <c r="L266" t="s">
        <v>26</v>
      </c>
      <c r="M266" t="s">
        <v>60</v>
      </c>
      <c r="N266" t="s">
        <v>61</v>
      </c>
    </row>
    <row r="267" spans="1:14" x14ac:dyDescent="0.3">
      <c r="A267">
        <v>266</v>
      </c>
      <c r="B267">
        <v>111</v>
      </c>
      <c r="C267">
        <f>1/COUNTIF(pizza_sales[[#All],[order_id]],pizza_sales[[#This Row],[order_id]])</f>
        <v>0.25</v>
      </c>
      <c r="D267" t="s">
        <v>76</v>
      </c>
      <c r="E267">
        <v>1</v>
      </c>
      <c r="F267" s="1">
        <v>42006</v>
      </c>
      <c r="G267" s="1" t="str">
        <f>TEXT(pizza_sales[[#This Row],[order_date]],"dddd")</f>
        <v>Friday</v>
      </c>
      <c r="H267" s="2">
        <v>36526.776400462964</v>
      </c>
      <c r="I267">
        <v>16.75</v>
      </c>
      <c r="J267">
        <v>16.75</v>
      </c>
      <c r="K267" t="s">
        <v>13</v>
      </c>
      <c r="L267" t="s">
        <v>33</v>
      </c>
      <c r="M267" t="s">
        <v>74</v>
      </c>
      <c r="N267" t="s">
        <v>75</v>
      </c>
    </row>
    <row r="268" spans="1:14" x14ac:dyDescent="0.3">
      <c r="A268">
        <v>267</v>
      </c>
      <c r="B268">
        <v>111</v>
      </c>
      <c r="C268">
        <f>1/COUNTIF(pizza_sales[[#All],[order_id]],pizza_sales[[#This Row],[order_id]])</f>
        <v>0.25</v>
      </c>
      <c r="D268" t="s">
        <v>20</v>
      </c>
      <c r="E268">
        <v>1</v>
      </c>
      <c r="F268" s="1">
        <v>42006</v>
      </c>
      <c r="G268" s="1" t="str">
        <f>TEXT(pizza_sales[[#This Row],[order_date]],"dddd")</f>
        <v>Friday</v>
      </c>
      <c r="H268" s="2">
        <v>36526.776400462964</v>
      </c>
      <c r="I268">
        <v>18.5</v>
      </c>
      <c r="J268">
        <v>18.5</v>
      </c>
      <c r="K268" t="s">
        <v>21</v>
      </c>
      <c r="L268" t="s">
        <v>22</v>
      </c>
      <c r="M268" t="s">
        <v>23</v>
      </c>
      <c r="N268" t="s">
        <v>24</v>
      </c>
    </row>
    <row r="269" spans="1:14" x14ac:dyDescent="0.3">
      <c r="A269">
        <v>268</v>
      </c>
      <c r="B269">
        <v>111</v>
      </c>
      <c r="C269">
        <f>1/COUNTIF(pizza_sales[[#All],[order_id]],pizza_sales[[#This Row],[order_id]])</f>
        <v>0.25</v>
      </c>
      <c r="D269" t="s">
        <v>119</v>
      </c>
      <c r="E269">
        <v>1</v>
      </c>
      <c r="F269" s="1">
        <v>42006</v>
      </c>
      <c r="G269" s="1" t="str">
        <f>TEXT(pizza_sales[[#This Row],[order_date]],"dddd")</f>
        <v>Friday</v>
      </c>
      <c r="H269" s="2">
        <v>36526.776400462964</v>
      </c>
      <c r="I269">
        <v>12.5</v>
      </c>
      <c r="J269">
        <v>12.5</v>
      </c>
      <c r="K269" t="s">
        <v>13</v>
      </c>
      <c r="L269" t="s">
        <v>14</v>
      </c>
      <c r="M269" t="s">
        <v>78</v>
      </c>
      <c r="N269" t="s">
        <v>79</v>
      </c>
    </row>
    <row r="270" spans="1:14" x14ac:dyDescent="0.3">
      <c r="A270">
        <v>269</v>
      </c>
      <c r="B270">
        <v>111</v>
      </c>
      <c r="C270">
        <f>1/COUNTIF(pizza_sales[[#All],[order_id]],pizza_sales[[#This Row],[order_id]])</f>
        <v>0.25</v>
      </c>
      <c r="D270" t="s">
        <v>62</v>
      </c>
      <c r="E270">
        <v>1</v>
      </c>
      <c r="F270" s="1">
        <v>42006</v>
      </c>
      <c r="G270" s="1" t="str">
        <f>TEXT(pizza_sales[[#This Row],[order_date]],"dddd")</f>
        <v>Friday</v>
      </c>
      <c r="H270" s="2">
        <v>36526.776400462964</v>
      </c>
      <c r="I270">
        <v>20.75</v>
      </c>
      <c r="J270">
        <v>20.75</v>
      </c>
      <c r="K270" t="s">
        <v>21</v>
      </c>
      <c r="L270" t="s">
        <v>22</v>
      </c>
      <c r="M270" t="s">
        <v>63</v>
      </c>
      <c r="N270" t="s">
        <v>64</v>
      </c>
    </row>
    <row r="271" spans="1:14" x14ac:dyDescent="0.3">
      <c r="A271">
        <v>270</v>
      </c>
      <c r="B271">
        <v>112</v>
      </c>
      <c r="C271">
        <f>1/COUNTIF(pizza_sales[[#All],[order_id]],pizza_sales[[#This Row],[order_id]])</f>
        <v>1</v>
      </c>
      <c r="D271" t="s">
        <v>126</v>
      </c>
      <c r="E271">
        <v>1</v>
      </c>
      <c r="F271" s="1">
        <v>42006</v>
      </c>
      <c r="G271" s="1" t="str">
        <f>TEXT(pizza_sales[[#This Row],[order_date]],"dddd")</f>
        <v>Friday</v>
      </c>
      <c r="H271" s="2">
        <v>36526.778935185182</v>
      </c>
      <c r="I271">
        <v>9.75</v>
      </c>
      <c r="J271">
        <v>9.75</v>
      </c>
      <c r="K271" t="s">
        <v>41</v>
      </c>
      <c r="L271" t="s">
        <v>14</v>
      </c>
      <c r="M271" t="s">
        <v>78</v>
      </c>
      <c r="N271" t="s">
        <v>79</v>
      </c>
    </row>
    <row r="272" spans="1:14" x14ac:dyDescent="0.3">
      <c r="A272">
        <v>271</v>
      </c>
      <c r="B272">
        <v>113</v>
      </c>
      <c r="C272">
        <f>1/COUNTIF(pizza_sales[[#All],[order_id]],pizza_sales[[#This Row],[order_id]])</f>
        <v>0.33333333333333331</v>
      </c>
      <c r="D272" t="s">
        <v>73</v>
      </c>
      <c r="E272">
        <v>1</v>
      </c>
      <c r="F272" s="1">
        <v>42006</v>
      </c>
      <c r="G272" s="1" t="str">
        <f>TEXT(pizza_sales[[#This Row],[order_date]],"dddd")</f>
        <v>Friday</v>
      </c>
      <c r="H272" s="2">
        <v>36526.78496527778</v>
      </c>
      <c r="I272">
        <v>20.75</v>
      </c>
      <c r="J272">
        <v>20.75</v>
      </c>
      <c r="K272" t="s">
        <v>21</v>
      </c>
      <c r="L272" t="s">
        <v>33</v>
      </c>
      <c r="M272" t="s">
        <v>74</v>
      </c>
      <c r="N272" t="s">
        <v>75</v>
      </c>
    </row>
    <row r="273" spans="1:14" x14ac:dyDescent="0.3">
      <c r="A273">
        <v>272</v>
      </c>
      <c r="B273">
        <v>113</v>
      </c>
      <c r="C273">
        <f>1/COUNTIF(pizza_sales[[#All],[order_id]],pizza_sales[[#This Row],[order_id]])</f>
        <v>0.33333333333333331</v>
      </c>
      <c r="D273" t="s">
        <v>68</v>
      </c>
      <c r="E273">
        <v>1</v>
      </c>
      <c r="F273" s="1">
        <v>42006</v>
      </c>
      <c r="G273" s="1" t="str">
        <f>TEXT(pizza_sales[[#This Row],[order_date]],"dddd")</f>
        <v>Friday</v>
      </c>
      <c r="H273" s="2">
        <v>36526.78496527778</v>
      </c>
      <c r="I273">
        <v>20.25</v>
      </c>
      <c r="J273">
        <v>20.25</v>
      </c>
      <c r="K273" t="s">
        <v>21</v>
      </c>
      <c r="L273" t="s">
        <v>22</v>
      </c>
      <c r="M273" t="s">
        <v>30</v>
      </c>
      <c r="N273" t="s">
        <v>31</v>
      </c>
    </row>
    <row r="274" spans="1:14" x14ac:dyDescent="0.3">
      <c r="A274">
        <v>273</v>
      </c>
      <c r="B274">
        <v>113</v>
      </c>
      <c r="C274">
        <f>1/COUNTIF(pizza_sales[[#All],[order_id]],pizza_sales[[#This Row],[order_id]])</f>
        <v>0.33333333333333331</v>
      </c>
      <c r="D274" t="s">
        <v>147</v>
      </c>
      <c r="E274">
        <v>1</v>
      </c>
      <c r="F274" s="1">
        <v>42006</v>
      </c>
      <c r="G274" s="1" t="str">
        <f>TEXT(pizza_sales[[#This Row],[order_date]],"dddd")</f>
        <v>Friday</v>
      </c>
      <c r="H274" s="2">
        <v>36526.78496527778</v>
      </c>
      <c r="I274">
        <v>16.75</v>
      </c>
      <c r="J274">
        <v>16.75</v>
      </c>
      <c r="K274" t="s">
        <v>13</v>
      </c>
      <c r="L274" t="s">
        <v>33</v>
      </c>
      <c r="M274" t="s">
        <v>70</v>
      </c>
      <c r="N274" t="s">
        <v>71</v>
      </c>
    </row>
    <row r="275" spans="1:14" x14ac:dyDescent="0.3">
      <c r="A275">
        <v>274</v>
      </c>
      <c r="B275">
        <v>114</v>
      </c>
      <c r="C275">
        <f>1/COUNTIF(pizza_sales[[#All],[order_id]],pizza_sales[[#This Row],[order_id]])</f>
        <v>0.5</v>
      </c>
      <c r="D275" t="s">
        <v>77</v>
      </c>
      <c r="E275">
        <v>1</v>
      </c>
      <c r="F275" s="1">
        <v>42006</v>
      </c>
      <c r="G275" s="1" t="str">
        <f>TEXT(pizza_sales[[#This Row],[order_date]],"dddd")</f>
        <v>Friday</v>
      </c>
      <c r="H275" s="2">
        <v>36526.791342592594</v>
      </c>
      <c r="I275">
        <v>15.25</v>
      </c>
      <c r="J275">
        <v>15.25</v>
      </c>
      <c r="K275" t="s">
        <v>21</v>
      </c>
      <c r="L275" t="s">
        <v>14</v>
      </c>
      <c r="M275" t="s">
        <v>78</v>
      </c>
      <c r="N275" t="s">
        <v>79</v>
      </c>
    </row>
    <row r="276" spans="1:14" x14ac:dyDescent="0.3">
      <c r="A276">
        <v>275</v>
      </c>
      <c r="B276">
        <v>114</v>
      </c>
      <c r="C276">
        <f>1/COUNTIF(pizza_sales[[#All],[order_id]],pizza_sales[[#This Row],[order_id]])</f>
        <v>0.5</v>
      </c>
      <c r="D276" t="s">
        <v>149</v>
      </c>
      <c r="E276">
        <v>1</v>
      </c>
      <c r="F276" s="1">
        <v>42006</v>
      </c>
      <c r="G276" s="1" t="str">
        <f>TEXT(pizza_sales[[#This Row],[order_date]],"dddd")</f>
        <v>Friday</v>
      </c>
      <c r="H276" s="2">
        <v>36526.791342592594</v>
      </c>
      <c r="I276">
        <v>12.25</v>
      </c>
      <c r="J276">
        <v>12.25</v>
      </c>
      <c r="K276" t="s">
        <v>41</v>
      </c>
      <c r="L276" t="s">
        <v>26</v>
      </c>
      <c r="M276" t="s">
        <v>114</v>
      </c>
      <c r="N276" t="s">
        <v>115</v>
      </c>
    </row>
    <row r="277" spans="1:14" x14ac:dyDescent="0.3">
      <c r="A277">
        <v>276</v>
      </c>
      <c r="B277">
        <v>115</v>
      </c>
      <c r="C277">
        <f>1/COUNTIF(pizza_sales[[#All],[order_id]],pizza_sales[[#This Row],[order_id]])</f>
        <v>0.33333333333333331</v>
      </c>
      <c r="D277" t="s">
        <v>84</v>
      </c>
      <c r="E277">
        <v>1</v>
      </c>
      <c r="F277" s="1">
        <v>42006</v>
      </c>
      <c r="G277" s="1" t="str">
        <f>TEXT(pizza_sales[[#This Row],[order_date]],"dddd")</f>
        <v>Friday</v>
      </c>
      <c r="H277" s="2">
        <v>36526.795335648145</v>
      </c>
      <c r="I277">
        <v>12</v>
      </c>
      <c r="J277">
        <v>12</v>
      </c>
      <c r="K277" t="s">
        <v>41</v>
      </c>
      <c r="L277" t="s">
        <v>14</v>
      </c>
      <c r="M277" t="s">
        <v>85</v>
      </c>
      <c r="N277" t="s">
        <v>86</v>
      </c>
    </row>
    <row r="278" spans="1:14" x14ac:dyDescent="0.3">
      <c r="A278">
        <v>277</v>
      </c>
      <c r="B278">
        <v>115</v>
      </c>
      <c r="C278">
        <f>1/COUNTIF(pizza_sales[[#All],[order_id]],pizza_sales[[#This Row],[order_id]])</f>
        <v>0.33333333333333331</v>
      </c>
      <c r="D278" t="s">
        <v>112</v>
      </c>
      <c r="E278">
        <v>1</v>
      </c>
      <c r="F278" s="1">
        <v>42006</v>
      </c>
      <c r="G278" s="1" t="str">
        <f>TEXT(pizza_sales[[#This Row],[order_date]],"dddd")</f>
        <v>Friday</v>
      </c>
      <c r="H278" s="2">
        <v>36526.795335648145</v>
      </c>
      <c r="I278">
        <v>20.5</v>
      </c>
      <c r="J278">
        <v>20.5</v>
      </c>
      <c r="K278" t="s">
        <v>21</v>
      </c>
      <c r="L278" t="s">
        <v>14</v>
      </c>
      <c r="M278" t="s">
        <v>94</v>
      </c>
      <c r="N278" t="s">
        <v>95</v>
      </c>
    </row>
    <row r="279" spans="1:14" x14ac:dyDescent="0.3">
      <c r="A279">
        <v>278</v>
      </c>
      <c r="B279">
        <v>115</v>
      </c>
      <c r="C279">
        <f>1/COUNTIF(pizza_sales[[#All],[order_id]],pizza_sales[[#This Row],[order_id]])</f>
        <v>0.33333333333333331</v>
      </c>
      <c r="D279" t="s">
        <v>137</v>
      </c>
      <c r="E279">
        <v>1</v>
      </c>
      <c r="F279" s="1">
        <v>42006</v>
      </c>
      <c r="G279" s="1" t="str">
        <f>TEXT(pizza_sales[[#This Row],[order_date]],"dddd")</f>
        <v>Friday</v>
      </c>
      <c r="H279" s="2">
        <v>36526.795335648145</v>
      </c>
      <c r="I279">
        <v>16.75</v>
      </c>
      <c r="J279">
        <v>16.75</v>
      </c>
      <c r="K279" t="s">
        <v>13</v>
      </c>
      <c r="L279" t="s">
        <v>33</v>
      </c>
      <c r="M279" t="s">
        <v>34</v>
      </c>
      <c r="N279" t="s">
        <v>35</v>
      </c>
    </row>
    <row r="280" spans="1:14" x14ac:dyDescent="0.3">
      <c r="A280">
        <v>279</v>
      </c>
      <c r="B280">
        <v>116</v>
      </c>
      <c r="C280">
        <f>1/COUNTIF(pizza_sales[[#All],[order_id]],pizza_sales[[#This Row],[order_id]])</f>
        <v>1</v>
      </c>
      <c r="D280" t="s">
        <v>20</v>
      </c>
      <c r="E280">
        <v>1</v>
      </c>
      <c r="F280" s="1">
        <v>42006</v>
      </c>
      <c r="G280" s="1" t="str">
        <f>TEXT(pizza_sales[[#This Row],[order_date]],"dddd")</f>
        <v>Friday</v>
      </c>
      <c r="H280" s="2">
        <v>36526.8047337963</v>
      </c>
      <c r="I280">
        <v>18.5</v>
      </c>
      <c r="J280">
        <v>18.5</v>
      </c>
      <c r="K280" t="s">
        <v>21</v>
      </c>
      <c r="L280" t="s">
        <v>22</v>
      </c>
      <c r="M280" t="s">
        <v>23</v>
      </c>
      <c r="N280" t="s">
        <v>24</v>
      </c>
    </row>
    <row r="281" spans="1:14" x14ac:dyDescent="0.3">
      <c r="A281">
        <v>280</v>
      </c>
      <c r="B281">
        <v>117</v>
      </c>
      <c r="C281">
        <f>1/COUNTIF(pizza_sales[[#All],[order_id]],pizza_sales[[#This Row],[order_id]])</f>
        <v>0.5</v>
      </c>
      <c r="D281" t="s">
        <v>133</v>
      </c>
      <c r="E281">
        <v>1</v>
      </c>
      <c r="F281" s="1">
        <v>42006</v>
      </c>
      <c r="G281" s="1" t="str">
        <f>TEXT(pizza_sales[[#This Row],[order_date]],"dddd")</f>
        <v>Friday</v>
      </c>
      <c r="H281" s="2">
        <v>36526.807662037034</v>
      </c>
      <c r="I281">
        <v>16.5</v>
      </c>
      <c r="J281">
        <v>16.5</v>
      </c>
      <c r="K281" t="s">
        <v>13</v>
      </c>
      <c r="L281" t="s">
        <v>26</v>
      </c>
      <c r="M281" t="s">
        <v>107</v>
      </c>
      <c r="N281" t="s">
        <v>108</v>
      </c>
    </row>
    <row r="282" spans="1:14" x14ac:dyDescent="0.3">
      <c r="A282">
        <v>281</v>
      </c>
      <c r="B282">
        <v>117</v>
      </c>
      <c r="C282">
        <f>1/COUNTIF(pizza_sales[[#All],[order_id]],pizza_sales[[#This Row],[order_id]])</f>
        <v>0.5</v>
      </c>
      <c r="D282" t="s">
        <v>113</v>
      </c>
      <c r="E282">
        <v>1</v>
      </c>
      <c r="F282" s="1">
        <v>42006</v>
      </c>
      <c r="G282" s="1" t="str">
        <f>TEXT(pizza_sales[[#This Row],[order_date]],"dddd")</f>
        <v>Friday</v>
      </c>
      <c r="H282" s="2">
        <v>36526.807662037034</v>
      </c>
      <c r="I282">
        <v>20.25</v>
      </c>
      <c r="J282">
        <v>20.25</v>
      </c>
      <c r="K282" t="s">
        <v>21</v>
      </c>
      <c r="L282" t="s">
        <v>26</v>
      </c>
      <c r="M282" t="s">
        <v>114</v>
      </c>
      <c r="N282" t="s">
        <v>115</v>
      </c>
    </row>
    <row r="283" spans="1:14" x14ac:dyDescent="0.3">
      <c r="A283">
        <v>282</v>
      </c>
      <c r="B283">
        <v>118</v>
      </c>
      <c r="C283">
        <f>1/COUNTIF(pizza_sales[[#All],[order_id]],pizza_sales[[#This Row],[order_id]])</f>
        <v>0.5</v>
      </c>
      <c r="D283" t="s">
        <v>37</v>
      </c>
      <c r="E283">
        <v>1</v>
      </c>
      <c r="F283" s="1">
        <v>42006</v>
      </c>
      <c r="G283" s="1" t="str">
        <f>TEXT(pizza_sales[[#This Row],[order_date]],"dddd")</f>
        <v>Friday</v>
      </c>
      <c r="H283" s="2">
        <v>36526.81040509259</v>
      </c>
      <c r="I283">
        <v>20.75</v>
      </c>
      <c r="J283">
        <v>20.75</v>
      </c>
      <c r="K283" t="s">
        <v>21</v>
      </c>
      <c r="L283" t="s">
        <v>26</v>
      </c>
      <c r="M283" t="s">
        <v>38</v>
      </c>
      <c r="N283" t="s">
        <v>39</v>
      </c>
    </row>
    <row r="284" spans="1:14" x14ac:dyDescent="0.3">
      <c r="A284">
        <v>283</v>
      </c>
      <c r="B284">
        <v>118</v>
      </c>
      <c r="C284">
        <f>1/COUNTIF(pizza_sales[[#All],[order_id]],pizza_sales[[#This Row],[order_id]])</f>
        <v>0.5</v>
      </c>
      <c r="D284" t="s">
        <v>157</v>
      </c>
      <c r="E284">
        <v>1</v>
      </c>
      <c r="F284" s="1">
        <v>42006</v>
      </c>
      <c r="G284" s="1" t="str">
        <f>TEXT(pizza_sales[[#This Row],[order_date]],"dddd")</f>
        <v>Friday</v>
      </c>
      <c r="H284" s="2">
        <v>36526.81040509259</v>
      </c>
      <c r="I284">
        <v>12</v>
      </c>
      <c r="J284">
        <v>12</v>
      </c>
      <c r="K284" t="s">
        <v>41</v>
      </c>
      <c r="L284" t="s">
        <v>22</v>
      </c>
      <c r="M284" t="s">
        <v>110</v>
      </c>
      <c r="N284" t="s">
        <v>111</v>
      </c>
    </row>
    <row r="285" spans="1:14" x14ac:dyDescent="0.3">
      <c r="A285">
        <v>284</v>
      </c>
      <c r="B285">
        <v>119</v>
      </c>
      <c r="C285">
        <f>1/COUNTIF(pizza_sales[[#All],[order_id]],pizza_sales[[#This Row],[order_id]])</f>
        <v>1</v>
      </c>
      <c r="D285" t="s">
        <v>99</v>
      </c>
      <c r="E285">
        <v>1</v>
      </c>
      <c r="F285" s="1">
        <v>42006</v>
      </c>
      <c r="G285" s="1" t="str">
        <f>TEXT(pizza_sales[[#This Row],[order_date]],"dddd")</f>
        <v>Friday</v>
      </c>
      <c r="H285" s="2">
        <v>36526.81422453704</v>
      </c>
      <c r="I285">
        <v>14.75</v>
      </c>
      <c r="J285">
        <v>14.75</v>
      </c>
      <c r="K285" t="s">
        <v>13</v>
      </c>
      <c r="L285" t="s">
        <v>22</v>
      </c>
      <c r="M285" t="s">
        <v>91</v>
      </c>
      <c r="N285" t="s">
        <v>92</v>
      </c>
    </row>
    <row r="286" spans="1:14" x14ac:dyDescent="0.3">
      <c r="A286">
        <v>285</v>
      </c>
      <c r="B286">
        <v>120</v>
      </c>
      <c r="C286">
        <f>1/COUNTIF(pizza_sales[[#All],[order_id]],pizza_sales[[#This Row],[order_id]])</f>
        <v>0.33333333333333331</v>
      </c>
      <c r="D286" t="s">
        <v>50</v>
      </c>
      <c r="E286">
        <v>1</v>
      </c>
      <c r="F286" s="1">
        <v>42006</v>
      </c>
      <c r="G286" s="1" t="str">
        <f>TEXT(pizza_sales[[#This Row],[order_date]],"dddd")</f>
        <v>Friday</v>
      </c>
      <c r="H286" s="2">
        <v>36526.816053240742</v>
      </c>
      <c r="I286">
        <v>12</v>
      </c>
      <c r="J286">
        <v>12</v>
      </c>
      <c r="K286" t="s">
        <v>41</v>
      </c>
      <c r="L286" t="s">
        <v>14</v>
      </c>
      <c r="M286" t="s">
        <v>18</v>
      </c>
      <c r="N286" t="s">
        <v>19</v>
      </c>
    </row>
    <row r="287" spans="1:14" x14ac:dyDescent="0.3">
      <c r="A287">
        <v>286</v>
      </c>
      <c r="B287">
        <v>120</v>
      </c>
      <c r="C287">
        <f>1/COUNTIF(pizza_sales[[#All],[order_id]],pizza_sales[[#This Row],[order_id]])</f>
        <v>0.33333333333333331</v>
      </c>
      <c r="D287" t="s">
        <v>132</v>
      </c>
      <c r="E287">
        <v>1</v>
      </c>
      <c r="F287" s="1">
        <v>42006</v>
      </c>
      <c r="G287" s="1" t="str">
        <f>TEXT(pizza_sales[[#This Row],[order_date]],"dddd")</f>
        <v>Friday</v>
      </c>
      <c r="H287" s="2">
        <v>36526.816053240742</v>
      </c>
      <c r="I287">
        <v>10.5</v>
      </c>
      <c r="J287">
        <v>10.5</v>
      </c>
      <c r="K287" t="s">
        <v>41</v>
      </c>
      <c r="L287" t="s">
        <v>14</v>
      </c>
      <c r="M287" t="s">
        <v>15</v>
      </c>
      <c r="N287" t="s">
        <v>16</v>
      </c>
    </row>
    <row r="288" spans="1:14" x14ac:dyDescent="0.3">
      <c r="A288">
        <v>287</v>
      </c>
      <c r="B288">
        <v>120</v>
      </c>
      <c r="C288">
        <f>1/COUNTIF(pizza_sales[[#All],[order_id]],pizza_sales[[#This Row],[order_id]])</f>
        <v>0.33333333333333331</v>
      </c>
      <c r="D288" t="s">
        <v>109</v>
      </c>
      <c r="E288">
        <v>1</v>
      </c>
      <c r="F288" s="1">
        <v>42006</v>
      </c>
      <c r="G288" s="1" t="str">
        <f>TEXT(pizza_sales[[#This Row],[order_date]],"dddd")</f>
        <v>Friday</v>
      </c>
      <c r="H288" s="2">
        <v>36526.816053240742</v>
      </c>
      <c r="I288">
        <v>20.25</v>
      </c>
      <c r="J288">
        <v>20.25</v>
      </c>
      <c r="K288" t="s">
        <v>21</v>
      </c>
      <c r="L288" t="s">
        <v>22</v>
      </c>
      <c r="M288" t="s">
        <v>110</v>
      </c>
      <c r="N288" t="s">
        <v>111</v>
      </c>
    </row>
    <row r="289" spans="1:14" x14ac:dyDescent="0.3">
      <c r="A289">
        <v>288</v>
      </c>
      <c r="B289">
        <v>121</v>
      </c>
      <c r="C289">
        <f>1/COUNTIF(pizza_sales[[#All],[order_id]],pizza_sales[[#This Row],[order_id]])</f>
        <v>0.25</v>
      </c>
      <c r="D289" t="s">
        <v>118</v>
      </c>
      <c r="E289">
        <v>1</v>
      </c>
      <c r="F289" s="1">
        <v>42006</v>
      </c>
      <c r="G289" s="1" t="str">
        <f>TEXT(pizza_sales[[#This Row],[order_date]],"dddd")</f>
        <v>Friday</v>
      </c>
      <c r="H289" s="2">
        <v>36526.818611111114</v>
      </c>
      <c r="I289">
        <v>16.75</v>
      </c>
      <c r="J289">
        <v>16.75</v>
      </c>
      <c r="K289" t="s">
        <v>13</v>
      </c>
      <c r="L289" t="s">
        <v>33</v>
      </c>
      <c r="M289" t="s">
        <v>42</v>
      </c>
      <c r="N289" t="s">
        <v>43</v>
      </c>
    </row>
    <row r="290" spans="1:14" x14ac:dyDescent="0.3">
      <c r="A290">
        <v>289</v>
      </c>
      <c r="B290">
        <v>121</v>
      </c>
      <c r="C290">
        <f>1/COUNTIF(pizza_sales[[#All],[order_id]],pizza_sales[[#This Row],[order_id]])</f>
        <v>0.25</v>
      </c>
      <c r="D290" t="s">
        <v>90</v>
      </c>
      <c r="E290">
        <v>1</v>
      </c>
      <c r="F290" s="1">
        <v>42006</v>
      </c>
      <c r="G290" s="1" t="str">
        <f>TEXT(pizza_sales[[#This Row],[order_date]],"dddd")</f>
        <v>Friday</v>
      </c>
      <c r="H290" s="2">
        <v>36526.818611111114</v>
      </c>
      <c r="I290">
        <v>17.95</v>
      </c>
      <c r="J290">
        <v>17.95</v>
      </c>
      <c r="K290" t="s">
        <v>21</v>
      </c>
      <c r="L290" t="s">
        <v>22</v>
      </c>
      <c r="M290" t="s">
        <v>91</v>
      </c>
      <c r="N290" t="s">
        <v>92</v>
      </c>
    </row>
    <row r="291" spans="1:14" x14ac:dyDescent="0.3">
      <c r="A291">
        <v>290</v>
      </c>
      <c r="B291">
        <v>121</v>
      </c>
      <c r="C291">
        <f>1/COUNTIF(pizza_sales[[#All],[order_id]],pizza_sales[[#This Row],[order_id]])</f>
        <v>0.25</v>
      </c>
      <c r="D291" t="s">
        <v>113</v>
      </c>
      <c r="E291">
        <v>1</v>
      </c>
      <c r="F291" s="1">
        <v>42006</v>
      </c>
      <c r="G291" s="1" t="str">
        <f>TEXT(pizza_sales[[#This Row],[order_date]],"dddd")</f>
        <v>Friday</v>
      </c>
      <c r="H291" s="2">
        <v>36526.818611111114</v>
      </c>
      <c r="I291">
        <v>20.25</v>
      </c>
      <c r="J291">
        <v>20.25</v>
      </c>
      <c r="K291" t="s">
        <v>21</v>
      </c>
      <c r="L291" t="s">
        <v>26</v>
      </c>
      <c r="M291" t="s">
        <v>114</v>
      </c>
      <c r="N291" t="s">
        <v>115</v>
      </c>
    </row>
    <row r="292" spans="1:14" x14ac:dyDescent="0.3">
      <c r="A292">
        <v>291</v>
      </c>
      <c r="B292">
        <v>121</v>
      </c>
      <c r="C292">
        <f>1/COUNTIF(pizza_sales[[#All],[order_id]],pizza_sales[[#This Row],[order_id]])</f>
        <v>0.25</v>
      </c>
      <c r="D292" t="s">
        <v>69</v>
      </c>
      <c r="E292">
        <v>1</v>
      </c>
      <c r="F292" s="1">
        <v>42006</v>
      </c>
      <c r="G292" s="1" t="str">
        <f>TEXT(pizza_sales[[#This Row],[order_date]],"dddd")</f>
        <v>Friday</v>
      </c>
      <c r="H292" s="2">
        <v>36526.818611111114</v>
      </c>
      <c r="I292">
        <v>20.75</v>
      </c>
      <c r="J292">
        <v>20.75</v>
      </c>
      <c r="K292" t="s">
        <v>21</v>
      </c>
      <c r="L292" t="s">
        <v>33</v>
      </c>
      <c r="M292" t="s">
        <v>70</v>
      </c>
      <c r="N292" t="s">
        <v>71</v>
      </c>
    </row>
    <row r="293" spans="1:14" x14ac:dyDescent="0.3">
      <c r="A293">
        <v>292</v>
      </c>
      <c r="B293">
        <v>122</v>
      </c>
      <c r="C293">
        <f>1/COUNTIF(pizza_sales[[#All],[order_id]],pizza_sales[[#This Row],[order_id]])</f>
        <v>1</v>
      </c>
      <c r="D293" t="s">
        <v>36</v>
      </c>
      <c r="E293">
        <v>1</v>
      </c>
      <c r="F293" s="1">
        <v>42006</v>
      </c>
      <c r="G293" s="1" t="str">
        <f>TEXT(pizza_sales[[#This Row],[order_date]],"dddd")</f>
        <v>Friday</v>
      </c>
      <c r="H293" s="2">
        <v>36526.826608796298</v>
      </c>
      <c r="I293">
        <v>16.5</v>
      </c>
      <c r="J293">
        <v>16.5</v>
      </c>
      <c r="K293" t="s">
        <v>13</v>
      </c>
      <c r="L293" t="s">
        <v>26</v>
      </c>
      <c r="M293" t="s">
        <v>27</v>
      </c>
      <c r="N293" t="s">
        <v>28</v>
      </c>
    </row>
    <row r="294" spans="1:14" x14ac:dyDescent="0.3">
      <c r="A294">
        <v>293</v>
      </c>
      <c r="B294">
        <v>123</v>
      </c>
      <c r="C294">
        <f>1/COUNTIF(pizza_sales[[#All],[order_id]],pizza_sales[[#This Row],[order_id]])</f>
        <v>1</v>
      </c>
      <c r="D294" t="s">
        <v>160</v>
      </c>
      <c r="E294">
        <v>1</v>
      </c>
      <c r="F294" s="1">
        <v>42006</v>
      </c>
      <c r="G294" s="1" t="str">
        <f>TEXT(pizza_sales[[#This Row],[order_date]],"dddd")</f>
        <v>Friday</v>
      </c>
      <c r="H294" s="2">
        <v>36526.841770833336</v>
      </c>
      <c r="I294">
        <v>12</v>
      </c>
      <c r="J294">
        <v>12</v>
      </c>
      <c r="K294" t="s">
        <v>41</v>
      </c>
      <c r="L294" t="s">
        <v>14</v>
      </c>
      <c r="M294" t="s">
        <v>55</v>
      </c>
      <c r="N294" t="s">
        <v>56</v>
      </c>
    </row>
    <row r="295" spans="1:14" x14ac:dyDescent="0.3">
      <c r="A295">
        <v>294</v>
      </c>
      <c r="B295">
        <v>124</v>
      </c>
      <c r="C295">
        <f>1/COUNTIF(pizza_sales[[#All],[order_id]],pizza_sales[[#This Row],[order_id]])</f>
        <v>0.25</v>
      </c>
      <c r="D295" t="s">
        <v>40</v>
      </c>
      <c r="E295">
        <v>1</v>
      </c>
      <c r="F295" s="1">
        <v>42006</v>
      </c>
      <c r="G295" s="1" t="str">
        <f>TEXT(pizza_sales[[#This Row],[order_date]],"dddd")</f>
        <v>Friday</v>
      </c>
      <c r="H295" s="2">
        <v>36526.842060185183</v>
      </c>
      <c r="I295">
        <v>12.75</v>
      </c>
      <c r="J295">
        <v>12.75</v>
      </c>
      <c r="K295" t="s">
        <v>41</v>
      </c>
      <c r="L295" t="s">
        <v>33</v>
      </c>
      <c r="M295" t="s">
        <v>42</v>
      </c>
      <c r="N295" t="s">
        <v>43</v>
      </c>
    </row>
    <row r="296" spans="1:14" x14ac:dyDescent="0.3">
      <c r="A296">
        <v>295</v>
      </c>
      <c r="B296">
        <v>124</v>
      </c>
      <c r="C296">
        <f>1/COUNTIF(pizza_sales[[#All],[order_id]],pizza_sales[[#This Row],[order_id]])</f>
        <v>0.25</v>
      </c>
      <c r="D296" t="s">
        <v>113</v>
      </c>
      <c r="E296">
        <v>1</v>
      </c>
      <c r="F296" s="1">
        <v>42006</v>
      </c>
      <c r="G296" s="1" t="str">
        <f>TEXT(pizza_sales[[#This Row],[order_date]],"dddd")</f>
        <v>Friday</v>
      </c>
      <c r="H296" s="2">
        <v>36526.842060185183</v>
      </c>
      <c r="I296">
        <v>20.25</v>
      </c>
      <c r="J296">
        <v>20.25</v>
      </c>
      <c r="K296" t="s">
        <v>21</v>
      </c>
      <c r="L296" t="s">
        <v>26</v>
      </c>
      <c r="M296" t="s">
        <v>114</v>
      </c>
      <c r="N296" t="s">
        <v>115</v>
      </c>
    </row>
    <row r="297" spans="1:14" x14ac:dyDescent="0.3">
      <c r="A297">
        <v>296</v>
      </c>
      <c r="B297">
        <v>124</v>
      </c>
      <c r="C297">
        <f>1/COUNTIF(pizza_sales[[#All],[order_id]],pizza_sales[[#This Row],[order_id]])</f>
        <v>0.25</v>
      </c>
      <c r="D297" t="s">
        <v>59</v>
      </c>
      <c r="E297">
        <v>1</v>
      </c>
      <c r="F297" s="1">
        <v>42006</v>
      </c>
      <c r="G297" s="1" t="str">
        <f>TEXT(pizza_sales[[#This Row],[order_date]],"dddd")</f>
        <v>Friday</v>
      </c>
      <c r="H297" s="2">
        <v>36526.842060185183</v>
      </c>
      <c r="I297">
        <v>20.75</v>
      </c>
      <c r="J297">
        <v>20.75</v>
      </c>
      <c r="K297" t="s">
        <v>21</v>
      </c>
      <c r="L297" t="s">
        <v>26</v>
      </c>
      <c r="M297" t="s">
        <v>60</v>
      </c>
      <c r="N297" t="s">
        <v>61</v>
      </c>
    </row>
    <row r="298" spans="1:14" x14ac:dyDescent="0.3">
      <c r="A298">
        <v>297</v>
      </c>
      <c r="B298">
        <v>124</v>
      </c>
      <c r="C298">
        <f>1/COUNTIF(pizza_sales[[#All],[order_id]],pizza_sales[[#This Row],[order_id]])</f>
        <v>0.25</v>
      </c>
      <c r="D298" t="s">
        <v>44</v>
      </c>
      <c r="E298">
        <v>1</v>
      </c>
      <c r="F298" s="1">
        <v>42006</v>
      </c>
      <c r="G298" s="1" t="str">
        <f>TEXT(pizza_sales[[#This Row],[order_date]],"dddd")</f>
        <v>Friday</v>
      </c>
      <c r="H298" s="2">
        <v>36526.842060185183</v>
      </c>
      <c r="I298">
        <v>12</v>
      </c>
      <c r="J298">
        <v>12</v>
      </c>
      <c r="K298" t="s">
        <v>41</v>
      </c>
      <c r="L298" t="s">
        <v>14</v>
      </c>
      <c r="M298" t="s">
        <v>45</v>
      </c>
      <c r="N298" t="s">
        <v>46</v>
      </c>
    </row>
    <row r="299" spans="1:14" x14ac:dyDescent="0.3">
      <c r="A299">
        <v>298</v>
      </c>
      <c r="B299">
        <v>125</v>
      </c>
      <c r="C299">
        <f>1/COUNTIF(pizza_sales[[#All],[order_id]],pizza_sales[[#This Row],[order_id]])</f>
        <v>1</v>
      </c>
      <c r="D299" t="s">
        <v>140</v>
      </c>
      <c r="E299">
        <v>1</v>
      </c>
      <c r="F299" s="1">
        <v>42006</v>
      </c>
      <c r="G299" s="1" t="str">
        <f>TEXT(pizza_sales[[#This Row],[order_date]],"dddd")</f>
        <v>Friday</v>
      </c>
      <c r="H299" s="2">
        <v>36526.854930555557</v>
      </c>
      <c r="I299">
        <v>25.5</v>
      </c>
      <c r="J299">
        <v>25.5</v>
      </c>
      <c r="K299" t="s">
        <v>141</v>
      </c>
      <c r="L299" t="s">
        <v>14</v>
      </c>
      <c r="M299" t="s">
        <v>45</v>
      </c>
      <c r="N299" t="s">
        <v>46</v>
      </c>
    </row>
    <row r="300" spans="1:14" x14ac:dyDescent="0.3">
      <c r="A300">
        <v>299</v>
      </c>
      <c r="B300">
        <v>126</v>
      </c>
      <c r="C300">
        <f>1/COUNTIF(pizza_sales[[#All],[order_id]],pizza_sales[[#This Row],[order_id]])</f>
        <v>1</v>
      </c>
      <c r="D300" t="s">
        <v>122</v>
      </c>
      <c r="E300">
        <v>1</v>
      </c>
      <c r="F300" s="1">
        <v>42006</v>
      </c>
      <c r="G300" s="1" t="str">
        <f>TEXT(pizza_sales[[#This Row],[order_date]],"dddd")</f>
        <v>Friday</v>
      </c>
      <c r="H300" s="2">
        <v>36526.870625000003</v>
      </c>
      <c r="I300">
        <v>20.25</v>
      </c>
      <c r="J300">
        <v>20.25</v>
      </c>
      <c r="K300" t="s">
        <v>21</v>
      </c>
      <c r="L300" t="s">
        <v>22</v>
      </c>
      <c r="M300" t="s">
        <v>66</v>
      </c>
      <c r="N300" t="s">
        <v>67</v>
      </c>
    </row>
    <row r="301" spans="1:14" x14ac:dyDescent="0.3">
      <c r="A301">
        <v>300</v>
      </c>
      <c r="B301">
        <v>127</v>
      </c>
      <c r="C301">
        <f>1/COUNTIF(pizza_sales[[#All],[order_id]],pizza_sales[[#This Row],[order_id]])</f>
        <v>1</v>
      </c>
      <c r="D301" t="s">
        <v>119</v>
      </c>
      <c r="E301">
        <v>1</v>
      </c>
      <c r="F301" s="1">
        <v>42006</v>
      </c>
      <c r="G301" s="1" t="str">
        <f>TEXT(pizza_sales[[#This Row],[order_date]],"dddd")</f>
        <v>Friday</v>
      </c>
      <c r="H301" s="2">
        <v>36526.873877314814</v>
      </c>
      <c r="I301">
        <v>12.5</v>
      </c>
      <c r="J301">
        <v>12.5</v>
      </c>
      <c r="K301" t="s">
        <v>13</v>
      </c>
      <c r="L301" t="s">
        <v>14</v>
      </c>
      <c r="M301" t="s">
        <v>78</v>
      </c>
      <c r="N301" t="s">
        <v>79</v>
      </c>
    </row>
    <row r="302" spans="1:14" x14ac:dyDescent="0.3">
      <c r="A302">
        <v>301</v>
      </c>
      <c r="B302">
        <v>128</v>
      </c>
      <c r="C302">
        <f>1/COUNTIF(pizza_sales[[#All],[order_id]],pizza_sales[[#This Row],[order_id]])</f>
        <v>1</v>
      </c>
      <c r="D302" t="s">
        <v>150</v>
      </c>
      <c r="E302">
        <v>1</v>
      </c>
      <c r="F302" s="1">
        <v>42006</v>
      </c>
      <c r="G302" s="1" t="str">
        <f>TEXT(pizza_sales[[#This Row],[order_date]],"dddd")</f>
        <v>Friday</v>
      </c>
      <c r="H302" s="2">
        <v>36526.878541666665</v>
      </c>
      <c r="I302">
        <v>12.5</v>
      </c>
      <c r="J302">
        <v>12.5</v>
      </c>
      <c r="K302" t="s">
        <v>41</v>
      </c>
      <c r="L302" t="s">
        <v>26</v>
      </c>
      <c r="M302" t="s">
        <v>60</v>
      </c>
      <c r="N302" t="s">
        <v>61</v>
      </c>
    </row>
    <row r="303" spans="1:14" x14ac:dyDescent="0.3">
      <c r="A303">
        <v>302</v>
      </c>
      <c r="B303">
        <v>129</v>
      </c>
      <c r="C303">
        <f>1/COUNTIF(pizza_sales[[#All],[order_id]],pizza_sales[[#This Row],[order_id]])</f>
        <v>0.5</v>
      </c>
      <c r="D303" t="s">
        <v>84</v>
      </c>
      <c r="E303">
        <v>1</v>
      </c>
      <c r="F303" s="1">
        <v>42006</v>
      </c>
      <c r="G303" s="1" t="str">
        <f>TEXT(pizza_sales[[#This Row],[order_date]],"dddd")</f>
        <v>Friday</v>
      </c>
      <c r="H303" s="2">
        <v>36526.884050925924</v>
      </c>
      <c r="I303">
        <v>12</v>
      </c>
      <c r="J303">
        <v>12</v>
      </c>
      <c r="K303" t="s">
        <v>41</v>
      </c>
      <c r="L303" t="s">
        <v>14</v>
      </c>
      <c r="M303" t="s">
        <v>85</v>
      </c>
      <c r="N303" t="s">
        <v>86</v>
      </c>
    </row>
    <row r="304" spans="1:14" x14ac:dyDescent="0.3">
      <c r="A304">
        <v>303</v>
      </c>
      <c r="B304">
        <v>129</v>
      </c>
      <c r="C304">
        <f>1/COUNTIF(pizza_sales[[#All],[order_id]],pizza_sales[[#This Row],[order_id]])</f>
        <v>0.5</v>
      </c>
      <c r="D304" t="s">
        <v>155</v>
      </c>
      <c r="E304">
        <v>1</v>
      </c>
      <c r="F304" s="1">
        <v>42006</v>
      </c>
      <c r="G304" s="1" t="str">
        <f>TEXT(pizza_sales[[#This Row],[order_date]],"dddd")</f>
        <v>Friday</v>
      </c>
      <c r="H304" s="2">
        <v>36526.884050925924</v>
      </c>
      <c r="I304">
        <v>16</v>
      </c>
      <c r="J304">
        <v>16</v>
      </c>
      <c r="K304" t="s">
        <v>13</v>
      </c>
      <c r="L304" t="s">
        <v>14</v>
      </c>
      <c r="M304" t="s">
        <v>45</v>
      </c>
      <c r="N304" t="s">
        <v>46</v>
      </c>
    </row>
    <row r="305" spans="1:14" x14ac:dyDescent="0.3">
      <c r="A305">
        <v>304</v>
      </c>
      <c r="B305">
        <v>130</v>
      </c>
      <c r="C305">
        <f>1/COUNTIF(pizza_sales[[#All],[order_id]],pizza_sales[[#This Row],[order_id]])</f>
        <v>0.25</v>
      </c>
      <c r="D305" t="s">
        <v>132</v>
      </c>
      <c r="E305">
        <v>1</v>
      </c>
      <c r="F305" s="1">
        <v>42006</v>
      </c>
      <c r="G305" s="1" t="str">
        <f>TEXT(pizza_sales[[#This Row],[order_date]],"dddd")</f>
        <v>Friday</v>
      </c>
      <c r="H305" s="2">
        <v>36526.885358796295</v>
      </c>
      <c r="I305">
        <v>10.5</v>
      </c>
      <c r="J305">
        <v>10.5</v>
      </c>
      <c r="K305" t="s">
        <v>41</v>
      </c>
      <c r="L305" t="s">
        <v>14</v>
      </c>
      <c r="M305" t="s">
        <v>15</v>
      </c>
      <c r="N305" t="s">
        <v>16</v>
      </c>
    </row>
    <row r="306" spans="1:14" x14ac:dyDescent="0.3">
      <c r="A306">
        <v>305</v>
      </c>
      <c r="B306">
        <v>130</v>
      </c>
      <c r="C306">
        <f>1/COUNTIF(pizza_sales[[#All],[order_id]],pizza_sales[[#This Row],[order_id]])</f>
        <v>0.25</v>
      </c>
      <c r="D306" t="s">
        <v>54</v>
      </c>
      <c r="E306">
        <v>1</v>
      </c>
      <c r="F306" s="1">
        <v>42006</v>
      </c>
      <c r="G306" s="1" t="str">
        <f>TEXT(pizza_sales[[#This Row],[order_date]],"dddd")</f>
        <v>Friday</v>
      </c>
      <c r="H306" s="2">
        <v>36526.885358796295</v>
      </c>
      <c r="I306">
        <v>20.5</v>
      </c>
      <c r="J306">
        <v>20.5</v>
      </c>
      <c r="K306" t="s">
        <v>21</v>
      </c>
      <c r="L306" t="s">
        <v>14</v>
      </c>
      <c r="M306" t="s">
        <v>55</v>
      </c>
      <c r="N306" t="s">
        <v>56</v>
      </c>
    </row>
    <row r="307" spans="1:14" x14ac:dyDescent="0.3">
      <c r="A307">
        <v>306</v>
      </c>
      <c r="B307">
        <v>130</v>
      </c>
      <c r="C307">
        <f>1/COUNTIF(pizza_sales[[#All],[order_id]],pizza_sales[[#This Row],[order_id]])</f>
        <v>0.25</v>
      </c>
      <c r="D307" t="s">
        <v>29</v>
      </c>
      <c r="E307">
        <v>1</v>
      </c>
      <c r="F307" s="1">
        <v>42006</v>
      </c>
      <c r="G307" s="1" t="str">
        <f>TEXT(pizza_sales[[#This Row],[order_date]],"dddd")</f>
        <v>Friday</v>
      </c>
      <c r="H307" s="2">
        <v>36526.885358796295</v>
      </c>
      <c r="I307">
        <v>16</v>
      </c>
      <c r="J307">
        <v>16</v>
      </c>
      <c r="K307" t="s">
        <v>13</v>
      </c>
      <c r="L307" t="s">
        <v>22</v>
      </c>
      <c r="M307" t="s">
        <v>30</v>
      </c>
      <c r="N307" t="s">
        <v>31</v>
      </c>
    </row>
    <row r="308" spans="1:14" x14ac:dyDescent="0.3">
      <c r="A308">
        <v>307</v>
      </c>
      <c r="B308">
        <v>130</v>
      </c>
      <c r="C308">
        <f>1/COUNTIF(pizza_sales[[#All],[order_id]],pizza_sales[[#This Row],[order_id]])</f>
        <v>0.25</v>
      </c>
      <c r="D308" t="s">
        <v>117</v>
      </c>
      <c r="E308">
        <v>1</v>
      </c>
      <c r="F308" s="1">
        <v>42006</v>
      </c>
      <c r="G308" s="1" t="str">
        <f>TEXT(pizza_sales[[#This Row],[order_date]],"dddd")</f>
        <v>Friday</v>
      </c>
      <c r="H308" s="2">
        <v>36526.885358796295</v>
      </c>
      <c r="I308">
        <v>12.75</v>
      </c>
      <c r="J308">
        <v>12.75</v>
      </c>
      <c r="K308" t="s">
        <v>41</v>
      </c>
      <c r="L308" t="s">
        <v>33</v>
      </c>
      <c r="M308" t="s">
        <v>70</v>
      </c>
      <c r="N308" t="s">
        <v>71</v>
      </c>
    </row>
    <row r="309" spans="1:14" x14ac:dyDescent="0.3">
      <c r="A309">
        <v>308</v>
      </c>
      <c r="B309">
        <v>131</v>
      </c>
      <c r="C309">
        <f>1/COUNTIF(pizza_sales[[#All],[order_id]],pizza_sales[[#This Row],[order_id]])</f>
        <v>0.25</v>
      </c>
      <c r="D309" t="s">
        <v>81</v>
      </c>
      <c r="E309">
        <v>1</v>
      </c>
      <c r="F309" s="1">
        <v>42006</v>
      </c>
      <c r="G309" s="1" t="str">
        <f>TEXT(pizza_sales[[#This Row],[order_date]],"dddd")</f>
        <v>Friday</v>
      </c>
      <c r="H309" s="2">
        <v>36526.898032407407</v>
      </c>
      <c r="I309">
        <v>20.75</v>
      </c>
      <c r="J309">
        <v>20.75</v>
      </c>
      <c r="K309" t="s">
        <v>21</v>
      </c>
      <c r="L309" t="s">
        <v>33</v>
      </c>
      <c r="M309" t="s">
        <v>82</v>
      </c>
      <c r="N309" t="s">
        <v>83</v>
      </c>
    </row>
    <row r="310" spans="1:14" x14ac:dyDescent="0.3">
      <c r="A310">
        <v>309</v>
      </c>
      <c r="B310">
        <v>131</v>
      </c>
      <c r="C310">
        <f>1/COUNTIF(pizza_sales[[#All],[order_id]],pizza_sales[[#This Row],[order_id]])</f>
        <v>0.25</v>
      </c>
      <c r="D310" t="s">
        <v>20</v>
      </c>
      <c r="E310">
        <v>1</v>
      </c>
      <c r="F310" s="1">
        <v>42006</v>
      </c>
      <c r="G310" s="1" t="str">
        <f>TEXT(pizza_sales[[#This Row],[order_date]],"dddd")</f>
        <v>Friday</v>
      </c>
      <c r="H310" s="2">
        <v>36526.898032407407</v>
      </c>
      <c r="I310">
        <v>18.5</v>
      </c>
      <c r="J310">
        <v>18.5</v>
      </c>
      <c r="K310" t="s">
        <v>21</v>
      </c>
      <c r="L310" t="s">
        <v>22</v>
      </c>
      <c r="M310" t="s">
        <v>23</v>
      </c>
      <c r="N310" t="s">
        <v>24</v>
      </c>
    </row>
    <row r="311" spans="1:14" x14ac:dyDescent="0.3">
      <c r="A311">
        <v>310</v>
      </c>
      <c r="B311">
        <v>131</v>
      </c>
      <c r="C311">
        <f>1/COUNTIF(pizza_sales[[#All],[order_id]],pizza_sales[[#This Row],[order_id]])</f>
        <v>0.25</v>
      </c>
      <c r="D311" t="s">
        <v>51</v>
      </c>
      <c r="E311">
        <v>1</v>
      </c>
      <c r="F311" s="1">
        <v>42006</v>
      </c>
      <c r="G311" s="1" t="str">
        <f>TEXT(pizza_sales[[#This Row],[order_date]],"dddd")</f>
        <v>Friday</v>
      </c>
      <c r="H311" s="2">
        <v>36526.898032407407</v>
      </c>
      <c r="I311">
        <v>12</v>
      </c>
      <c r="J311">
        <v>12</v>
      </c>
      <c r="K311" t="s">
        <v>41</v>
      </c>
      <c r="L311" t="s">
        <v>22</v>
      </c>
      <c r="M311" t="s">
        <v>52</v>
      </c>
      <c r="N311" t="s">
        <v>53</v>
      </c>
    </row>
    <row r="312" spans="1:14" x14ac:dyDescent="0.3">
      <c r="A312">
        <v>311</v>
      </c>
      <c r="B312">
        <v>131</v>
      </c>
      <c r="C312">
        <f>1/COUNTIF(pizza_sales[[#All],[order_id]],pizza_sales[[#This Row],[order_id]])</f>
        <v>0.25</v>
      </c>
      <c r="D312" t="s">
        <v>47</v>
      </c>
      <c r="E312">
        <v>1</v>
      </c>
      <c r="F312" s="1">
        <v>42006</v>
      </c>
      <c r="G312" s="1" t="str">
        <f>TEXT(pizza_sales[[#This Row],[order_date]],"dddd")</f>
        <v>Friday</v>
      </c>
      <c r="H312" s="2">
        <v>36526.898032407407</v>
      </c>
      <c r="I312">
        <v>12.5</v>
      </c>
      <c r="J312">
        <v>12.5</v>
      </c>
      <c r="K312" t="s">
        <v>41</v>
      </c>
      <c r="L312" t="s">
        <v>26</v>
      </c>
      <c r="M312" t="s">
        <v>48</v>
      </c>
      <c r="N312" t="s">
        <v>49</v>
      </c>
    </row>
    <row r="313" spans="1:14" x14ac:dyDescent="0.3">
      <c r="A313">
        <v>312</v>
      </c>
      <c r="B313">
        <v>132</v>
      </c>
      <c r="C313">
        <f>1/COUNTIF(pizza_sales[[#All],[order_id]],pizza_sales[[#This Row],[order_id]])</f>
        <v>1</v>
      </c>
      <c r="D313" t="s">
        <v>126</v>
      </c>
      <c r="E313">
        <v>1</v>
      </c>
      <c r="F313" s="1">
        <v>42006</v>
      </c>
      <c r="G313" s="1" t="str">
        <f>TEXT(pizza_sales[[#This Row],[order_date]],"dddd")</f>
        <v>Friday</v>
      </c>
      <c r="H313" s="2">
        <v>36526.904687499999</v>
      </c>
      <c r="I313">
        <v>9.75</v>
      </c>
      <c r="J313">
        <v>9.75</v>
      </c>
      <c r="K313" t="s">
        <v>41</v>
      </c>
      <c r="L313" t="s">
        <v>14</v>
      </c>
      <c r="M313" t="s">
        <v>78</v>
      </c>
      <c r="N313" t="s">
        <v>79</v>
      </c>
    </row>
    <row r="314" spans="1:14" x14ac:dyDescent="0.3">
      <c r="A314">
        <v>313</v>
      </c>
      <c r="B314">
        <v>133</v>
      </c>
      <c r="C314">
        <f>1/COUNTIF(pizza_sales[[#All],[order_id]],pizza_sales[[#This Row],[order_id]])</f>
        <v>0.33333333333333331</v>
      </c>
      <c r="D314" t="s">
        <v>72</v>
      </c>
      <c r="E314">
        <v>1</v>
      </c>
      <c r="F314" s="1">
        <v>42006</v>
      </c>
      <c r="G314" s="1" t="str">
        <f>TEXT(pizza_sales[[#This Row],[order_date]],"dddd")</f>
        <v>Friday</v>
      </c>
      <c r="H314" s="2">
        <v>36526.916863425926</v>
      </c>
      <c r="I314">
        <v>20.75</v>
      </c>
      <c r="J314">
        <v>20.75</v>
      </c>
      <c r="K314" t="s">
        <v>21</v>
      </c>
      <c r="L314" t="s">
        <v>33</v>
      </c>
      <c r="M314" t="s">
        <v>42</v>
      </c>
      <c r="N314" t="s">
        <v>43</v>
      </c>
    </row>
    <row r="315" spans="1:14" x14ac:dyDescent="0.3">
      <c r="A315">
        <v>314</v>
      </c>
      <c r="B315">
        <v>133</v>
      </c>
      <c r="C315">
        <f>1/COUNTIF(pizza_sales[[#All],[order_id]],pizza_sales[[#This Row],[order_id]])</f>
        <v>0.33333333333333331</v>
      </c>
      <c r="D315" t="s">
        <v>142</v>
      </c>
      <c r="E315">
        <v>1</v>
      </c>
      <c r="F315" s="1">
        <v>42006</v>
      </c>
      <c r="G315" s="1" t="str">
        <f>TEXT(pizza_sales[[#This Row],[order_date]],"dddd")</f>
        <v>Friday</v>
      </c>
      <c r="H315" s="2">
        <v>36526.916863425926</v>
      </c>
      <c r="I315">
        <v>16.5</v>
      </c>
      <c r="J315">
        <v>16.5</v>
      </c>
      <c r="K315" t="s">
        <v>21</v>
      </c>
      <c r="L315" t="s">
        <v>14</v>
      </c>
      <c r="M315" t="s">
        <v>15</v>
      </c>
      <c r="N315" t="s">
        <v>16</v>
      </c>
    </row>
    <row r="316" spans="1:14" x14ac:dyDescent="0.3">
      <c r="A316">
        <v>315</v>
      </c>
      <c r="B316">
        <v>133</v>
      </c>
      <c r="C316">
        <f>1/COUNTIF(pizza_sales[[#All],[order_id]],pizza_sales[[#This Row],[order_id]])</f>
        <v>0.33333333333333331</v>
      </c>
      <c r="D316" t="s">
        <v>44</v>
      </c>
      <c r="E316">
        <v>1</v>
      </c>
      <c r="F316" s="1">
        <v>42006</v>
      </c>
      <c r="G316" s="1" t="str">
        <f>TEXT(pizza_sales[[#This Row],[order_date]],"dddd")</f>
        <v>Friday</v>
      </c>
      <c r="H316" s="2">
        <v>36526.916863425926</v>
      </c>
      <c r="I316">
        <v>12</v>
      </c>
      <c r="J316">
        <v>12</v>
      </c>
      <c r="K316" t="s">
        <v>41</v>
      </c>
      <c r="L316" t="s">
        <v>14</v>
      </c>
      <c r="M316" t="s">
        <v>45</v>
      </c>
      <c r="N316" t="s">
        <v>46</v>
      </c>
    </row>
    <row r="317" spans="1:14" x14ac:dyDescent="0.3">
      <c r="A317">
        <v>316</v>
      </c>
      <c r="B317">
        <v>134</v>
      </c>
      <c r="C317">
        <f>1/COUNTIF(pizza_sales[[#All],[order_id]],pizza_sales[[#This Row],[order_id]])</f>
        <v>0.33333333333333331</v>
      </c>
      <c r="D317" t="s">
        <v>84</v>
      </c>
      <c r="E317">
        <v>1</v>
      </c>
      <c r="F317" s="1">
        <v>42006</v>
      </c>
      <c r="G317" s="1" t="str">
        <f>TEXT(pizza_sales[[#This Row],[order_date]],"dddd")</f>
        <v>Friday</v>
      </c>
      <c r="H317" s="2">
        <v>36526.92597222222</v>
      </c>
      <c r="I317">
        <v>12</v>
      </c>
      <c r="J317">
        <v>12</v>
      </c>
      <c r="K317" t="s">
        <v>41</v>
      </c>
      <c r="L317" t="s">
        <v>14</v>
      </c>
      <c r="M317" t="s">
        <v>85</v>
      </c>
      <c r="N317" t="s">
        <v>86</v>
      </c>
    </row>
    <row r="318" spans="1:14" x14ac:dyDescent="0.3">
      <c r="A318">
        <v>317</v>
      </c>
      <c r="B318">
        <v>134</v>
      </c>
      <c r="C318">
        <f>1/COUNTIF(pizza_sales[[#All],[order_id]],pizza_sales[[#This Row],[order_id]])</f>
        <v>0.33333333333333331</v>
      </c>
      <c r="D318" t="s">
        <v>69</v>
      </c>
      <c r="E318">
        <v>1</v>
      </c>
      <c r="F318" s="1">
        <v>42006</v>
      </c>
      <c r="G318" s="1" t="str">
        <f>TEXT(pizza_sales[[#This Row],[order_date]],"dddd")</f>
        <v>Friday</v>
      </c>
      <c r="H318" s="2">
        <v>36526.92597222222</v>
      </c>
      <c r="I318">
        <v>20.75</v>
      </c>
      <c r="J318">
        <v>20.75</v>
      </c>
      <c r="K318" t="s">
        <v>21</v>
      </c>
      <c r="L318" t="s">
        <v>33</v>
      </c>
      <c r="M318" t="s">
        <v>70</v>
      </c>
      <c r="N318" t="s">
        <v>71</v>
      </c>
    </row>
    <row r="319" spans="1:14" x14ac:dyDescent="0.3">
      <c r="A319">
        <v>318</v>
      </c>
      <c r="B319">
        <v>134</v>
      </c>
      <c r="C319">
        <f>1/COUNTIF(pizza_sales[[#All],[order_id]],pizza_sales[[#This Row],[order_id]])</f>
        <v>0.33333333333333331</v>
      </c>
      <c r="D319" t="s">
        <v>47</v>
      </c>
      <c r="E319">
        <v>1</v>
      </c>
      <c r="F319" s="1">
        <v>42006</v>
      </c>
      <c r="G319" s="1" t="str">
        <f>TEXT(pizza_sales[[#This Row],[order_date]],"dddd")</f>
        <v>Friday</v>
      </c>
      <c r="H319" s="2">
        <v>36526.92597222222</v>
      </c>
      <c r="I319">
        <v>12.5</v>
      </c>
      <c r="J319">
        <v>12.5</v>
      </c>
      <c r="K319" t="s">
        <v>41</v>
      </c>
      <c r="L319" t="s">
        <v>26</v>
      </c>
      <c r="M319" t="s">
        <v>48</v>
      </c>
      <c r="N319" t="s">
        <v>49</v>
      </c>
    </row>
    <row r="320" spans="1:14" x14ac:dyDescent="0.3">
      <c r="A320">
        <v>319</v>
      </c>
      <c r="B320">
        <v>135</v>
      </c>
      <c r="C320">
        <f>1/COUNTIF(pizza_sales[[#All],[order_id]],pizza_sales[[#This Row],[order_id]])</f>
        <v>1</v>
      </c>
      <c r="D320" t="s">
        <v>122</v>
      </c>
      <c r="E320">
        <v>1</v>
      </c>
      <c r="F320" s="1">
        <v>42006</v>
      </c>
      <c r="G320" s="1" t="str">
        <f>TEXT(pizza_sales[[#This Row],[order_date]],"dddd")</f>
        <v>Friday</v>
      </c>
      <c r="H320" s="2">
        <v>36526.937199074076</v>
      </c>
      <c r="I320">
        <v>20.25</v>
      </c>
      <c r="J320">
        <v>20.25</v>
      </c>
      <c r="K320" t="s">
        <v>21</v>
      </c>
      <c r="L320" t="s">
        <v>22</v>
      </c>
      <c r="M320" t="s">
        <v>66</v>
      </c>
      <c r="N320" t="s">
        <v>67</v>
      </c>
    </row>
    <row r="321" spans="1:14" x14ac:dyDescent="0.3">
      <c r="A321">
        <v>320</v>
      </c>
      <c r="B321">
        <v>136</v>
      </c>
      <c r="C321">
        <f>1/COUNTIF(pizza_sales[[#All],[order_id]],pizza_sales[[#This Row],[order_id]])</f>
        <v>0.5</v>
      </c>
      <c r="D321" t="s">
        <v>20</v>
      </c>
      <c r="E321">
        <v>1</v>
      </c>
      <c r="F321" s="1">
        <v>42006</v>
      </c>
      <c r="G321" s="1" t="str">
        <f>TEXT(pizza_sales[[#This Row],[order_date]],"dddd")</f>
        <v>Friday</v>
      </c>
      <c r="H321" s="2">
        <v>36526.939456018517</v>
      </c>
      <c r="I321">
        <v>18.5</v>
      </c>
      <c r="J321">
        <v>18.5</v>
      </c>
      <c r="K321" t="s">
        <v>21</v>
      </c>
      <c r="L321" t="s">
        <v>22</v>
      </c>
      <c r="M321" t="s">
        <v>23</v>
      </c>
      <c r="N321" t="s">
        <v>24</v>
      </c>
    </row>
    <row r="322" spans="1:14" x14ac:dyDescent="0.3">
      <c r="A322">
        <v>321</v>
      </c>
      <c r="B322">
        <v>136</v>
      </c>
      <c r="C322">
        <f>1/COUNTIF(pizza_sales[[#All],[order_id]],pizza_sales[[#This Row],[order_id]])</f>
        <v>0.5</v>
      </c>
      <c r="D322" t="s">
        <v>106</v>
      </c>
      <c r="E322">
        <v>1</v>
      </c>
      <c r="F322" s="1">
        <v>42006</v>
      </c>
      <c r="G322" s="1" t="str">
        <f>TEXT(pizza_sales[[#This Row],[order_date]],"dddd")</f>
        <v>Friday</v>
      </c>
      <c r="H322" s="2">
        <v>36526.939456018517</v>
      </c>
      <c r="I322">
        <v>12.5</v>
      </c>
      <c r="J322">
        <v>12.5</v>
      </c>
      <c r="K322" t="s">
        <v>41</v>
      </c>
      <c r="L322" t="s">
        <v>26</v>
      </c>
      <c r="M322" t="s">
        <v>107</v>
      </c>
      <c r="N322" t="s">
        <v>108</v>
      </c>
    </row>
    <row r="323" spans="1:14" x14ac:dyDescent="0.3">
      <c r="A323">
        <v>322</v>
      </c>
      <c r="B323">
        <v>137</v>
      </c>
      <c r="C323">
        <f>1/COUNTIF(pizza_sales[[#All],[order_id]],pizza_sales[[#This Row],[order_id]])</f>
        <v>0.33333333333333331</v>
      </c>
      <c r="D323" t="s">
        <v>146</v>
      </c>
      <c r="E323">
        <v>1</v>
      </c>
      <c r="F323" s="1">
        <v>42007</v>
      </c>
      <c r="G323" s="1" t="str">
        <f>TEXT(pizza_sales[[#This Row],[order_date]],"dddd")</f>
        <v>Saturday</v>
      </c>
      <c r="H323" s="2">
        <v>36526.482060185182</v>
      </c>
      <c r="I323">
        <v>20.25</v>
      </c>
      <c r="J323">
        <v>20.25</v>
      </c>
      <c r="K323" t="s">
        <v>21</v>
      </c>
      <c r="L323" t="s">
        <v>22</v>
      </c>
      <c r="M323" t="s">
        <v>104</v>
      </c>
      <c r="N323" t="s">
        <v>105</v>
      </c>
    </row>
    <row r="324" spans="1:14" x14ac:dyDescent="0.3">
      <c r="A324">
        <v>323</v>
      </c>
      <c r="B324">
        <v>137</v>
      </c>
      <c r="C324">
        <f>1/COUNTIF(pizza_sales[[#All],[order_id]],pizza_sales[[#This Row],[order_id]])</f>
        <v>0.33333333333333331</v>
      </c>
      <c r="D324" t="s">
        <v>126</v>
      </c>
      <c r="E324">
        <v>1</v>
      </c>
      <c r="F324" s="1">
        <v>42007</v>
      </c>
      <c r="G324" s="1" t="str">
        <f>TEXT(pizza_sales[[#This Row],[order_date]],"dddd")</f>
        <v>Saturday</v>
      </c>
      <c r="H324" s="2">
        <v>36526.482060185182</v>
      </c>
      <c r="I324">
        <v>9.75</v>
      </c>
      <c r="J324">
        <v>9.75</v>
      </c>
      <c r="K324" t="s">
        <v>41</v>
      </c>
      <c r="L324" t="s">
        <v>14</v>
      </c>
      <c r="M324" t="s">
        <v>78</v>
      </c>
      <c r="N324" t="s">
        <v>79</v>
      </c>
    </row>
    <row r="325" spans="1:14" x14ac:dyDescent="0.3">
      <c r="A325">
        <v>324</v>
      </c>
      <c r="B325">
        <v>137</v>
      </c>
      <c r="C325">
        <f>1/COUNTIF(pizza_sales[[#All],[order_id]],pizza_sales[[#This Row],[order_id]])</f>
        <v>0.33333333333333331</v>
      </c>
      <c r="D325" t="s">
        <v>158</v>
      </c>
      <c r="E325">
        <v>1</v>
      </c>
      <c r="F325" s="1">
        <v>42007</v>
      </c>
      <c r="G325" s="1" t="str">
        <f>TEXT(pizza_sales[[#This Row],[order_date]],"dddd")</f>
        <v>Saturday</v>
      </c>
      <c r="H325" s="2">
        <v>36526.482060185182</v>
      </c>
      <c r="I325">
        <v>16.5</v>
      </c>
      <c r="J325">
        <v>16.5</v>
      </c>
      <c r="K325" t="s">
        <v>13</v>
      </c>
      <c r="L325" t="s">
        <v>26</v>
      </c>
      <c r="M325" t="s">
        <v>60</v>
      </c>
      <c r="N325" t="s">
        <v>61</v>
      </c>
    </row>
    <row r="326" spans="1:14" x14ac:dyDescent="0.3">
      <c r="A326">
        <v>325</v>
      </c>
      <c r="B326">
        <v>138</v>
      </c>
      <c r="C326">
        <f>1/COUNTIF(pizza_sales[[#All],[order_id]],pizza_sales[[#This Row],[order_id]])</f>
        <v>0.25</v>
      </c>
      <c r="D326" t="s">
        <v>76</v>
      </c>
      <c r="E326">
        <v>1</v>
      </c>
      <c r="F326" s="1">
        <v>42007</v>
      </c>
      <c r="G326" s="1" t="str">
        <f>TEXT(pizza_sales[[#This Row],[order_date]],"dddd")</f>
        <v>Saturday</v>
      </c>
      <c r="H326" s="2">
        <v>36526.48946759259</v>
      </c>
      <c r="I326">
        <v>16.75</v>
      </c>
      <c r="J326">
        <v>16.75</v>
      </c>
      <c r="K326" t="s">
        <v>13</v>
      </c>
      <c r="L326" t="s">
        <v>33</v>
      </c>
      <c r="M326" t="s">
        <v>74</v>
      </c>
      <c r="N326" t="s">
        <v>75</v>
      </c>
    </row>
    <row r="327" spans="1:14" x14ac:dyDescent="0.3">
      <c r="A327">
        <v>326</v>
      </c>
      <c r="B327">
        <v>138</v>
      </c>
      <c r="C327">
        <f>1/COUNTIF(pizza_sales[[#All],[order_id]],pizza_sales[[#This Row],[order_id]])</f>
        <v>0.25</v>
      </c>
      <c r="D327" t="s">
        <v>90</v>
      </c>
      <c r="E327">
        <v>1</v>
      </c>
      <c r="F327" s="1">
        <v>42007</v>
      </c>
      <c r="G327" s="1" t="str">
        <f>TEXT(pizza_sales[[#This Row],[order_date]],"dddd")</f>
        <v>Saturday</v>
      </c>
      <c r="H327" s="2">
        <v>36526.48946759259</v>
      </c>
      <c r="I327">
        <v>17.95</v>
      </c>
      <c r="J327">
        <v>17.95</v>
      </c>
      <c r="K327" t="s">
        <v>21</v>
      </c>
      <c r="L327" t="s">
        <v>22</v>
      </c>
      <c r="M327" t="s">
        <v>91</v>
      </c>
      <c r="N327" t="s">
        <v>92</v>
      </c>
    </row>
    <row r="328" spans="1:14" x14ac:dyDescent="0.3">
      <c r="A328">
        <v>327</v>
      </c>
      <c r="B328">
        <v>138</v>
      </c>
      <c r="C328">
        <f>1/COUNTIF(pizza_sales[[#All],[order_id]],pizza_sales[[#This Row],[order_id]])</f>
        <v>0.25</v>
      </c>
      <c r="D328" t="s">
        <v>153</v>
      </c>
      <c r="E328">
        <v>1</v>
      </c>
      <c r="F328" s="1">
        <v>42007</v>
      </c>
      <c r="G328" s="1" t="str">
        <f>TEXT(pizza_sales[[#This Row],[order_date]],"dddd")</f>
        <v>Saturday</v>
      </c>
      <c r="H328" s="2">
        <v>36526.48946759259</v>
      </c>
      <c r="I328">
        <v>21</v>
      </c>
      <c r="J328">
        <v>21</v>
      </c>
      <c r="K328" t="s">
        <v>21</v>
      </c>
      <c r="L328" t="s">
        <v>22</v>
      </c>
      <c r="M328" t="s">
        <v>101</v>
      </c>
      <c r="N328" t="s">
        <v>102</v>
      </c>
    </row>
    <row r="329" spans="1:14" x14ac:dyDescent="0.3">
      <c r="A329">
        <v>328</v>
      </c>
      <c r="B329">
        <v>138</v>
      </c>
      <c r="C329">
        <f>1/COUNTIF(pizza_sales[[#All],[order_id]],pizza_sales[[#This Row],[order_id]])</f>
        <v>0.25</v>
      </c>
      <c r="D329" t="s">
        <v>121</v>
      </c>
      <c r="E329">
        <v>1</v>
      </c>
      <c r="F329" s="1">
        <v>42007</v>
      </c>
      <c r="G329" s="1" t="str">
        <f>TEXT(pizza_sales[[#This Row],[order_date]],"dddd")</f>
        <v>Saturday</v>
      </c>
      <c r="H329" s="2">
        <v>36526.48946759259</v>
      </c>
      <c r="I329">
        <v>16.25</v>
      </c>
      <c r="J329">
        <v>16.25</v>
      </c>
      <c r="K329" t="s">
        <v>13</v>
      </c>
      <c r="L329" t="s">
        <v>26</v>
      </c>
      <c r="M329" t="s">
        <v>114</v>
      </c>
      <c r="N329" t="s">
        <v>115</v>
      </c>
    </row>
    <row r="330" spans="1:14" x14ac:dyDescent="0.3">
      <c r="A330">
        <v>329</v>
      </c>
      <c r="B330">
        <v>139</v>
      </c>
      <c r="C330">
        <f>1/COUNTIF(pizza_sales[[#All],[order_id]],pizza_sales[[#This Row],[order_id]])</f>
        <v>1</v>
      </c>
      <c r="D330" t="s">
        <v>20</v>
      </c>
      <c r="E330">
        <v>1</v>
      </c>
      <c r="F330" s="1">
        <v>42007</v>
      </c>
      <c r="G330" s="1" t="str">
        <f>TEXT(pizza_sales[[#This Row],[order_date]],"dddd")</f>
        <v>Saturday</v>
      </c>
      <c r="H330" s="2">
        <v>36526.498368055552</v>
      </c>
      <c r="I330">
        <v>18.5</v>
      </c>
      <c r="J330">
        <v>18.5</v>
      </c>
      <c r="K330" t="s">
        <v>21</v>
      </c>
      <c r="L330" t="s">
        <v>22</v>
      </c>
      <c r="M330" t="s">
        <v>23</v>
      </c>
      <c r="N330" t="s">
        <v>24</v>
      </c>
    </row>
    <row r="331" spans="1:14" x14ac:dyDescent="0.3">
      <c r="A331">
        <v>330</v>
      </c>
      <c r="B331">
        <v>140</v>
      </c>
      <c r="C331">
        <f>1/COUNTIF(pizza_sales[[#All],[order_id]],pizza_sales[[#This Row],[order_id]])</f>
        <v>0.5</v>
      </c>
      <c r="D331" t="s">
        <v>120</v>
      </c>
      <c r="E331">
        <v>1</v>
      </c>
      <c r="F331" s="1">
        <v>42007</v>
      </c>
      <c r="G331" s="1" t="str">
        <f>TEXT(pizza_sales[[#This Row],[order_date]],"dddd")</f>
        <v>Saturday</v>
      </c>
      <c r="H331" s="2">
        <v>36526.518564814818</v>
      </c>
      <c r="I331">
        <v>12.5</v>
      </c>
      <c r="J331">
        <v>12.5</v>
      </c>
      <c r="K331" t="s">
        <v>41</v>
      </c>
      <c r="L331" t="s">
        <v>26</v>
      </c>
      <c r="M331" t="s">
        <v>38</v>
      </c>
      <c r="N331" t="s">
        <v>39</v>
      </c>
    </row>
    <row r="332" spans="1:14" x14ac:dyDescent="0.3">
      <c r="A332">
        <v>331</v>
      </c>
      <c r="B332">
        <v>140</v>
      </c>
      <c r="C332">
        <f>1/COUNTIF(pizza_sales[[#All],[order_id]],pizza_sales[[#This Row],[order_id]])</f>
        <v>0.5</v>
      </c>
      <c r="D332" t="s">
        <v>154</v>
      </c>
      <c r="E332">
        <v>1</v>
      </c>
      <c r="F332" s="1">
        <v>42007</v>
      </c>
      <c r="G332" s="1" t="str">
        <f>TEXT(pizza_sales[[#This Row],[order_date]],"dddd")</f>
        <v>Saturday</v>
      </c>
      <c r="H332" s="2">
        <v>36526.518564814818</v>
      </c>
      <c r="I332">
        <v>16</v>
      </c>
      <c r="J332">
        <v>16</v>
      </c>
      <c r="K332" t="s">
        <v>13</v>
      </c>
      <c r="L332" t="s">
        <v>22</v>
      </c>
      <c r="M332" t="s">
        <v>66</v>
      </c>
      <c r="N332" t="s">
        <v>67</v>
      </c>
    </row>
    <row r="333" spans="1:14" x14ac:dyDescent="0.3">
      <c r="A333">
        <v>332</v>
      </c>
      <c r="B333">
        <v>141</v>
      </c>
      <c r="C333">
        <f>1/COUNTIF(pizza_sales[[#All],[order_id]],pizza_sales[[#This Row],[order_id]])</f>
        <v>1</v>
      </c>
      <c r="D333" t="s">
        <v>17</v>
      </c>
      <c r="E333">
        <v>1</v>
      </c>
      <c r="F333" s="1">
        <v>42007</v>
      </c>
      <c r="G333" s="1" t="str">
        <f>TEXT(pizza_sales[[#This Row],[order_date]],"dddd")</f>
        <v>Saturday</v>
      </c>
      <c r="H333" s="2">
        <v>36526.552789351852</v>
      </c>
      <c r="I333">
        <v>16</v>
      </c>
      <c r="J333">
        <v>16</v>
      </c>
      <c r="K333" t="s">
        <v>13</v>
      </c>
      <c r="L333" t="s">
        <v>14</v>
      </c>
      <c r="M333" t="s">
        <v>18</v>
      </c>
      <c r="N333" t="s">
        <v>19</v>
      </c>
    </row>
    <row r="334" spans="1:14" x14ac:dyDescent="0.3">
      <c r="A334">
        <v>333</v>
      </c>
      <c r="B334">
        <v>142</v>
      </c>
      <c r="C334">
        <f>1/COUNTIF(pizza_sales[[#All],[order_id]],pizza_sales[[#This Row],[order_id]])</f>
        <v>1</v>
      </c>
      <c r="D334" t="s">
        <v>128</v>
      </c>
      <c r="E334">
        <v>1</v>
      </c>
      <c r="F334" s="1">
        <v>42007</v>
      </c>
      <c r="G334" s="1" t="str">
        <f>TEXT(pizza_sales[[#This Row],[order_date]],"dddd")</f>
        <v>Saturday</v>
      </c>
      <c r="H334" s="2">
        <v>36526.565266203703</v>
      </c>
      <c r="I334">
        <v>16</v>
      </c>
      <c r="J334">
        <v>16</v>
      </c>
      <c r="K334" t="s">
        <v>13</v>
      </c>
      <c r="L334" t="s">
        <v>22</v>
      </c>
      <c r="M334" t="s">
        <v>52</v>
      </c>
      <c r="N334" t="s">
        <v>53</v>
      </c>
    </row>
    <row r="335" spans="1:14" x14ac:dyDescent="0.3">
      <c r="A335">
        <v>334</v>
      </c>
      <c r="B335">
        <v>143</v>
      </c>
      <c r="C335">
        <f>1/COUNTIF(pizza_sales[[#All],[order_id]],pizza_sales[[#This Row],[order_id]])</f>
        <v>0.125</v>
      </c>
      <c r="D335" t="s">
        <v>80</v>
      </c>
      <c r="E335">
        <v>1</v>
      </c>
      <c r="F335" s="1">
        <v>42007</v>
      </c>
      <c r="G335" s="1" t="str">
        <f>TEXT(pizza_sales[[#This Row],[order_date]],"dddd")</f>
        <v>Saturday</v>
      </c>
      <c r="H335" s="2">
        <v>36526.570555555554</v>
      </c>
      <c r="I335">
        <v>12.75</v>
      </c>
      <c r="J335">
        <v>12.75</v>
      </c>
      <c r="K335" t="s">
        <v>41</v>
      </c>
      <c r="L335" t="s">
        <v>33</v>
      </c>
      <c r="M335" t="s">
        <v>74</v>
      </c>
      <c r="N335" t="s">
        <v>75</v>
      </c>
    </row>
    <row r="336" spans="1:14" x14ac:dyDescent="0.3">
      <c r="A336">
        <v>335</v>
      </c>
      <c r="B336">
        <v>143</v>
      </c>
      <c r="C336">
        <f>1/COUNTIF(pizza_sales[[#All],[order_id]],pizza_sales[[#This Row],[order_id]])</f>
        <v>0.125</v>
      </c>
      <c r="D336" t="s">
        <v>50</v>
      </c>
      <c r="E336">
        <v>1</v>
      </c>
      <c r="F336" s="1">
        <v>42007</v>
      </c>
      <c r="G336" s="1" t="str">
        <f>TEXT(pizza_sales[[#This Row],[order_date]],"dddd")</f>
        <v>Saturday</v>
      </c>
      <c r="H336" s="2">
        <v>36526.570555555554</v>
      </c>
      <c r="I336">
        <v>12</v>
      </c>
      <c r="J336">
        <v>12</v>
      </c>
      <c r="K336" t="s">
        <v>41</v>
      </c>
      <c r="L336" t="s">
        <v>14</v>
      </c>
      <c r="M336" t="s">
        <v>18</v>
      </c>
      <c r="N336" t="s">
        <v>19</v>
      </c>
    </row>
    <row r="337" spans="1:14" x14ac:dyDescent="0.3">
      <c r="A337">
        <v>336</v>
      </c>
      <c r="B337">
        <v>143</v>
      </c>
      <c r="C337">
        <f>1/COUNTIF(pizza_sales[[#All],[order_id]],pizza_sales[[#This Row],[order_id]])</f>
        <v>0.125</v>
      </c>
      <c r="D337" t="s">
        <v>142</v>
      </c>
      <c r="E337">
        <v>1</v>
      </c>
      <c r="F337" s="1">
        <v>42007</v>
      </c>
      <c r="G337" s="1" t="str">
        <f>TEXT(pizza_sales[[#This Row],[order_date]],"dddd")</f>
        <v>Saturday</v>
      </c>
      <c r="H337" s="2">
        <v>36526.570555555554</v>
      </c>
      <c r="I337">
        <v>16.5</v>
      </c>
      <c r="J337">
        <v>16.5</v>
      </c>
      <c r="K337" t="s">
        <v>21</v>
      </c>
      <c r="L337" t="s">
        <v>14</v>
      </c>
      <c r="M337" t="s">
        <v>15</v>
      </c>
      <c r="N337" t="s">
        <v>16</v>
      </c>
    </row>
    <row r="338" spans="1:14" x14ac:dyDescent="0.3">
      <c r="A338">
        <v>337</v>
      </c>
      <c r="B338">
        <v>143</v>
      </c>
      <c r="C338">
        <f>1/COUNTIF(pizza_sales[[#All],[order_id]],pizza_sales[[#This Row],[order_id]])</f>
        <v>0.125</v>
      </c>
      <c r="D338" t="s">
        <v>29</v>
      </c>
      <c r="E338">
        <v>1</v>
      </c>
      <c r="F338" s="1">
        <v>42007</v>
      </c>
      <c r="G338" s="1" t="str">
        <f>TEXT(pizza_sales[[#This Row],[order_date]],"dddd")</f>
        <v>Saturday</v>
      </c>
      <c r="H338" s="2">
        <v>36526.570555555554</v>
      </c>
      <c r="I338">
        <v>16</v>
      </c>
      <c r="J338">
        <v>16</v>
      </c>
      <c r="K338" t="s">
        <v>13</v>
      </c>
      <c r="L338" t="s">
        <v>22</v>
      </c>
      <c r="M338" t="s">
        <v>30</v>
      </c>
      <c r="N338" t="s">
        <v>31</v>
      </c>
    </row>
    <row r="339" spans="1:14" x14ac:dyDescent="0.3">
      <c r="A339">
        <v>338</v>
      </c>
      <c r="B339">
        <v>143</v>
      </c>
      <c r="C339">
        <f>1/COUNTIF(pizza_sales[[#All],[order_id]],pizza_sales[[#This Row],[order_id]])</f>
        <v>0.125</v>
      </c>
      <c r="D339" t="s">
        <v>77</v>
      </c>
      <c r="E339">
        <v>1</v>
      </c>
      <c r="F339" s="1">
        <v>42007</v>
      </c>
      <c r="G339" s="1" t="str">
        <f>TEXT(pizza_sales[[#This Row],[order_date]],"dddd")</f>
        <v>Saturday</v>
      </c>
      <c r="H339" s="2">
        <v>36526.570555555554</v>
      </c>
      <c r="I339">
        <v>15.25</v>
      </c>
      <c r="J339">
        <v>15.25</v>
      </c>
      <c r="K339" t="s">
        <v>21</v>
      </c>
      <c r="L339" t="s">
        <v>14</v>
      </c>
      <c r="M339" t="s">
        <v>78</v>
      </c>
      <c r="N339" t="s">
        <v>79</v>
      </c>
    </row>
    <row r="340" spans="1:14" x14ac:dyDescent="0.3">
      <c r="A340">
        <v>339</v>
      </c>
      <c r="B340">
        <v>143</v>
      </c>
      <c r="C340">
        <f>1/COUNTIF(pizza_sales[[#All],[order_id]],pizza_sales[[#This Row],[order_id]])</f>
        <v>0.125</v>
      </c>
      <c r="D340" t="s">
        <v>120</v>
      </c>
      <c r="E340">
        <v>1</v>
      </c>
      <c r="F340" s="1">
        <v>42007</v>
      </c>
      <c r="G340" s="1" t="str">
        <f>TEXT(pizza_sales[[#This Row],[order_date]],"dddd")</f>
        <v>Saturday</v>
      </c>
      <c r="H340" s="2">
        <v>36526.570555555554</v>
      </c>
      <c r="I340">
        <v>12.5</v>
      </c>
      <c r="J340">
        <v>12.5</v>
      </c>
      <c r="K340" t="s">
        <v>41</v>
      </c>
      <c r="L340" t="s">
        <v>26</v>
      </c>
      <c r="M340" t="s">
        <v>38</v>
      </c>
      <c r="N340" t="s">
        <v>39</v>
      </c>
    </row>
    <row r="341" spans="1:14" x14ac:dyDescent="0.3">
      <c r="A341">
        <v>340</v>
      </c>
      <c r="B341">
        <v>143</v>
      </c>
      <c r="C341">
        <f>1/COUNTIF(pizza_sales[[#All],[order_id]],pizza_sales[[#This Row],[order_id]])</f>
        <v>0.125</v>
      </c>
      <c r="D341" t="s">
        <v>32</v>
      </c>
      <c r="E341">
        <v>1</v>
      </c>
      <c r="F341" s="1">
        <v>42007</v>
      </c>
      <c r="G341" s="1" t="str">
        <f>TEXT(pizza_sales[[#This Row],[order_date]],"dddd")</f>
        <v>Saturday</v>
      </c>
      <c r="H341" s="2">
        <v>36526.570555555554</v>
      </c>
      <c r="I341">
        <v>20.75</v>
      </c>
      <c r="J341">
        <v>20.75</v>
      </c>
      <c r="K341" t="s">
        <v>21</v>
      </c>
      <c r="L341" t="s">
        <v>33</v>
      </c>
      <c r="M341" t="s">
        <v>34</v>
      </c>
      <c r="N341" t="s">
        <v>35</v>
      </c>
    </row>
    <row r="342" spans="1:14" x14ac:dyDescent="0.3">
      <c r="A342">
        <v>341</v>
      </c>
      <c r="B342">
        <v>143</v>
      </c>
      <c r="C342">
        <f>1/COUNTIF(pizza_sales[[#All],[order_id]],pizza_sales[[#This Row],[order_id]])</f>
        <v>0.125</v>
      </c>
      <c r="D342" t="s">
        <v>154</v>
      </c>
      <c r="E342">
        <v>1</v>
      </c>
      <c r="F342" s="1">
        <v>42007</v>
      </c>
      <c r="G342" s="1" t="str">
        <f>TEXT(pizza_sales[[#This Row],[order_date]],"dddd")</f>
        <v>Saturday</v>
      </c>
      <c r="H342" s="2">
        <v>36526.570555555554</v>
      </c>
      <c r="I342">
        <v>16</v>
      </c>
      <c r="J342">
        <v>16</v>
      </c>
      <c r="K342" t="s">
        <v>13</v>
      </c>
      <c r="L342" t="s">
        <v>22</v>
      </c>
      <c r="M342" t="s">
        <v>66</v>
      </c>
      <c r="N342" t="s">
        <v>67</v>
      </c>
    </row>
    <row r="343" spans="1:14" x14ac:dyDescent="0.3">
      <c r="A343">
        <v>342</v>
      </c>
      <c r="B343">
        <v>144</v>
      </c>
      <c r="C343">
        <f>1/COUNTIF(pizza_sales[[#All],[order_id]],pizza_sales[[#This Row],[order_id]])</f>
        <v>8.3333333333333329E-2</v>
      </c>
      <c r="D343" t="s">
        <v>118</v>
      </c>
      <c r="E343">
        <v>3</v>
      </c>
      <c r="F343" s="1">
        <v>42007</v>
      </c>
      <c r="G343" s="1" t="str">
        <f>TEXT(pizza_sales[[#This Row],[order_date]],"dddd")</f>
        <v>Saturday</v>
      </c>
      <c r="H343" s="2">
        <v>36526.572546296295</v>
      </c>
      <c r="I343">
        <v>16.75</v>
      </c>
      <c r="J343">
        <v>50.25</v>
      </c>
      <c r="K343" t="s">
        <v>13</v>
      </c>
      <c r="L343" t="s">
        <v>33</v>
      </c>
      <c r="M343" t="s">
        <v>42</v>
      </c>
      <c r="N343" t="s">
        <v>43</v>
      </c>
    </row>
    <row r="344" spans="1:14" x14ac:dyDescent="0.3">
      <c r="A344">
        <v>343</v>
      </c>
      <c r="B344">
        <v>144</v>
      </c>
      <c r="C344">
        <f>1/COUNTIF(pizza_sales[[#All],[order_id]],pizza_sales[[#This Row],[order_id]])</f>
        <v>8.3333333333333329E-2</v>
      </c>
      <c r="D344" t="s">
        <v>84</v>
      </c>
      <c r="E344">
        <v>1</v>
      </c>
      <c r="F344" s="1">
        <v>42007</v>
      </c>
      <c r="G344" s="1" t="str">
        <f>TEXT(pizza_sales[[#This Row],[order_date]],"dddd")</f>
        <v>Saturday</v>
      </c>
      <c r="H344" s="2">
        <v>36526.572546296295</v>
      </c>
      <c r="I344">
        <v>12</v>
      </c>
      <c r="J344">
        <v>12</v>
      </c>
      <c r="K344" t="s">
        <v>41</v>
      </c>
      <c r="L344" t="s">
        <v>14</v>
      </c>
      <c r="M344" t="s">
        <v>85</v>
      </c>
      <c r="N344" t="s">
        <v>86</v>
      </c>
    </row>
    <row r="345" spans="1:14" x14ac:dyDescent="0.3">
      <c r="A345">
        <v>344</v>
      </c>
      <c r="B345">
        <v>144</v>
      </c>
      <c r="C345">
        <f>1/COUNTIF(pizza_sales[[#All],[order_id]],pizza_sales[[#This Row],[order_id]])</f>
        <v>8.3333333333333329E-2</v>
      </c>
      <c r="D345" t="s">
        <v>73</v>
      </c>
      <c r="E345">
        <v>1</v>
      </c>
      <c r="F345" s="1">
        <v>42007</v>
      </c>
      <c r="G345" s="1" t="str">
        <f>TEXT(pizza_sales[[#This Row],[order_date]],"dddd")</f>
        <v>Saturday</v>
      </c>
      <c r="H345" s="2">
        <v>36526.572546296295</v>
      </c>
      <c r="I345">
        <v>20.75</v>
      </c>
      <c r="J345">
        <v>20.75</v>
      </c>
      <c r="K345" t="s">
        <v>21</v>
      </c>
      <c r="L345" t="s">
        <v>33</v>
      </c>
      <c r="M345" t="s">
        <v>74</v>
      </c>
      <c r="N345" t="s">
        <v>75</v>
      </c>
    </row>
    <row r="346" spans="1:14" x14ac:dyDescent="0.3">
      <c r="A346">
        <v>345</v>
      </c>
      <c r="B346">
        <v>144</v>
      </c>
      <c r="C346">
        <f>1/COUNTIF(pizza_sales[[#All],[order_id]],pizza_sales[[#This Row],[order_id]])</f>
        <v>8.3333333333333329E-2</v>
      </c>
      <c r="D346" t="s">
        <v>139</v>
      </c>
      <c r="E346">
        <v>1</v>
      </c>
      <c r="F346" s="1">
        <v>42007</v>
      </c>
      <c r="G346" s="1" t="str">
        <f>TEXT(pizza_sales[[#This Row],[order_date]],"dddd")</f>
        <v>Saturday</v>
      </c>
      <c r="H346" s="2">
        <v>36526.572546296295</v>
      </c>
      <c r="I346">
        <v>16.75</v>
      </c>
      <c r="J346">
        <v>16.75</v>
      </c>
      <c r="K346" t="s">
        <v>13</v>
      </c>
      <c r="L346" t="s">
        <v>33</v>
      </c>
      <c r="M346" t="s">
        <v>82</v>
      </c>
      <c r="N346" t="s">
        <v>83</v>
      </c>
    </row>
    <row r="347" spans="1:14" x14ac:dyDescent="0.3">
      <c r="A347">
        <v>346</v>
      </c>
      <c r="B347">
        <v>144</v>
      </c>
      <c r="C347">
        <f>1/COUNTIF(pizza_sales[[#All],[order_id]],pizza_sales[[#This Row],[order_id]])</f>
        <v>8.3333333333333329E-2</v>
      </c>
      <c r="D347" t="s">
        <v>20</v>
      </c>
      <c r="E347">
        <v>1</v>
      </c>
      <c r="F347" s="1">
        <v>42007</v>
      </c>
      <c r="G347" s="1" t="str">
        <f>TEXT(pizza_sales[[#This Row],[order_date]],"dddd")</f>
        <v>Saturday</v>
      </c>
      <c r="H347" s="2">
        <v>36526.572546296295</v>
      </c>
      <c r="I347">
        <v>18.5</v>
      </c>
      <c r="J347">
        <v>18.5</v>
      </c>
      <c r="K347" t="s">
        <v>21</v>
      </c>
      <c r="L347" t="s">
        <v>22</v>
      </c>
      <c r="M347" t="s">
        <v>23</v>
      </c>
      <c r="N347" t="s">
        <v>24</v>
      </c>
    </row>
    <row r="348" spans="1:14" x14ac:dyDescent="0.3">
      <c r="A348">
        <v>347</v>
      </c>
      <c r="B348">
        <v>144</v>
      </c>
      <c r="C348">
        <f>1/COUNTIF(pizza_sales[[#All],[order_id]],pizza_sales[[#This Row],[order_id]])</f>
        <v>8.3333333333333329E-2</v>
      </c>
      <c r="D348" t="s">
        <v>90</v>
      </c>
      <c r="E348">
        <v>1</v>
      </c>
      <c r="F348" s="1">
        <v>42007</v>
      </c>
      <c r="G348" s="1" t="str">
        <f>TEXT(pizza_sales[[#This Row],[order_date]],"dddd")</f>
        <v>Saturday</v>
      </c>
      <c r="H348" s="2">
        <v>36526.572546296295</v>
      </c>
      <c r="I348">
        <v>17.95</v>
      </c>
      <c r="J348">
        <v>17.95</v>
      </c>
      <c r="K348" t="s">
        <v>21</v>
      </c>
      <c r="L348" t="s">
        <v>22</v>
      </c>
      <c r="M348" t="s">
        <v>91</v>
      </c>
      <c r="N348" t="s">
        <v>92</v>
      </c>
    </row>
    <row r="349" spans="1:14" x14ac:dyDescent="0.3">
      <c r="A349">
        <v>348</v>
      </c>
      <c r="B349">
        <v>144</v>
      </c>
      <c r="C349">
        <f>1/COUNTIF(pizza_sales[[#All],[order_id]],pizza_sales[[#This Row],[order_id]])</f>
        <v>8.3333333333333329E-2</v>
      </c>
      <c r="D349" t="s">
        <v>143</v>
      </c>
      <c r="E349">
        <v>1</v>
      </c>
      <c r="F349" s="1">
        <v>42007</v>
      </c>
      <c r="G349" s="1" t="str">
        <f>TEXT(pizza_sales[[#This Row],[order_date]],"dddd")</f>
        <v>Saturday</v>
      </c>
      <c r="H349" s="2">
        <v>36526.572546296295</v>
      </c>
      <c r="I349">
        <v>11</v>
      </c>
      <c r="J349">
        <v>11</v>
      </c>
      <c r="K349" t="s">
        <v>41</v>
      </c>
      <c r="L349" t="s">
        <v>14</v>
      </c>
      <c r="M349" t="s">
        <v>130</v>
      </c>
      <c r="N349" t="s">
        <v>131</v>
      </c>
    </row>
    <row r="350" spans="1:14" x14ac:dyDescent="0.3">
      <c r="A350">
        <v>349</v>
      </c>
      <c r="B350">
        <v>144</v>
      </c>
      <c r="C350">
        <f>1/COUNTIF(pizza_sales[[#All],[order_id]],pizza_sales[[#This Row],[order_id]])</f>
        <v>8.3333333333333329E-2</v>
      </c>
      <c r="D350" t="s">
        <v>69</v>
      </c>
      <c r="E350">
        <v>1</v>
      </c>
      <c r="F350" s="1">
        <v>42007</v>
      </c>
      <c r="G350" s="1" t="str">
        <f>TEXT(pizza_sales[[#This Row],[order_date]],"dddd")</f>
        <v>Saturday</v>
      </c>
      <c r="H350" s="2">
        <v>36526.572546296295</v>
      </c>
      <c r="I350">
        <v>20.75</v>
      </c>
      <c r="J350">
        <v>20.75</v>
      </c>
      <c r="K350" t="s">
        <v>21</v>
      </c>
      <c r="L350" t="s">
        <v>33</v>
      </c>
      <c r="M350" t="s">
        <v>70</v>
      </c>
      <c r="N350" t="s">
        <v>71</v>
      </c>
    </row>
    <row r="351" spans="1:14" x14ac:dyDescent="0.3">
      <c r="A351">
        <v>350</v>
      </c>
      <c r="B351">
        <v>144</v>
      </c>
      <c r="C351">
        <f>1/COUNTIF(pizza_sales[[#All],[order_id]],pizza_sales[[#This Row],[order_id]])</f>
        <v>8.3333333333333329E-2</v>
      </c>
      <c r="D351" t="s">
        <v>117</v>
      </c>
      <c r="E351">
        <v>1</v>
      </c>
      <c r="F351" s="1">
        <v>42007</v>
      </c>
      <c r="G351" s="1" t="str">
        <f>TEXT(pizza_sales[[#This Row],[order_date]],"dddd")</f>
        <v>Saturday</v>
      </c>
      <c r="H351" s="2">
        <v>36526.572546296295</v>
      </c>
      <c r="I351">
        <v>12.75</v>
      </c>
      <c r="J351">
        <v>12.75</v>
      </c>
      <c r="K351" t="s">
        <v>41</v>
      </c>
      <c r="L351" t="s">
        <v>33</v>
      </c>
      <c r="M351" t="s">
        <v>70</v>
      </c>
      <c r="N351" t="s">
        <v>71</v>
      </c>
    </row>
    <row r="352" spans="1:14" x14ac:dyDescent="0.3">
      <c r="A352">
        <v>351</v>
      </c>
      <c r="B352">
        <v>144</v>
      </c>
      <c r="C352">
        <f>1/COUNTIF(pizza_sales[[#All],[order_id]],pizza_sales[[#This Row],[order_id]])</f>
        <v>8.3333333333333329E-2</v>
      </c>
      <c r="D352" t="s">
        <v>59</v>
      </c>
      <c r="E352">
        <v>1</v>
      </c>
      <c r="F352" s="1">
        <v>42007</v>
      </c>
      <c r="G352" s="1" t="str">
        <f>TEXT(pizza_sales[[#This Row],[order_date]],"dddd")</f>
        <v>Saturday</v>
      </c>
      <c r="H352" s="2">
        <v>36526.572546296295</v>
      </c>
      <c r="I352">
        <v>20.75</v>
      </c>
      <c r="J352">
        <v>20.75</v>
      </c>
      <c r="K352" t="s">
        <v>21</v>
      </c>
      <c r="L352" t="s">
        <v>26</v>
      </c>
      <c r="M352" t="s">
        <v>60</v>
      </c>
      <c r="N352" t="s">
        <v>61</v>
      </c>
    </row>
    <row r="353" spans="1:14" x14ac:dyDescent="0.3">
      <c r="A353">
        <v>352</v>
      </c>
      <c r="B353">
        <v>144</v>
      </c>
      <c r="C353">
        <f>1/COUNTIF(pizza_sales[[#All],[order_id]],pizza_sales[[#This Row],[order_id]])</f>
        <v>8.3333333333333329E-2</v>
      </c>
      <c r="D353" t="s">
        <v>137</v>
      </c>
      <c r="E353">
        <v>1</v>
      </c>
      <c r="F353" s="1">
        <v>42007</v>
      </c>
      <c r="G353" s="1" t="str">
        <f>TEXT(pizza_sales[[#This Row],[order_date]],"dddd")</f>
        <v>Saturday</v>
      </c>
      <c r="H353" s="2">
        <v>36526.572546296295</v>
      </c>
      <c r="I353">
        <v>16.75</v>
      </c>
      <c r="J353">
        <v>16.75</v>
      </c>
      <c r="K353" t="s">
        <v>13</v>
      </c>
      <c r="L353" t="s">
        <v>33</v>
      </c>
      <c r="M353" t="s">
        <v>34</v>
      </c>
      <c r="N353" t="s">
        <v>35</v>
      </c>
    </row>
    <row r="354" spans="1:14" x14ac:dyDescent="0.3">
      <c r="A354">
        <v>353</v>
      </c>
      <c r="B354">
        <v>144</v>
      </c>
      <c r="C354">
        <f>1/COUNTIF(pizza_sales[[#All],[order_id]],pizza_sales[[#This Row],[order_id]])</f>
        <v>8.3333333333333329E-2</v>
      </c>
      <c r="D354" t="s">
        <v>122</v>
      </c>
      <c r="E354">
        <v>1</v>
      </c>
      <c r="F354" s="1">
        <v>42007</v>
      </c>
      <c r="G354" s="1" t="str">
        <f>TEXT(pizza_sales[[#This Row],[order_date]],"dddd")</f>
        <v>Saturday</v>
      </c>
      <c r="H354" s="2">
        <v>36526.572546296295</v>
      </c>
      <c r="I354">
        <v>20.25</v>
      </c>
      <c r="J354">
        <v>20.25</v>
      </c>
      <c r="K354" t="s">
        <v>21</v>
      </c>
      <c r="L354" t="s">
        <v>22</v>
      </c>
      <c r="M354" t="s">
        <v>66</v>
      </c>
      <c r="N354" t="s">
        <v>67</v>
      </c>
    </row>
    <row r="355" spans="1:14" x14ac:dyDescent="0.3">
      <c r="A355">
        <v>354</v>
      </c>
      <c r="B355">
        <v>145</v>
      </c>
      <c r="C355">
        <f>1/COUNTIF(pizza_sales[[#All],[order_id]],pizza_sales[[#This Row],[order_id]])</f>
        <v>1</v>
      </c>
      <c r="D355" t="s">
        <v>44</v>
      </c>
      <c r="E355">
        <v>1</v>
      </c>
      <c r="F355" s="1">
        <v>42007</v>
      </c>
      <c r="G355" s="1" t="str">
        <f>TEXT(pizza_sales[[#This Row],[order_date]],"dddd")</f>
        <v>Saturday</v>
      </c>
      <c r="H355" s="2">
        <v>36526.579027777778</v>
      </c>
      <c r="I355">
        <v>12</v>
      </c>
      <c r="J355">
        <v>12</v>
      </c>
      <c r="K355" t="s">
        <v>41</v>
      </c>
      <c r="L355" t="s">
        <v>14</v>
      </c>
      <c r="M355" t="s">
        <v>45</v>
      </c>
      <c r="N355" t="s">
        <v>46</v>
      </c>
    </row>
    <row r="356" spans="1:14" x14ac:dyDescent="0.3">
      <c r="A356">
        <v>355</v>
      </c>
      <c r="B356">
        <v>146</v>
      </c>
      <c r="C356">
        <f>1/COUNTIF(pizza_sales[[#All],[order_id]],pizza_sales[[#This Row],[order_id]])</f>
        <v>0.33333333333333331</v>
      </c>
      <c r="D356" t="s">
        <v>73</v>
      </c>
      <c r="E356">
        <v>1</v>
      </c>
      <c r="F356" s="1">
        <v>42007</v>
      </c>
      <c r="G356" s="1" t="str">
        <f>TEXT(pizza_sales[[#This Row],[order_date]],"dddd")</f>
        <v>Saturday</v>
      </c>
      <c r="H356" s="2">
        <v>36526.598726851851</v>
      </c>
      <c r="I356">
        <v>20.75</v>
      </c>
      <c r="J356">
        <v>20.75</v>
      </c>
      <c r="K356" t="s">
        <v>21</v>
      </c>
      <c r="L356" t="s">
        <v>33</v>
      </c>
      <c r="M356" t="s">
        <v>74</v>
      </c>
      <c r="N356" t="s">
        <v>75</v>
      </c>
    </row>
    <row r="357" spans="1:14" x14ac:dyDescent="0.3">
      <c r="A357">
        <v>356</v>
      </c>
      <c r="B357">
        <v>146</v>
      </c>
      <c r="C357">
        <f>1/COUNTIF(pizza_sales[[#All],[order_id]],pizza_sales[[#This Row],[order_id]])</f>
        <v>0.33333333333333331</v>
      </c>
      <c r="D357" t="s">
        <v>99</v>
      </c>
      <c r="E357">
        <v>1</v>
      </c>
      <c r="F357" s="1">
        <v>42007</v>
      </c>
      <c r="G357" s="1" t="str">
        <f>TEXT(pizza_sales[[#This Row],[order_date]],"dddd")</f>
        <v>Saturday</v>
      </c>
      <c r="H357" s="2">
        <v>36526.598726851851</v>
      </c>
      <c r="I357">
        <v>14.75</v>
      </c>
      <c r="J357">
        <v>14.75</v>
      </c>
      <c r="K357" t="s">
        <v>13</v>
      </c>
      <c r="L357" t="s">
        <v>22</v>
      </c>
      <c r="M357" t="s">
        <v>91</v>
      </c>
      <c r="N357" t="s">
        <v>92</v>
      </c>
    </row>
    <row r="358" spans="1:14" x14ac:dyDescent="0.3">
      <c r="A358">
        <v>357</v>
      </c>
      <c r="B358">
        <v>146</v>
      </c>
      <c r="C358">
        <f>1/COUNTIF(pizza_sales[[#All],[order_id]],pizza_sales[[#This Row],[order_id]])</f>
        <v>0.33333333333333331</v>
      </c>
      <c r="D358" t="s">
        <v>12</v>
      </c>
      <c r="E358">
        <v>1</v>
      </c>
      <c r="F358" s="1">
        <v>42007</v>
      </c>
      <c r="G358" s="1" t="str">
        <f>TEXT(pizza_sales[[#This Row],[order_date]],"dddd")</f>
        <v>Saturday</v>
      </c>
      <c r="H358" s="2">
        <v>36526.598726851851</v>
      </c>
      <c r="I358">
        <v>13.25</v>
      </c>
      <c r="J358">
        <v>13.25</v>
      </c>
      <c r="K358" t="s">
        <v>13</v>
      </c>
      <c r="L358" t="s">
        <v>14</v>
      </c>
      <c r="M358" t="s">
        <v>15</v>
      </c>
      <c r="N358" t="s">
        <v>16</v>
      </c>
    </row>
    <row r="359" spans="1:14" x14ac:dyDescent="0.3">
      <c r="A359">
        <v>358</v>
      </c>
      <c r="B359">
        <v>147</v>
      </c>
      <c r="C359">
        <f>1/COUNTIF(pizza_sales[[#All],[order_id]],pizza_sales[[#This Row],[order_id]])</f>
        <v>1</v>
      </c>
      <c r="D359" t="s">
        <v>140</v>
      </c>
      <c r="E359">
        <v>1</v>
      </c>
      <c r="F359" s="1">
        <v>42007</v>
      </c>
      <c r="G359" s="1" t="str">
        <f>TEXT(pizza_sales[[#This Row],[order_date]],"dddd")</f>
        <v>Saturday</v>
      </c>
      <c r="H359" s="2">
        <v>36526.606145833335</v>
      </c>
      <c r="I359">
        <v>25.5</v>
      </c>
      <c r="J359">
        <v>25.5</v>
      </c>
      <c r="K359" t="s">
        <v>141</v>
      </c>
      <c r="L359" t="s">
        <v>14</v>
      </c>
      <c r="M359" t="s">
        <v>45</v>
      </c>
      <c r="N359" t="s">
        <v>46</v>
      </c>
    </row>
    <row r="360" spans="1:14" x14ac:dyDescent="0.3">
      <c r="A360">
        <v>359</v>
      </c>
      <c r="B360">
        <v>148</v>
      </c>
      <c r="C360">
        <f>1/COUNTIF(pizza_sales[[#All],[order_id]],pizza_sales[[#This Row],[order_id]])</f>
        <v>1</v>
      </c>
      <c r="D360" t="s">
        <v>161</v>
      </c>
      <c r="E360">
        <v>1</v>
      </c>
      <c r="F360" s="1">
        <v>42007</v>
      </c>
      <c r="G360" s="1" t="str">
        <f>TEXT(pizza_sales[[#This Row],[order_date]],"dddd")</f>
        <v>Saturday</v>
      </c>
      <c r="H360" s="2">
        <v>36526.611597222225</v>
      </c>
      <c r="I360">
        <v>12</v>
      </c>
      <c r="J360">
        <v>12</v>
      </c>
      <c r="K360" t="s">
        <v>41</v>
      </c>
      <c r="L360" t="s">
        <v>22</v>
      </c>
      <c r="M360" t="s">
        <v>104</v>
      </c>
      <c r="N360" t="s">
        <v>105</v>
      </c>
    </row>
    <row r="361" spans="1:14" x14ac:dyDescent="0.3">
      <c r="A361">
        <v>360</v>
      </c>
      <c r="B361">
        <v>149</v>
      </c>
      <c r="C361">
        <f>1/COUNTIF(pizza_sales[[#All],[order_id]],pizza_sales[[#This Row],[order_id]])</f>
        <v>1</v>
      </c>
      <c r="D361" t="s">
        <v>162</v>
      </c>
      <c r="E361">
        <v>1</v>
      </c>
      <c r="F361" s="1">
        <v>42007</v>
      </c>
      <c r="G361" s="1" t="str">
        <f>TEXT(pizza_sales[[#This Row],[order_date]],"dddd")</f>
        <v>Saturday</v>
      </c>
      <c r="H361" s="2">
        <v>36526.6171875</v>
      </c>
      <c r="I361">
        <v>16</v>
      </c>
      <c r="J361">
        <v>16</v>
      </c>
      <c r="K361" t="s">
        <v>13</v>
      </c>
      <c r="L361" t="s">
        <v>22</v>
      </c>
      <c r="M361" t="s">
        <v>110</v>
      </c>
      <c r="N361" t="s">
        <v>111</v>
      </c>
    </row>
    <row r="362" spans="1:14" x14ac:dyDescent="0.3">
      <c r="A362">
        <v>361</v>
      </c>
      <c r="B362">
        <v>150</v>
      </c>
      <c r="C362">
        <f>1/COUNTIF(pizza_sales[[#All],[order_id]],pizza_sales[[#This Row],[order_id]])</f>
        <v>1</v>
      </c>
      <c r="D362" t="s">
        <v>119</v>
      </c>
      <c r="E362">
        <v>1</v>
      </c>
      <c r="F362" s="1">
        <v>42007</v>
      </c>
      <c r="G362" s="1" t="str">
        <f>TEXT(pizza_sales[[#This Row],[order_date]],"dddd")</f>
        <v>Saturday</v>
      </c>
      <c r="H362" s="2">
        <v>36526.618032407408</v>
      </c>
      <c r="I362">
        <v>12.5</v>
      </c>
      <c r="J362">
        <v>12.5</v>
      </c>
      <c r="K362" t="s">
        <v>13</v>
      </c>
      <c r="L362" t="s">
        <v>14</v>
      </c>
      <c r="M362" t="s">
        <v>78</v>
      </c>
      <c r="N362" t="s">
        <v>79</v>
      </c>
    </row>
    <row r="363" spans="1:14" x14ac:dyDescent="0.3">
      <c r="A363">
        <v>362</v>
      </c>
      <c r="B363">
        <v>151</v>
      </c>
      <c r="C363">
        <f>1/COUNTIF(pizza_sales[[#All],[order_id]],pizza_sales[[#This Row],[order_id]])</f>
        <v>0.5</v>
      </c>
      <c r="D363" t="s">
        <v>69</v>
      </c>
      <c r="E363">
        <v>1</v>
      </c>
      <c r="F363" s="1">
        <v>42007</v>
      </c>
      <c r="G363" s="1" t="str">
        <f>TEXT(pizza_sales[[#This Row],[order_date]],"dddd")</f>
        <v>Saturday</v>
      </c>
      <c r="H363" s="2">
        <v>36526.631643518522</v>
      </c>
      <c r="I363">
        <v>20.75</v>
      </c>
      <c r="J363">
        <v>20.75</v>
      </c>
      <c r="K363" t="s">
        <v>21</v>
      </c>
      <c r="L363" t="s">
        <v>33</v>
      </c>
      <c r="M363" t="s">
        <v>70</v>
      </c>
      <c r="N363" t="s">
        <v>71</v>
      </c>
    </row>
    <row r="364" spans="1:14" x14ac:dyDescent="0.3">
      <c r="A364">
        <v>363</v>
      </c>
      <c r="B364">
        <v>151</v>
      </c>
      <c r="C364">
        <f>1/COUNTIF(pizza_sales[[#All],[order_id]],pizza_sales[[#This Row],[order_id]])</f>
        <v>0.5</v>
      </c>
      <c r="D364" t="s">
        <v>47</v>
      </c>
      <c r="E364">
        <v>1</v>
      </c>
      <c r="F364" s="1">
        <v>42007</v>
      </c>
      <c r="G364" s="1" t="str">
        <f>TEXT(pizza_sales[[#This Row],[order_date]],"dddd")</f>
        <v>Saturday</v>
      </c>
      <c r="H364" s="2">
        <v>36526.631643518522</v>
      </c>
      <c r="I364">
        <v>12.5</v>
      </c>
      <c r="J364">
        <v>12.5</v>
      </c>
      <c r="K364" t="s">
        <v>41</v>
      </c>
      <c r="L364" t="s">
        <v>26</v>
      </c>
      <c r="M364" t="s">
        <v>48</v>
      </c>
      <c r="N364" t="s">
        <v>49</v>
      </c>
    </row>
    <row r="365" spans="1:14" x14ac:dyDescent="0.3">
      <c r="A365">
        <v>364</v>
      </c>
      <c r="B365">
        <v>152</v>
      </c>
      <c r="C365">
        <f>1/COUNTIF(pizza_sales[[#All],[order_id]],pizza_sales[[#This Row],[order_id]])</f>
        <v>0.25</v>
      </c>
      <c r="D365" t="s">
        <v>132</v>
      </c>
      <c r="E365">
        <v>1</v>
      </c>
      <c r="F365" s="1">
        <v>42007</v>
      </c>
      <c r="G365" s="1" t="str">
        <f>TEXT(pizza_sales[[#This Row],[order_date]],"dddd")</f>
        <v>Saturday</v>
      </c>
      <c r="H365" s="2">
        <v>36526.631736111114</v>
      </c>
      <c r="I365">
        <v>10.5</v>
      </c>
      <c r="J365">
        <v>10.5</v>
      </c>
      <c r="K365" t="s">
        <v>41</v>
      </c>
      <c r="L365" t="s">
        <v>14</v>
      </c>
      <c r="M365" t="s">
        <v>15</v>
      </c>
      <c r="N365" t="s">
        <v>16</v>
      </c>
    </row>
    <row r="366" spans="1:14" x14ac:dyDescent="0.3">
      <c r="A366">
        <v>365</v>
      </c>
      <c r="B366">
        <v>152</v>
      </c>
      <c r="C366">
        <f>1/COUNTIF(pizza_sales[[#All],[order_id]],pizza_sales[[#This Row],[order_id]])</f>
        <v>0.25</v>
      </c>
      <c r="D366" t="s">
        <v>109</v>
      </c>
      <c r="E366">
        <v>1</v>
      </c>
      <c r="F366" s="1">
        <v>42007</v>
      </c>
      <c r="G366" s="1" t="str">
        <f>TEXT(pizza_sales[[#This Row],[order_date]],"dddd")</f>
        <v>Saturday</v>
      </c>
      <c r="H366" s="2">
        <v>36526.631736111114</v>
      </c>
      <c r="I366">
        <v>20.25</v>
      </c>
      <c r="J366">
        <v>20.25</v>
      </c>
      <c r="K366" t="s">
        <v>21</v>
      </c>
      <c r="L366" t="s">
        <v>22</v>
      </c>
      <c r="M366" t="s">
        <v>110</v>
      </c>
      <c r="N366" t="s">
        <v>111</v>
      </c>
    </row>
    <row r="367" spans="1:14" x14ac:dyDescent="0.3">
      <c r="A367">
        <v>366</v>
      </c>
      <c r="B367">
        <v>152</v>
      </c>
      <c r="C367">
        <f>1/COUNTIF(pizza_sales[[#All],[order_id]],pizza_sales[[#This Row],[order_id]])</f>
        <v>0.25</v>
      </c>
      <c r="D367" t="s">
        <v>151</v>
      </c>
      <c r="E367">
        <v>1</v>
      </c>
      <c r="F367" s="1">
        <v>42007</v>
      </c>
      <c r="G367" s="1" t="str">
        <f>TEXT(pizza_sales[[#This Row],[order_date]],"dddd")</f>
        <v>Saturday</v>
      </c>
      <c r="H367" s="2">
        <v>36526.631736111114</v>
      </c>
      <c r="I367">
        <v>12.75</v>
      </c>
      <c r="J367">
        <v>12.75</v>
      </c>
      <c r="K367" t="s">
        <v>41</v>
      </c>
      <c r="L367" t="s">
        <v>33</v>
      </c>
      <c r="M367" t="s">
        <v>34</v>
      </c>
      <c r="N367" t="s">
        <v>35</v>
      </c>
    </row>
    <row r="368" spans="1:14" x14ac:dyDescent="0.3">
      <c r="A368">
        <v>367</v>
      </c>
      <c r="B368">
        <v>152</v>
      </c>
      <c r="C368">
        <f>1/COUNTIF(pizza_sales[[#All],[order_id]],pizza_sales[[#This Row],[order_id]])</f>
        <v>0.25</v>
      </c>
      <c r="D368" t="s">
        <v>155</v>
      </c>
      <c r="E368">
        <v>1</v>
      </c>
      <c r="F368" s="1">
        <v>42007</v>
      </c>
      <c r="G368" s="1" t="str">
        <f>TEXT(pizza_sales[[#This Row],[order_date]],"dddd")</f>
        <v>Saturday</v>
      </c>
      <c r="H368" s="2">
        <v>36526.631736111114</v>
      </c>
      <c r="I368">
        <v>16</v>
      </c>
      <c r="J368">
        <v>16</v>
      </c>
      <c r="K368" t="s">
        <v>13</v>
      </c>
      <c r="L368" t="s">
        <v>14</v>
      </c>
      <c r="M368" t="s">
        <v>45</v>
      </c>
      <c r="N368" t="s">
        <v>46</v>
      </c>
    </row>
    <row r="369" spans="1:14" x14ac:dyDescent="0.3">
      <c r="A369">
        <v>368</v>
      </c>
      <c r="B369">
        <v>153</v>
      </c>
      <c r="C369">
        <f>1/COUNTIF(pizza_sales[[#All],[order_id]],pizza_sales[[#This Row],[order_id]])</f>
        <v>1</v>
      </c>
      <c r="D369" t="s">
        <v>29</v>
      </c>
      <c r="E369">
        <v>1</v>
      </c>
      <c r="F369" s="1">
        <v>42007</v>
      </c>
      <c r="G369" s="1" t="str">
        <f>TEXT(pizza_sales[[#This Row],[order_date]],"dddd")</f>
        <v>Saturday</v>
      </c>
      <c r="H369" s="2">
        <v>36526.636504629627</v>
      </c>
      <c r="I369">
        <v>16</v>
      </c>
      <c r="J369">
        <v>16</v>
      </c>
      <c r="K369" t="s">
        <v>13</v>
      </c>
      <c r="L369" t="s">
        <v>22</v>
      </c>
      <c r="M369" t="s">
        <v>30</v>
      </c>
      <c r="N369" t="s">
        <v>31</v>
      </c>
    </row>
    <row r="370" spans="1:14" x14ac:dyDescent="0.3">
      <c r="A370">
        <v>369</v>
      </c>
      <c r="B370">
        <v>154</v>
      </c>
      <c r="C370">
        <f>1/COUNTIF(pizza_sales[[#All],[order_id]],pizza_sales[[#This Row],[order_id]])</f>
        <v>1</v>
      </c>
      <c r="D370" t="s">
        <v>120</v>
      </c>
      <c r="E370">
        <v>1</v>
      </c>
      <c r="F370" s="1">
        <v>42007</v>
      </c>
      <c r="G370" s="1" t="str">
        <f>TEXT(pizza_sales[[#This Row],[order_date]],"dddd")</f>
        <v>Saturday</v>
      </c>
      <c r="H370" s="2">
        <v>36526.640775462962</v>
      </c>
      <c r="I370">
        <v>12.5</v>
      </c>
      <c r="J370">
        <v>12.5</v>
      </c>
      <c r="K370" t="s">
        <v>41</v>
      </c>
      <c r="L370" t="s">
        <v>26</v>
      </c>
      <c r="M370" t="s">
        <v>38</v>
      </c>
      <c r="N370" t="s">
        <v>39</v>
      </c>
    </row>
    <row r="371" spans="1:14" x14ac:dyDescent="0.3">
      <c r="A371">
        <v>370</v>
      </c>
      <c r="B371">
        <v>155</v>
      </c>
      <c r="C371">
        <f>1/COUNTIF(pizza_sales[[#All],[order_id]],pizza_sales[[#This Row],[order_id]])</f>
        <v>0.25</v>
      </c>
      <c r="D371" t="s">
        <v>156</v>
      </c>
      <c r="E371">
        <v>1</v>
      </c>
      <c r="F371" s="1">
        <v>42007</v>
      </c>
      <c r="G371" s="1" t="str">
        <f>TEXT(pizza_sales[[#This Row],[order_date]],"dddd")</f>
        <v>Saturday</v>
      </c>
      <c r="H371" s="2">
        <v>36526.645127314812</v>
      </c>
      <c r="I371">
        <v>12.75</v>
      </c>
      <c r="J371">
        <v>12.75</v>
      </c>
      <c r="K371" t="s">
        <v>41</v>
      </c>
      <c r="L371" t="s">
        <v>33</v>
      </c>
      <c r="M371" t="s">
        <v>82</v>
      </c>
      <c r="N371" t="s">
        <v>83</v>
      </c>
    </row>
    <row r="372" spans="1:14" x14ac:dyDescent="0.3">
      <c r="A372">
        <v>371</v>
      </c>
      <c r="B372">
        <v>155</v>
      </c>
      <c r="C372">
        <f>1/COUNTIF(pizza_sales[[#All],[order_id]],pizza_sales[[#This Row],[order_id]])</f>
        <v>0.25</v>
      </c>
      <c r="D372" t="s">
        <v>112</v>
      </c>
      <c r="E372">
        <v>1</v>
      </c>
      <c r="F372" s="1">
        <v>42007</v>
      </c>
      <c r="G372" s="1" t="str">
        <f>TEXT(pizza_sales[[#This Row],[order_date]],"dddd")</f>
        <v>Saturday</v>
      </c>
      <c r="H372" s="2">
        <v>36526.645127314812</v>
      </c>
      <c r="I372">
        <v>20.5</v>
      </c>
      <c r="J372">
        <v>20.5</v>
      </c>
      <c r="K372" t="s">
        <v>21</v>
      </c>
      <c r="L372" t="s">
        <v>14</v>
      </c>
      <c r="M372" t="s">
        <v>94</v>
      </c>
      <c r="N372" t="s">
        <v>95</v>
      </c>
    </row>
    <row r="373" spans="1:14" x14ac:dyDescent="0.3">
      <c r="A373">
        <v>372</v>
      </c>
      <c r="B373">
        <v>155</v>
      </c>
      <c r="C373">
        <f>1/COUNTIF(pizza_sales[[#All],[order_id]],pizza_sales[[#This Row],[order_id]])</f>
        <v>0.25</v>
      </c>
      <c r="D373" t="s">
        <v>77</v>
      </c>
      <c r="E373">
        <v>1</v>
      </c>
      <c r="F373" s="1">
        <v>42007</v>
      </c>
      <c r="G373" s="1" t="str">
        <f>TEXT(pizza_sales[[#This Row],[order_date]],"dddd")</f>
        <v>Saturday</v>
      </c>
      <c r="H373" s="2">
        <v>36526.645127314812</v>
      </c>
      <c r="I373">
        <v>15.25</v>
      </c>
      <c r="J373">
        <v>15.25</v>
      </c>
      <c r="K373" t="s">
        <v>21</v>
      </c>
      <c r="L373" t="s">
        <v>14</v>
      </c>
      <c r="M373" t="s">
        <v>78</v>
      </c>
      <c r="N373" t="s">
        <v>79</v>
      </c>
    </row>
    <row r="374" spans="1:14" x14ac:dyDescent="0.3">
      <c r="A374">
        <v>373</v>
      </c>
      <c r="B374">
        <v>155</v>
      </c>
      <c r="C374">
        <f>1/COUNTIF(pizza_sales[[#All],[order_id]],pizza_sales[[#This Row],[order_id]])</f>
        <v>0.25</v>
      </c>
      <c r="D374" t="s">
        <v>135</v>
      </c>
      <c r="E374">
        <v>1</v>
      </c>
      <c r="F374" s="1">
        <v>42007</v>
      </c>
      <c r="G374" s="1" t="str">
        <f>TEXT(pizza_sales[[#This Row],[order_date]],"dddd")</f>
        <v>Saturday</v>
      </c>
      <c r="H374" s="2">
        <v>36526.645127314812</v>
      </c>
      <c r="I374">
        <v>20.75</v>
      </c>
      <c r="J374">
        <v>20.75</v>
      </c>
      <c r="K374" t="s">
        <v>21</v>
      </c>
      <c r="L374" t="s">
        <v>26</v>
      </c>
      <c r="M374" t="s">
        <v>107</v>
      </c>
      <c r="N374" t="s">
        <v>108</v>
      </c>
    </row>
    <row r="375" spans="1:14" x14ac:dyDescent="0.3">
      <c r="A375">
        <v>374</v>
      </c>
      <c r="B375">
        <v>156</v>
      </c>
      <c r="C375">
        <f>1/COUNTIF(pizza_sales[[#All],[order_id]],pizza_sales[[#This Row],[order_id]])</f>
        <v>0.5</v>
      </c>
      <c r="D375" t="s">
        <v>163</v>
      </c>
      <c r="E375">
        <v>1</v>
      </c>
      <c r="F375" s="1">
        <v>42007</v>
      </c>
      <c r="G375" s="1" t="str">
        <f>TEXT(pizza_sales[[#This Row],[order_date]],"dddd")</f>
        <v>Saturday</v>
      </c>
      <c r="H375" s="2">
        <v>36526.654386574075</v>
      </c>
      <c r="I375">
        <v>16</v>
      </c>
      <c r="J375">
        <v>16</v>
      </c>
      <c r="K375" t="s">
        <v>13</v>
      </c>
      <c r="L375" t="s">
        <v>14</v>
      </c>
      <c r="M375" t="s">
        <v>94</v>
      </c>
      <c r="N375" t="s">
        <v>95</v>
      </c>
    </row>
    <row r="376" spans="1:14" x14ac:dyDescent="0.3">
      <c r="A376">
        <v>375</v>
      </c>
      <c r="B376">
        <v>156</v>
      </c>
      <c r="C376">
        <f>1/COUNTIF(pizza_sales[[#All],[order_id]],pizza_sales[[#This Row],[order_id]])</f>
        <v>0.5</v>
      </c>
      <c r="D376" t="s">
        <v>32</v>
      </c>
      <c r="E376">
        <v>1</v>
      </c>
      <c r="F376" s="1">
        <v>42007</v>
      </c>
      <c r="G376" s="1" t="str">
        <f>TEXT(pizza_sales[[#This Row],[order_date]],"dddd")</f>
        <v>Saturday</v>
      </c>
      <c r="H376" s="2">
        <v>36526.654386574075</v>
      </c>
      <c r="I376">
        <v>20.75</v>
      </c>
      <c r="J376">
        <v>20.75</v>
      </c>
      <c r="K376" t="s">
        <v>21</v>
      </c>
      <c r="L376" t="s">
        <v>33</v>
      </c>
      <c r="M376" t="s">
        <v>34</v>
      </c>
      <c r="N376" t="s">
        <v>35</v>
      </c>
    </row>
    <row r="377" spans="1:14" x14ac:dyDescent="0.3">
      <c r="A377">
        <v>376</v>
      </c>
      <c r="B377">
        <v>157</v>
      </c>
      <c r="C377">
        <f>1/COUNTIF(pizza_sales[[#All],[order_id]],pizza_sales[[#This Row],[order_id]])</f>
        <v>0.25</v>
      </c>
      <c r="D377" t="s">
        <v>25</v>
      </c>
      <c r="E377">
        <v>1</v>
      </c>
      <c r="F377" s="1">
        <v>42007</v>
      </c>
      <c r="G377" s="1" t="str">
        <f>TEXT(pizza_sales[[#This Row],[order_date]],"dddd")</f>
        <v>Saturday</v>
      </c>
      <c r="H377" s="2">
        <v>36526.654895833337</v>
      </c>
      <c r="I377">
        <v>20.75</v>
      </c>
      <c r="J377">
        <v>20.75</v>
      </c>
      <c r="K377" t="s">
        <v>21</v>
      </c>
      <c r="L377" t="s">
        <v>26</v>
      </c>
      <c r="M377" t="s">
        <v>27</v>
      </c>
      <c r="N377" t="s">
        <v>28</v>
      </c>
    </row>
    <row r="378" spans="1:14" x14ac:dyDescent="0.3">
      <c r="A378">
        <v>377</v>
      </c>
      <c r="B378">
        <v>157</v>
      </c>
      <c r="C378">
        <f>1/COUNTIF(pizza_sales[[#All],[order_id]],pizza_sales[[#This Row],[order_id]])</f>
        <v>0.25</v>
      </c>
      <c r="D378" t="s">
        <v>103</v>
      </c>
      <c r="E378">
        <v>1</v>
      </c>
      <c r="F378" s="1">
        <v>42007</v>
      </c>
      <c r="G378" s="1" t="str">
        <f>TEXT(pizza_sales[[#This Row],[order_date]],"dddd")</f>
        <v>Saturday</v>
      </c>
      <c r="H378" s="2">
        <v>36526.654895833337</v>
      </c>
      <c r="I378">
        <v>16</v>
      </c>
      <c r="J378">
        <v>16</v>
      </c>
      <c r="K378" t="s">
        <v>13</v>
      </c>
      <c r="L378" t="s">
        <v>22</v>
      </c>
      <c r="M378" t="s">
        <v>104</v>
      </c>
      <c r="N378" t="s">
        <v>105</v>
      </c>
    </row>
    <row r="379" spans="1:14" x14ac:dyDescent="0.3">
      <c r="A379">
        <v>378</v>
      </c>
      <c r="B379">
        <v>157</v>
      </c>
      <c r="C379">
        <f>1/COUNTIF(pizza_sales[[#All],[order_id]],pizza_sales[[#This Row],[order_id]])</f>
        <v>0.25</v>
      </c>
      <c r="D379" t="s">
        <v>121</v>
      </c>
      <c r="E379">
        <v>1</v>
      </c>
      <c r="F379" s="1">
        <v>42007</v>
      </c>
      <c r="G379" s="1" t="str">
        <f>TEXT(pizza_sales[[#This Row],[order_date]],"dddd")</f>
        <v>Saturday</v>
      </c>
      <c r="H379" s="2">
        <v>36526.654895833337</v>
      </c>
      <c r="I379">
        <v>16.25</v>
      </c>
      <c r="J379">
        <v>16.25</v>
      </c>
      <c r="K379" t="s">
        <v>13</v>
      </c>
      <c r="L379" t="s">
        <v>26</v>
      </c>
      <c r="M379" t="s">
        <v>114</v>
      </c>
      <c r="N379" t="s">
        <v>115</v>
      </c>
    </row>
    <row r="380" spans="1:14" x14ac:dyDescent="0.3">
      <c r="A380">
        <v>379</v>
      </c>
      <c r="B380">
        <v>157</v>
      </c>
      <c r="C380">
        <f>1/COUNTIF(pizza_sales[[#All],[order_id]],pizza_sales[[#This Row],[order_id]])</f>
        <v>0.25</v>
      </c>
      <c r="D380" t="s">
        <v>164</v>
      </c>
      <c r="E380">
        <v>1</v>
      </c>
      <c r="F380" s="1">
        <v>42007</v>
      </c>
      <c r="G380" s="1" t="str">
        <f>TEXT(pizza_sales[[#This Row],[order_date]],"dddd")</f>
        <v>Saturday</v>
      </c>
      <c r="H380" s="2">
        <v>36526.654895833337</v>
      </c>
      <c r="I380">
        <v>16.5</v>
      </c>
      <c r="J380">
        <v>16.5</v>
      </c>
      <c r="K380" t="s">
        <v>13</v>
      </c>
      <c r="L380" t="s">
        <v>22</v>
      </c>
      <c r="M380" t="s">
        <v>63</v>
      </c>
      <c r="N380" t="s">
        <v>64</v>
      </c>
    </row>
    <row r="381" spans="1:14" x14ac:dyDescent="0.3">
      <c r="A381">
        <v>380</v>
      </c>
      <c r="B381">
        <v>158</v>
      </c>
      <c r="C381">
        <f>1/COUNTIF(pizza_sales[[#All],[order_id]],pizza_sales[[#This Row],[order_id]])</f>
        <v>0.5</v>
      </c>
      <c r="D381" t="s">
        <v>159</v>
      </c>
      <c r="E381">
        <v>1</v>
      </c>
      <c r="F381" s="1">
        <v>42007</v>
      </c>
      <c r="G381" s="1" t="str">
        <f>TEXT(pizza_sales[[#This Row],[order_date]],"dddd")</f>
        <v>Saturday</v>
      </c>
      <c r="H381" s="2">
        <v>36526.662847222222</v>
      </c>
      <c r="I381">
        <v>16.75</v>
      </c>
      <c r="J381">
        <v>16.75</v>
      </c>
      <c r="K381" t="s">
        <v>13</v>
      </c>
      <c r="L381" t="s">
        <v>22</v>
      </c>
      <c r="M381" t="s">
        <v>101</v>
      </c>
      <c r="N381" t="s">
        <v>102</v>
      </c>
    </row>
    <row r="382" spans="1:14" x14ac:dyDescent="0.3">
      <c r="A382">
        <v>381</v>
      </c>
      <c r="B382">
        <v>158</v>
      </c>
      <c r="C382">
        <f>1/COUNTIF(pizza_sales[[#All],[order_id]],pizza_sales[[#This Row],[order_id]])</f>
        <v>0.5</v>
      </c>
      <c r="D382" t="s">
        <v>137</v>
      </c>
      <c r="E382">
        <v>1</v>
      </c>
      <c r="F382" s="1">
        <v>42007</v>
      </c>
      <c r="G382" s="1" t="str">
        <f>TEXT(pizza_sales[[#This Row],[order_date]],"dddd")</f>
        <v>Saturday</v>
      </c>
      <c r="H382" s="2">
        <v>36526.662847222222</v>
      </c>
      <c r="I382">
        <v>16.75</v>
      </c>
      <c r="J382">
        <v>16.75</v>
      </c>
      <c r="K382" t="s">
        <v>13</v>
      </c>
      <c r="L382" t="s">
        <v>33</v>
      </c>
      <c r="M382" t="s">
        <v>34</v>
      </c>
      <c r="N382" t="s">
        <v>35</v>
      </c>
    </row>
    <row r="383" spans="1:14" x14ac:dyDescent="0.3">
      <c r="A383">
        <v>382</v>
      </c>
      <c r="B383">
        <v>159</v>
      </c>
      <c r="C383">
        <f>1/COUNTIF(pizza_sales[[#All],[order_id]],pizza_sales[[#This Row],[order_id]])</f>
        <v>0.5</v>
      </c>
      <c r="D383" t="s">
        <v>90</v>
      </c>
      <c r="E383">
        <v>1</v>
      </c>
      <c r="F383" s="1">
        <v>42007</v>
      </c>
      <c r="G383" s="1" t="str">
        <f>TEXT(pizza_sales[[#This Row],[order_date]],"dddd")</f>
        <v>Saturday</v>
      </c>
      <c r="H383" s="2">
        <v>36526.666226851848</v>
      </c>
      <c r="I383">
        <v>17.95</v>
      </c>
      <c r="J383">
        <v>17.95</v>
      </c>
      <c r="K383" t="s">
        <v>21</v>
      </c>
      <c r="L383" t="s">
        <v>22</v>
      </c>
      <c r="M383" t="s">
        <v>91</v>
      </c>
      <c r="N383" t="s">
        <v>92</v>
      </c>
    </row>
    <row r="384" spans="1:14" x14ac:dyDescent="0.3">
      <c r="A384">
        <v>383</v>
      </c>
      <c r="B384">
        <v>159</v>
      </c>
      <c r="C384">
        <f>1/COUNTIF(pizza_sales[[#All],[order_id]],pizza_sales[[#This Row],[order_id]])</f>
        <v>0.5</v>
      </c>
      <c r="D384" t="s">
        <v>137</v>
      </c>
      <c r="E384">
        <v>1</v>
      </c>
      <c r="F384" s="1">
        <v>42007</v>
      </c>
      <c r="G384" s="1" t="str">
        <f>TEXT(pizza_sales[[#This Row],[order_date]],"dddd")</f>
        <v>Saturday</v>
      </c>
      <c r="H384" s="2">
        <v>36526.666226851848</v>
      </c>
      <c r="I384">
        <v>16.75</v>
      </c>
      <c r="J384">
        <v>16.75</v>
      </c>
      <c r="K384" t="s">
        <v>13</v>
      </c>
      <c r="L384" t="s">
        <v>33</v>
      </c>
      <c r="M384" t="s">
        <v>34</v>
      </c>
      <c r="N384" t="s">
        <v>35</v>
      </c>
    </row>
    <row r="385" spans="1:14" x14ac:dyDescent="0.3">
      <c r="A385">
        <v>384</v>
      </c>
      <c r="B385">
        <v>160</v>
      </c>
      <c r="C385">
        <f>1/COUNTIF(pizza_sales[[#All],[order_id]],pizza_sales[[#This Row],[order_id]])</f>
        <v>1</v>
      </c>
      <c r="D385" t="s">
        <v>17</v>
      </c>
      <c r="E385">
        <v>1</v>
      </c>
      <c r="F385" s="1">
        <v>42007</v>
      </c>
      <c r="G385" s="1" t="str">
        <f>TEXT(pizza_sales[[#This Row],[order_date]],"dddd")</f>
        <v>Saturday</v>
      </c>
      <c r="H385" s="2">
        <v>36526.691354166665</v>
      </c>
      <c r="I385">
        <v>16</v>
      </c>
      <c r="J385">
        <v>16</v>
      </c>
      <c r="K385" t="s">
        <v>13</v>
      </c>
      <c r="L385" t="s">
        <v>14</v>
      </c>
      <c r="M385" t="s">
        <v>18</v>
      </c>
      <c r="N385" t="s">
        <v>19</v>
      </c>
    </row>
    <row r="386" spans="1:14" x14ac:dyDescent="0.3">
      <c r="A386">
        <v>385</v>
      </c>
      <c r="B386">
        <v>161</v>
      </c>
      <c r="C386">
        <f>1/COUNTIF(pizza_sales[[#All],[order_id]],pizza_sales[[#This Row],[order_id]])</f>
        <v>0.33333333333333331</v>
      </c>
      <c r="D386" t="s">
        <v>132</v>
      </c>
      <c r="E386">
        <v>1</v>
      </c>
      <c r="F386" s="1">
        <v>42007</v>
      </c>
      <c r="G386" s="1" t="str">
        <f>TEXT(pizza_sales[[#This Row],[order_date]],"dddd")</f>
        <v>Saturday</v>
      </c>
      <c r="H386" s="2">
        <v>36526.697060185186</v>
      </c>
      <c r="I386">
        <v>10.5</v>
      </c>
      <c r="J386">
        <v>10.5</v>
      </c>
      <c r="K386" t="s">
        <v>41</v>
      </c>
      <c r="L386" t="s">
        <v>14</v>
      </c>
      <c r="M386" t="s">
        <v>15</v>
      </c>
      <c r="N386" t="s">
        <v>16</v>
      </c>
    </row>
    <row r="387" spans="1:14" x14ac:dyDescent="0.3">
      <c r="A387">
        <v>386</v>
      </c>
      <c r="B387">
        <v>161</v>
      </c>
      <c r="C387">
        <f>1/COUNTIF(pizza_sales[[#All],[order_id]],pizza_sales[[#This Row],[order_id]])</f>
        <v>0.33333333333333331</v>
      </c>
      <c r="D387" t="s">
        <v>158</v>
      </c>
      <c r="E387">
        <v>1</v>
      </c>
      <c r="F387" s="1">
        <v>42007</v>
      </c>
      <c r="G387" s="1" t="str">
        <f>TEXT(pizza_sales[[#This Row],[order_date]],"dddd")</f>
        <v>Saturday</v>
      </c>
      <c r="H387" s="2">
        <v>36526.697060185186</v>
      </c>
      <c r="I387">
        <v>16.5</v>
      </c>
      <c r="J387">
        <v>16.5</v>
      </c>
      <c r="K387" t="s">
        <v>13</v>
      </c>
      <c r="L387" t="s">
        <v>26</v>
      </c>
      <c r="M387" t="s">
        <v>60</v>
      </c>
      <c r="N387" t="s">
        <v>61</v>
      </c>
    </row>
    <row r="388" spans="1:14" x14ac:dyDescent="0.3">
      <c r="A388">
        <v>387</v>
      </c>
      <c r="B388">
        <v>161</v>
      </c>
      <c r="C388">
        <f>1/COUNTIF(pizza_sales[[#All],[order_id]],pizza_sales[[#This Row],[order_id]])</f>
        <v>0.33333333333333331</v>
      </c>
      <c r="D388" t="s">
        <v>140</v>
      </c>
      <c r="E388">
        <v>1</v>
      </c>
      <c r="F388" s="1">
        <v>42007</v>
      </c>
      <c r="G388" s="1" t="str">
        <f>TEXT(pizza_sales[[#This Row],[order_date]],"dddd")</f>
        <v>Saturday</v>
      </c>
      <c r="H388" s="2">
        <v>36526.697060185186</v>
      </c>
      <c r="I388">
        <v>25.5</v>
      </c>
      <c r="J388">
        <v>25.5</v>
      </c>
      <c r="K388" t="s">
        <v>141</v>
      </c>
      <c r="L388" t="s">
        <v>14</v>
      </c>
      <c r="M388" t="s">
        <v>45</v>
      </c>
      <c r="N388" t="s">
        <v>46</v>
      </c>
    </row>
    <row r="389" spans="1:14" x14ac:dyDescent="0.3">
      <c r="A389">
        <v>388</v>
      </c>
      <c r="B389">
        <v>162</v>
      </c>
      <c r="C389">
        <f>1/COUNTIF(pizza_sales[[#All],[order_id]],pizza_sales[[#This Row],[order_id]])</f>
        <v>1</v>
      </c>
      <c r="D389" t="s">
        <v>84</v>
      </c>
      <c r="E389">
        <v>1</v>
      </c>
      <c r="F389" s="1">
        <v>42007</v>
      </c>
      <c r="G389" s="1" t="str">
        <f>TEXT(pizza_sales[[#This Row],[order_date]],"dddd")</f>
        <v>Saturday</v>
      </c>
      <c r="H389" s="2">
        <v>36526.702337962961</v>
      </c>
      <c r="I389">
        <v>12</v>
      </c>
      <c r="J389">
        <v>12</v>
      </c>
      <c r="K389" t="s">
        <v>41</v>
      </c>
      <c r="L389" t="s">
        <v>14</v>
      </c>
      <c r="M389" t="s">
        <v>85</v>
      </c>
      <c r="N389" t="s">
        <v>86</v>
      </c>
    </row>
    <row r="390" spans="1:14" x14ac:dyDescent="0.3">
      <c r="A390">
        <v>389</v>
      </c>
      <c r="B390">
        <v>163</v>
      </c>
      <c r="C390">
        <f>1/COUNTIF(pizza_sales[[#All],[order_id]],pizza_sales[[#This Row],[order_id]])</f>
        <v>0.33333333333333331</v>
      </c>
      <c r="D390" t="s">
        <v>12</v>
      </c>
      <c r="E390">
        <v>1</v>
      </c>
      <c r="F390" s="1">
        <v>42007</v>
      </c>
      <c r="G390" s="1" t="str">
        <f>TEXT(pizza_sales[[#This Row],[order_date]],"dddd")</f>
        <v>Saturday</v>
      </c>
      <c r="H390" s="2">
        <v>36526.704791666663</v>
      </c>
      <c r="I390">
        <v>13.25</v>
      </c>
      <c r="J390">
        <v>13.25</v>
      </c>
      <c r="K390" t="s">
        <v>13</v>
      </c>
      <c r="L390" t="s">
        <v>14</v>
      </c>
      <c r="M390" t="s">
        <v>15</v>
      </c>
      <c r="N390" t="s">
        <v>16</v>
      </c>
    </row>
    <row r="391" spans="1:14" x14ac:dyDescent="0.3">
      <c r="A391">
        <v>390</v>
      </c>
      <c r="B391">
        <v>163</v>
      </c>
      <c r="C391">
        <f>1/COUNTIF(pizza_sales[[#All],[order_id]],pizza_sales[[#This Row],[order_id]])</f>
        <v>0.33333333333333331</v>
      </c>
      <c r="D391" t="s">
        <v>77</v>
      </c>
      <c r="E391">
        <v>1</v>
      </c>
      <c r="F391" s="1">
        <v>42007</v>
      </c>
      <c r="G391" s="1" t="str">
        <f>TEXT(pizza_sales[[#This Row],[order_date]],"dddd")</f>
        <v>Saturday</v>
      </c>
      <c r="H391" s="2">
        <v>36526.704791666663</v>
      </c>
      <c r="I391">
        <v>15.25</v>
      </c>
      <c r="J391">
        <v>15.25</v>
      </c>
      <c r="K391" t="s">
        <v>21</v>
      </c>
      <c r="L391" t="s">
        <v>14</v>
      </c>
      <c r="M391" t="s">
        <v>78</v>
      </c>
      <c r="N391" t="s">
        <v>79</v>
      </c>
    </row>
    <row r="392" spans="1:14" x14ac:dyDescent="0.3">
      <c r="A392">
        <v>391</v>
      </c>
      <c r="B392">
        <v>163</v>
      </c>
      <c r="C392">
        <f>1/COUNTIF(pizza_sales[[#All],[order_id]],pizza_sales[[#This Row],[order_id]])</f>
        <v>0.33333333333333331</v>
      </c>
      <c r="D392" t="s">
        <v>155</v>
      </c>
      <c r="E392">
        <v>1</v>
      </c>
      <c r="F392" s="1">
        <v>42007</v>
      </c>
      <c r="G392" s="1" t="str">
        <f>TEXT(pizza_sales[[#This Row],[order_date]],"dddd")</f>
        <v>Saturday</v>
      </c>
      <c r="H392" s="2">
        <v>36526.704791666663</v>
      </c>
      <c r="I392">
        <v>16</v>
      </c>
      <c r="J392">
        <v>16</v>
      </c>
      <c r="K392" t="s">
        <v>13</v>
      </c>
      <c r="L392" t="s">
        <v>14</v>
      </c>
      <c r="M392" t="s">
        <v>45</v>
      </c>
      <c r="N392" t="s">
        <v>46</v>
      </c>
    </row>
    <row r="393" spans="1:14" x14ac:dyDescent="0.3">
      <c r="A393">
        <v>392</v>
      </c>
      <c r="B393">
        <v>164</v>
      </c>
      <c r="C393">
        <f>1/COUNTIF(pizza_sales[[#All],[order_id]],pizza_sales[[#This Row],[order_id]])</f>
        <v>0.5</v>
      </c>
      <c r="D393" t="s">
        <v>73</v>
      </c>
      <c r="E393">
        <v>1</v>
      </c>
      <c r="F393" s="1">
        <v>42007</v>
      </c>
      <c r="G393" s="1" t="str">
        <f>TEXT(pizza_sales[[#This Row],[order_date]],"dddd")</f>
        <v>Saturday</v>
      </c>
      <c r="H393" s="2">
        <v>36526.705937500003</v>
      </c>
      <c r="I393">
        <v>20.75</v>
      </c>
      <c r="J393">
        <v>20.75</v>
      </c>
      <c r="K393" t="s">
        <v>21</v>
      </c>
      <c r="L393" t="s">
        <v>33</v>
      </c>
      <c r="M393" t="s">
        <v>74</v>
      </c>
      <c r="N393" t="s">
        <v>75</v>
      </c>
    </row>
    <row r="394" spans="1:14" x14ac:dyDescent="0.3">
      <c r="A394">
        <v>393</v>
      </c>
      <c r="B394">
        <v>164</v>
      </c>
      <c r="C394">
        <f>1/COUNTIF(pizza_sales[[#All],[order_id]],pizza_sales[[#This Row],[order_id]])</f>
        <v>0.5</v>
      </c>
      <c r="D394" t="s">
        <v>119</v>
      </c>
      <c r="E394">
        <v>1</v>
      </c>
      <c r="F394" s="1">
        <v>42007</v>
      </c>
      <c r="G394" s="1" t="str">
        <f>TEXT(pizza_sales[[#This Row],[order_date]],"dddd")</f>
        <v>Saturday</v>
      </c>
      <c r="H394" s="2">
        <v>36526.705937500003</v>
      </c>
      <c r="I394">
        <v>12.5</v>
      </c>
      <c r="J394">
        <v>12.5</v>
      </c>
      <c r="K394" t="s">
        <v>13</v>
      </c>
      <c r="L394" t="s">
        <v>14</v>
      </c>
      <c r="M394" t="s">
        <v>78</v>
      </c>
      <c r="N394" t="s">
        <v>79</v>
      </c>
    </row>
    <row r="395" spans="1:14" x14ac:dyDescent="0.3">
      <c r="A395">
        <v>394</v>
      </c>
      <c r="B395">
        <v>165</v>
      </c>
      <c r="C395">
        <f>1/COUNTIF(pizza_sales[[#All],[order_id]],pizza_sales[[#This Row],[order_id]])</f>
        <v>1</v>
      </c>
      <c r="D395" t="s">
        <v>145</v>
      </c>
      <c r="E395">
        <v>1</v>
      </c>
      <c r="F395" s="1">
        <v>42007</v>
      </c>
      <c r="G395" s="1" t="str">
        <f>TEXT(pizza_sales[[#This Row],[order_date]],"dddd")</f>
        <v>Saturday</v>
      </c>
      <c r="H395" s="2">
        <v>36526.706678240742</v>
      </c>
      <c r="I395">
        <v>16.5</v>
      </c>
      <c r="J395">
        <v>16.5</v>
      </c>
      <c r="K395" t="s">
        <v>13</v>
      </c>
      <c r="L395" t="s">
        <v>26</v>
      </c>
      <c r="M395" t="s">
        <v>38</v>
      </c>
      <c r="N395" t="s">
        <v>39</v>
      </c>
    </row>
    <row r="396" spans="1:14" x14ac:dyDescent="0.3">
      <c r="A396">
        <v>395</v>
      </c>
      <c r="B396">
        <v>166</v>
      </c>
      <c r="C396">
        <f>1/COUNTIF(pizza_sales[[#All],[order_id]],pizza_sales[[#This Row],[order_id]])</f>
        <v>1</v>
      </c>
      <c r="D396" t="s">
        <v>120</v>
      </c>
      <c r="E396">
        <v>1</v>
      </c>
      <c r="F396" s="1">
        <v>42007</v>
      </c>
      <c r="G396" s="1" t="str">
        <f>TEXT(pizza_sales[[#This Row],[order_date]],"dddd")</f>
        <v>Saturday</v>
      </c>
      <c r="H396" s="2">
        <v>36526.70753472222</v>
      </c>
      <c r="I396">
        <v>12.5</v>
      </c>
      <c r="J396">
        <v>12.5</v>
      </c>
      <c r="K396" t="s">
        <v>41</v>
      </c>
      <c r="L396" t="s">
        <v>26</v>
      </c>
      <c r="M396" t="s">
        <v>38</v>
      </c>
      <c r="N396" t="s">
        <v>39</v>
      </c>
    </row>
    <row r="397" spans="1:14" x14ac:dyDescent="0.3">
      <c r="A397">
        <v>396</v>
      </c>
      <c r="B397">
        <v>167</v>
      </c>
      <c r="C397">
        <f>1/COUNTIF(pizza_sales[[#All],[order_id]],pizza_sales[[#This Row],[order_id]])</f>
        <v>0.33333333333333331</v>
      </c>
      <c r="D397" t="s">
        <v>72</v>
      </c>
      <c r="E397">
        <v>1</v>
      </c>
      <c r="F397" s="1">
        <v>42007</v>
      </c>
      <c r="G397" s="1" t="str">
        <f>TEXT(pizza_sales[[#This Row],[order_date]],"dddd")</f>
        <v>Saturday</v>
      </c>
      <c r="H397" s="2">
        <v>36526.70890046296</v>
      </c>
      <c r="I397">
        <v>20.75</v>
      </c>
      <c r="J397">
        <v>20.75</v>
      </c>
      <c r="K397" t="s">
        <v>21</v>
      </c>
      <c r="L397" t="s">
        <v>33</v>
      </c>
      <c r="M397" t="s">
        <v>42</v>
      </c>
      <c r="N397" t="s">
        <v>43</v>
      </c>
    </row>
    <row r="398" spans="1:14" x14ac:dyDescent="0.3">
      <c r="A398">
        <v>397</v>
      </c>
      <c r="B398">
        <v>167</v>
      </c>
      <c r="C398">
        <f>1/COUNTIF(pizza_sales[[#All],[order_id]],pizza_sales[[#This Row],[order_id]])</f>
        <v>0.33333333333333331</v>
      </c>
      <c r="D398" t="s">
        <v>36</v>
      </c>
      <c r="E398">
        <v>1</v>
      </c>
      <c r="F398" s="1">
        <v>42007</v>
      </c>
      <c r="G398" s="1" t="str">
        <f>TEXT(pizza_sales[[#This Row],[order_date]],"dddd")</f>
        <v>Saturday</v>
      </c>
      <c r="H398" s="2">
        <v>36526.70890046296</v>
      </c>
      <c r="I398">
        <v>16.5</v>
      </c>
      <c r="J398">
        <v>16.5</v>
      </c>
      <c r="K398" t="s">
        <v>13</v>
      </c>
      <c r="L398" t="s">
        <v>26</v>
      </c>
      <c r="M398" t="s">
        <v>27</v>
      </c>
      <c r="N398" t="s">
        <v>28</v>
      </c>
    </row>
    <row r="399" spans="1:14" x14ac:dyDescent="0.3">
      <c r="A399">
        <v>398</v>
      </c>
      <c r="B399">
        <v>167</v>
      </c>
      <c r="C399">
        <f>1/COUNTIF(pizza_sales[[#All],[order_id]],pizza_sales[[#This Row],[order_id]])</f>
        <v>0.33333333333333331</v>
      </c>
      <c r="D399" t="s">
        <v>119</v>
      </c>
      <c r="E399">
        <v>1</v>
      </c>
      <c r="F399" s="1">
        <v>42007</v>
      </c>
      <c r="G399" s="1" t="str">
        <f>TEXT(pizza_sales[[#This Row],[order_date]],"dddd")</f>
        <v>Saturday</v>
      </c>
      <c r="H399" s="2">
        <v>36526.70890046296</v>
      </c>
      <c r="I399">
        <v>12.5</v>
      </c>
      <c r="J399">
        <v>12.5</v>
      </c>
      <c r="K399" t="s">
        <v>13</v>
      </c>
      <c r="L399" t="s">
        <v>14</v>
      </c>
      <c r="M399" t="s">
        <v>78</v>
      </c>
      <c r="N399" t="s">
        <v>79</v>
      </c>
    </row>
    <row r="400" spans="1:14" x14ac:dyDescent="0.3">
      <c r="A400">
        <v>399</v>
      </c>
      <c r="B400">
        <v>168</v>
      </c>
      <c r="C400">
        <f>1/COUNTIF(pizza_sales[[#All],[order_id]],pizza_sales[[#This Row],[order_id]])</f>
        <v>0.5</v>
      </c>
      <c r="D400" t="s">
        <v>84</v>
      </c>
      <c r="E400">
        <v>1</v>
      </c>
      <c r="F400" s="1">
        <v>42007</v>
      </c>
      <c r="G400" s="1" t="str">
        <f>TEXT(pizza_sales[[#This Row],[order_date]],"dddd")</f>
        <v>Saturday</v>
      </c>
      <c r="H400" s="2">
        <v>36526.710034722222</v>
      </c>
      <c r="I400">
        <v>12</v>
      </c>
      <c r="J400">
        <v>12</v>
      </c>
      <c r="K400" t="s">
        <v>41</v>
      </c>
      <c r="L400" t="s">
        <v>14</v>
      </c>
      <c r="M400" t="s">
        <v>85</v>
      </c>
      <c r="N400" t="s">
        <v>86</v>
      </c>
    </row>
    <row r="401" spans="1:14" x14ac:dyDescent="0.3">
      <c r="A401">
        <v>400</v>
      </c>
      <c r="B401">
        <v>168</v>
      </c>
      <c r="C401">
        <f>1/COUNTIF(pizza_sales[[#All],[order_id]],pizza_sales[[#This Row],[order_id]])</f>
        <v>0.5</v>
      </c>
      <c r="D401" t="s">
        <v>154</v>
      </c>
      <c r="E401">
        <v>1</v>
      </c>
      <c r="F401" s="1">
        <v>42007</v>
      </c>
      <c r="G401" s="1" t="str">
        <f>TEXT(pizza_sales[[#This Row],[order_date]],"dddd")</f>
        <v>Saturday</v>
      </c>
      <c r="H401" s="2">
        <v>36526.710034722222</v>
      </c>
      <c r="I401">
        <v>16</v>
      </c>
      <c r="J401">
        <v>16</v>
      </c>
      <c r="K401" t="s">
        <v>13</v>
      </c>
      <c r="L401" t="s">
        <v>22</v>
      </c>
      <c r="M401" t="s">
        <v>66</v>
      </c>
      <c r="N401" t="s">
        <v>67</v>
      </c>
    </row>
    <row r="402" spans="1:14" x14ac:dyDescent="0.3">
      <c r="A402">
        <v>401</v>
      </c>
      <c r="B402">
        <v>169</v>
      </c>
      <c r="C402">
        <f>1/COUNTIF(pizza_sales[[#All],[order_id]],pizza_sales[[#This Row],[order_id]])</f>
        <v>0.33333333333333331</v>
      </c>
      <c r="D402" t="s">
        <v>90</v>
      </c>
      <c r="E402">
        <v>1</v>
      </c>
      <c r="F402" s="1">
        <v>42007</v>
      </c>
      <c r="G402" s="1" t="str">
        <f>TEXT(pizza_sales[[#This Row],[order_date]],"dddd")</f>
        <v>Saturday</v>
      </c>
      <c r="H402" s="2">
        <v>36526.719305555554</v>
      </c>
      <c r="I402">
        <v>17.95</v>
      </c>
      <c r="J402">
        <v>17.95</v>
      </c>
      <c r="K402" t="s">
        <v>21</v>
      </c>
      <c r="L402" t="s">
        <v>22</v>
      </c>
      <c r="M402" t="s">
        <v>91</v>
      </c>
      <c r="N402" t="s">
        <v>92</v>
      </c>
    </row>
    <row r="403" spans="1:14" x14ac:dyDescent="0.3">
      <c r="A403">
        <v>402</v>
      </c>
      <c r="B403">
        <v>169</v>
      </c>
      <c r="C403">
        <f>1/COUNTIF(pizza_sales[[#All],[order_id]],pizza_sales[[#This Row],[order_id]])</f>
        <v>0.33333333333333331</v>
      </c>
      <c r="D403" t="s">
        <v>160</v>
      </c>
      <c r="E403">
        <v>1</v>
      </c>
      <c r="F403" s="1">
        <v>42007</v>
      </c>
      <c r="G403" s="1" t="str">
        <f>TEXT(pizza_sales[[#This Row],[order_date]],"dddd")</f>
        <v>Saturday</v>
      </c>
      <c r="H403" s="2">
        <v>36526.719305555554</v>
      </c>
      <c r="I403">
        <v>12</v>
      </c>
      <c r="J403">
        <v>12</v>
      </c>
      <c r="K403" t="s">
        <v>41</v>
      </c>
      <c r="L403" t="s">
        <v>14</v>
      </c>
      <c r="M403" t="s">
        <v>55</v>
      </c>
      <c r="N403" t="s">
        <v>56</v>
      </c>
    </row>
    <row r="404" spans="1:14" x14ac:dyDescent="0.3">
      <c r="A404">
        <v>403</v>
      </c>
      <c r="B404">
        <v>169</v>
      </c>
      <c r="C404">
        <f>1/COUNTIF(pizza_sales[[#All],[order_id]],pizza_sales[[#This Row],[order_id]])</f>
        <v>0.33333333333333331</v>
      </c>
      <c r="D404" t="s">
        <v>121</v>
      </c>
      <c r="E404">
        <v>1</v>
      </c>
      <c r="F404" s="1">
        <v>42007</v>
      </c>
      <c r="G404" s="1" t="str">
        <f>TEXT(pizza_sales[[#This Row],[order_date]],"dddd")</f>
        <v>Saturday</v>
      </c>
      <c r="H404" s="2">
        <v>36526.719305555554</v>
      </c>
      <c r="I404">
        <v>16.25</v>
      </c>
      <c r="J404">
        <v>16.25</v>
      </c>
      <c r="K404" t="s">
        <v>13</v>
      </c>
      <c r="L404" t="s">
        <v>26</v>
      </c>
      <c r="M404" t="s">
        <v>114</v>
      </c>
      <c r="N404" t="s">
        <v>115</v>
      </c>
    </row>
    <row r="405" spans="1:14" x14ac:dyDescent="0.3">
      <c r="A405">
        <v>404</v>
      </c>
      <c r="B405">
        <v>170</v>
      </c>
      <c r="C405">
        <f>1/COUNTIF(pizza_sales[[#All],[order_id]],pizza_sales[[#This Row],[order_id]])</f>
        <v>1</v>
      </c>
      <c r="D405" t="s">
        <v>142</v>
      </c>
      <c r="E405">
        <v>1</v>
      </c>
      <c r="F405" s="1">
        <v>42007</v>
      </c>
      <c r="G405" s="1" t="str">
        <f>TEXT(pizza_sales[[#This Row],[order_date]],"dddd")</f>
        <v>Saturday</v>
      </c>
      <c r="H405" s="2">
        <v>36526.723275462966</v>
      </c>
      <c r="I405">
        <v>16.5</v>
      </c>
      <c r="J405">
        <v>16.5</v>
      </c>
      <c r="K405" t="s">
        <v>21</v>
      </c>
      <c r="L405" t="s">
        <v>14</v>
      </c>
      <c r="M405" t="s">
        <v>15</v>
      </c>
      <c r="N405" t="s">
        <v>16</v>
      </c>
    </row>
    <row r="406" spans="1:14" x14ac:dyDescent="0.3">
      <c r="A406">
        <v>405</v>
      </c>
      <c r="B406">
        <v>171</v>
      </c>
      <c r="C406">
        <f>1/COUNTIF(pizza_sales[[#All],[order_id]],pizza_sales[[#This Row],[order_id]])</f>
        <v>1</v>
      </c>
      <c r="D406" t="s">
        <v>163</v>
      </c>
      <c r="E406">
        <v>1</v>
      </c>
      <c r="F406" s="1">
        <v>42007</v>
      </c>
      <c r="G406" s="1" t="str">
        <f>TEXT(pizza_sales[[#This Row],[order_date]],"dddd")</f>
        <v>Saturday</v>
      </c>
      <c r="H406" s="2">
        <v>36526.724340277775</v>
      </c>
      <c r="I406">
        <v>16</v>
      </c>
      <c r="J406">
        <v>16</v>
      </c>
      <c r="K406" t="s">
        <v>13</v>
      </c>
      <c r="L406" t="s">
        <v>14</v>
      </c>
      <c r="M406" t="s">
        <v>94</v>
      </c>
      <c r="N406" t="s">
        <v>95</v>
      </c>
    </row>
    <row r="407" spans="1:14" x14ac:dyDescent="0.3">
      <c r="A407">
        <v>406</v>
      </c>
      <c r="B407">
        <v>172</v>
      </c>
      <c r="C407">
        <f>1/COUNTIF(pizza_sales[[#All],[order_id]],pizza_sales[[#This Row],[order_id]])</f>
        <v>0.33333333333333331</v>
      </c>
      <c r="D407" t="s">
        <v>93</v>
      </c>
      <c r="E407">
        <v>1</v>
      </c>
      <c r="F407" s="1">
        <v>42007</v>
      </c>
      <c r="G407" s="1" t="str">
        <f>TEXT(pizza_sales[[#This Row],[order_date]],"dddd")</f>
        <v>Saturday</v>
      </c>
      <c r="H407" s="2">
        <v>36526.728750000002</v>
      </c>
      <c r="I407">
        <v>12</v>
      </c>
      <c r="J407">
        <v>12</v>
      </c>
      <c r="K407" t="s">
        <v>41</v>
      </c>
      <c r="L407" t="s">
        <v>14</v>
      </c>
      <c r="M407" t="s">
        <v>94</v>
      </c>
      <c r="N407" t="s">
        <v>95</v>
      </c>
    </row>
    <row r="408" spans="1:14" x14ac:dyDescent="0.3">
      <c r="A408">
        <v>407</v>
      </c>
      <c r="B408">
        <v>172</v>
      </c>
      <c r="C408">
        <f>1/COUNTIF(pizza_sales[[#All],[order_id]],pizza_sales[[#This Row],[order_id]])</f>
        <v>0.33333333333333331</v>
      </c>
      <c r="D408" t="s">
        <v>144</v>
      </c>
      <c r="E408">
        <v>1</v>
      </c>
      <c r="F408" s="1">
        <v>42007</v>
      </c>
      <c r="G408" s="1" t="str">
        <f>TEXT(pizza_sales[[#This Row],[order_date]],"dddd")</f>
        <v>Saturday</v>
      </c>
      <c r="H408" s="2">
        <v>36526.728750000002</v>
      </c>
      <c r="I408">
        <v>16.5</v>
      </c>
      <c r="J408">
        <v>16.5</v>
      </c>
      <c r="K408" t="s">
        <v>13</v>
      </c>
      <c r="L408" t="s">
        <v>26</v>
      </c>
      <c r="M408" t="s">
        <v>48</v>
      </c>
      <c r="N408" t="s">
        <v>49</v>
      </c>
    </row>
    <row r="409" spans="1:14" x14ac:dyDescent="0.3">
      <c r="A409">
        <v>408</v>
      </c>
      <c r="B409">
        <v>172</v>
      </c>
      <c r="C409">
        <f>1/COUNTIF(pizza_sales[[#All],[order_id]],pizza_sales[[#This Row],[order_id]])</f>
        <v>0.33333333333333331</v>
      </c>
      <c r="D409" t="s">
        <v>32</v>
      </c>
      <c r="E409">
        <v>1</v>
      </c>
      <c r="F409" s="1">
        <v>42007</v>
      </c>
      <c r="G409" s="1" t="str">
        <f>TEXT(pizza_sales[[#This Row],[order_date]],"dddd")</f>
        <v>Saturday</v>
      </c>
      <c r="H409" s="2">
        <v>36526.728750000002</v>
      </c>
      <c r="I409">
        <v>20.75</v>
      </c>
      <c r="J409">
        <v>20.75</v>
      </c>
      <c r="K409" t="s">
        <v>21</v>
      </c>
      <c r="L409" t="s">
        <v>33</v>
      </c>
      <c r="M409" t="s">
        <v>34</v>
      </c>
      <c r="N409" t="s">
        <v>35</v>
      </c>
    </row>
    <row r="410" spans="1:14" x14ac:dyDescent="0.3">
      <c r="A410">
        <v>409</v>
      </c>
      <c r="B410">
        <v>173</v>
      </c>
      <c r="C410">
        <f>1/COUNTIF(pizza_sales[[#All],[order_id]],pizza_sales[[#This Row],[order_id]])</f>
        <v>0.33333333333333331</v>
      </c>
      <c r="D410" t="s">
        <v>76</v>
      </c>
      <c r="E410">
        <v>1</v>
      </c>
      <c r="F410" s="1">
        <v>42007</v>
      </c>
      <c r="G410" s="1" t="str">
        <f>TEXT(pizza_sales[[#This Row],[order_date]],"dddd")</f>
        <v>Saturday</v>
      </c>
      <c r="H410" s="2">
        <v>36526.732986111114</v>
      </c>
      <c r="I410">
        <v>16.75</v>
      </c>
      <c r="J410">
        <v>16.75</v>
      </c>
      <c r="K410" t="s">
        <v>13</v>
      </c>
      <c r="L410" t="s">
        <v>33</v>
      </c>
      <c r="M410" t="s">
        <v>74</v>
      </c>
      <c r="N410" t="s">
        <v>75</v>
      </c>
    </row>
    <row r="411" spans="1:14" x14ac:dyDescent="0.3">
      <c r="A411">
        <v>410</v>
      </c>
      <c r="B411">
        <v>173</v>
      </c>
      <c r="C411">
        <f>1/COUNTIF(pizza_sales[[#All],[order_id]],pizza_sales[[#This Row],[order_id]])</f>
        <v>0.33333333333333331</v>
      </c>
      <c r="D411" t="s">
        <v>17</v>
      </c>
      <c r="E411">
        <v>1</v>
      </c>
      <c r="F411" s="1">
        <v>42007</v>
      </c>
      <c r="G411" s="1" t="str">
        <f>TEXT(pizza_sales[[#This Row],[order_date]],"dddd")</f>
        <v>Saturday</v>
      </c>
      <c r="H411" s="2">
        <v>36526.732986111114</v>
      </c>
      <c r="I411">
        <v>16</v>
      </c>
      <c r="J411">
        <v>16</v>
      </c>
      <c r="K411" t="s">
        <v>13</v>
      </c>
      <c r="L411" t="s">
        <v>14</v>
      </c>
      <c r="M411" t="s">
        <v>18</v>
      </c>
      <c r="N411" t="s">
        <v>19</v>
      </c>
    </row>
    <row r="412" spans="1:14" x14ac:dyDescent="0.3">
      <c r="A412">
        <v>411</v>
      </c>
      <c r="B412">
        <v>173</v>
      </c>
      <c r="C412">
        <f>1/COUNTIF(pizza_sales[[#All],[order_id]],pizza_sales[[#This Row],[order_id]])</f>
        <v>0.33333333333333331</v>
      </c>
      <c r="D412" t="s">
        <v>122</v>
      </c>
      <c r="E412">
        <v>1</v>
      </c>
      <c r="F412" s="1">
        <v>42007</v>
      </c>
      <c r="G412" s="1" t="str">
        <f>TEXT(pizza_sales[[#This Row],[order_date]],"dddd")</f>
        <v>Saturday</v>
      </c>
      <c r="H412" s="2">
        <v>36526.732986111114</v>
      </c>
      <c r="I412">
        <v>20.25</v>
      </c>
      <c r="J412">
        <v>20.25</v>
      </c>
      <c r="K412" t="s">
        <v>21</v>
      </c>
      <c r="L412" t="s">
        <v>22</v>
      </c>
      <c r="M412" t="s">
        <v>66</v>
      </c>
      <c r="N412" t="s">
        <v>67</v>
      </c>
    </row>
    <row r="413" spans="1:14" x14ac:dyDescent="0.3">
      <c r="A413">
        <v>412</v>
      </c>
      <c r="B413">
        <v>174</v>
      </c>
      <c r="C413">
        <f>1/COUNTIF(pizza_sales[[#All],[order_id]],pizza_sales[[#This Row],[order_id]])</f>
        <v>0.25</v>
      </c>
      <c r="D413" t="s">
        <v>84</v>
      </c>
      <c r="E413">
        <v>1</v>
      </c>
      <c r="F413" s="1">
        <v>42007</v>
      </c>
      <c r="G413" s="1" t="str">
        <f>TEXT(pizza_sales[[#This Row],[order_date]],"dddd")</f>
        <v>Saturday</v>
      </c>
      <c r="H413" s="2">
        <v>36526.734594907408</v>
      </c>
      <c r="I413">
        <v>12</v>
      </c>
      <c r="J413">
        <v>12</v>
      </c>
      <c r="K413" t="s">
        <v>41</v>
      </c>
      <c r="L413" t="s">
        <v>14</v>
      </c>
      <c r="M413" t="s">
        <v>85</v>
      </c>
      <c r="N413" t="s">
        <v>86</v>
      </c>
    </row>
    <row r="414" spans="1:14" x14ac:dyDescent="0.3">
      <c r="A414">
        <v>413</v>
      </c>
      <c r="B414">
        <v>174</v>
      </c>
      <c r="C414">
        <f>1/COUNTIF(pizza_sales[[#All],[order_id]],pizza_sales[[#This Row],[order_id]])</f>
        <v>0.25</v>
      </c>
      <c r="D414" t="s">
        <v>73</v>
      </c>
      <c r="E414">
        <v>1</v>
      </c>
      <c r="F414" s="1">
        <v>42007</v>
      </c>
      <c r="G414" s="1" t="str">
        <f>TEXT(pizza_sales[[#This Row],[order_date]],"dddd")</f>
        <v>Saturday</v>
      </c>
      <c r="H414" s="2">
        <v>36526.734594907408</v>
      </c>
      <c r="I414">
        <v>20.75</v>
      </c>
      <c r="J414">
        <v>20.75</v>
      </c>
      <c r="K414" t="s">
        <v>21</v>
      </c>
      <c r="L414" t="s">
        <v>33</v>
      </c>
      <c r="M414" t="s">
        <v>74</v>
      </c>
      <c r="N414" t="s">
        <v>75</v>
      </c>
    </row>
    <row r="415" spans="1:14" x14ac:dyDescent="0.3">
      <c r="A415">
        <v>414</v>
      </c>
      <c r="B415">
        <v>174</v>
      </c>
      <c r="C415">
        <f>1/COUNTIF(pizza_sales[[#All],[order_id]],pizza_sales[[#This Row],[order_id]])</f>
        <v>0.25</v>
      </c>
      <c r="D415" t="s">
        <v>76</v>
      </c>
      <c r="E415">
        <v>1</v>
      </c>
      <c r="F415" s="1">
        <v>42007</v>
      </c>
      <c r="G415" s="1" t="str">
        <f>TEXT(pizza_sales[[#This Row],[order_date]],"dddd")</f>
        <v>Saturday</v>
      </c>
      <c r="H415" s="2">
        <v>36526.734594907408</v>
      </c>
      <c r="I415">
        <v>16.75</v>
      </c>
      <c r="J415">
        <v>16.75</v>
      </c>
      <c r="K415" t="s">
        <v>13</v>
      </c>
      <c r="L415" t="s">
        <v>33</v>
      </c>
      <c r="M415" t="s">
        <v>74</v>
      </c>
      <c r="N415" t="s">
        <v>75</v>
      </c>
    </row>
    <row r="416" spans="1:14" x14ac:dyDescent="0.3">
      <c r="A416">
        <v>415</v>
      </c>
      <c r="B416">
        <v>174</v>
      </c>
      <c r="C416">
        <f>1/COUNTIF(pizza_sales[[#All],[order_id]],pizza_sales[[#This Row],[order_id]])</f>
        <v>0.25</v>
      </c>
      <c r="D416" t="s">
        <v>116</v>
      </c>
      <c r="E416">
        <v>1</v>
      </c>
      <c r="F416" s="1">
        <v>42007</v>
      </c>
      <c r="G416" s="1" t="str">
        <f>TEXT(pizza_sales[[#This Row],[order_date]],"dddd")</f>
        <v>Saturday</v>
      </c>
      <c r="H416" s="2">
        <v>36526.734594907408</v>
      </c>
      <c r="I416">
        <v>16</v>
      </c>
      <c r="J416">
        <v>16</v>
      </c>
      <c r="K416" t="s">
        <v>13</v>
      </c>
      <c r="L416" t="s">
        <v>14</v>
      </c>
      <c r="M416" t="s">
        <v>55</v>
      </c>
      <c r="N416" t="s">
        <v>56</v>
      </c>
    </row>
    <row r="417" spans="1:14" x14ac:dyDescent="0.3">
      <c r="A417">
        <v>416</v>
      </c>
      <c r="B417">
        <v>175</v>
      </c>
      <c r="C417">
        <f>1/COUNTIF(pizza_sales[[#All],[order_id]],pizza_sales[[#This Row],[order_id]])</f>
        <v>1</v>
      </c>
      <c r="D417" t="s">
        <v>25</v>
      </c>
      <c r="E417">
        <v>1</v>
      </c>
      <c r="F417" s="1">
        <v>42007</v>
      </c>
      <c r="G417" s="1" t="str">
        <f>TEXT(pizza_sales[[#This Row],[order_date]],"dddd")</f>
        <v>Saturday</v>
      </c>
      <c r="H417" s="2">
        <v>36526.743645833332</v>
      </c>
      <c r="I417">
        <v>20.75</v>
      </c>
      <c r="J417">
        <v>20.75</v>
      </c>
      <c r="K417" t="s">
        <v>21</v>
      </c>
      <c r="L417" t="s">
        <v>26</v>
      </c>
      <c r="M417" t="s">
        <v>27</v>
      </c>
      <c r="N417" t="s">
        <v>28</v>
      </c>
    </row>
    <row r="418" spans="1:14" x14ac:dyDescent="0.3">
      <c r="A418">
        <v>417</v>
      </c>
      <c r="B418">
        <v>176</v>
      </c>
      <c r="C418">
        <f>1/COUNTIF(pizza_sales[[#All],[order_id]],pizza_sales[[#This Row],[order_id]])</f>
        <v>0.5</v>
      </c>
      <c r="D418" t="s">
        <v>73</v>
      </c>
      <c r="E418">
        <v>1</v>
      </c>
      <c r="F418" s="1">
        <v>42007</v>
      </c>
      <c r="G418" s="1" t="str">
        <f>TEXT(pizza_sales[[#This Row],[order_date]],"dddd")</f>
        <v>Saturday</v>
      </c>
      <c r="H418" s="2">
        <v>36526.744409722225</v>
      </c>
      <c r="I418">
        <v>20.75</v>
      </c>
      <c r="J418">
        <v>20.75</v>
      </c>
      <c r="K418" t="s">
        <v>21</v>
      </c>
      <c r="L418" t="s">
        <v>33</v>
      </c>
      <c r="M418" t="s">
        <v>74</v>
      </c>
      <c r="N418" t="s">
        <v>75</v>
      </c>
    </row>
    <row r="419" spans="1:14" x14ac:dyDescent="0.3">
      <c r="A419">
        <v>418</v>
      </c>
      <c r="B419">
        <v>176</v>
      </c>
      <c r="C419">
        <f>1/COUNTIF(pizza_sales[[#All],[order_id]],pizza_sales[[#This Row],[order_id]])</f>
        <v>0.5</v>
      </c>
      <c r="D419" t="s">
        <v>133</v>
      </c>
      <c r="E419">
        <v>1</v>
      </c>
      <c r="F419" s="1">
        <v>42007</v>
      </c>
      <c r="G419" s="1" t="str">
        <f>TEXT(pizza_sales[[#This Row],[order_date]],"dddd")</f>
        <v>Saturday</v>
      </c>
      <c r="H419" s="2">
        <v>36526.744409722225</v>
      </c>
      <c r="I419">
        <v>16.5</v>
      </c>
      <c r="J419">
        <v>16.5</v>
      </c>
      <c r="K419" t="s">
        <v>13</v>
      </c>
      <c r="L419" t="s">
        <v>26</v>
      </c>
      <c r="M419" t="s">
        <v>107</v>
      </c>
      <c r="N419" t="s">
        <v>108</v>
      </c>
    </row>
    <row r="420" spans="1:14" x14ac:dyDescent="0.3">
      <c r="A420">
        <v>419</v>
      </c>
      <c r="B420">
        <v>177</v>
      </c>
      <c r="C420">
        <f>1/COUNTIF(pizza_sales[[#All],[order_id]],pizza_sales[[#This Row],[order_id]])</f>
        <v>0.5</v>
      </c>
      <c r="D420" t="s">
        <v>93</v>
      </c>
      <c r="E420">
        <v>1</v>
      </c>
      <c r="F420" s="1">
        <v>42007</v>
      </c>
      <c r="G420" s="1" t="str">
        <f>TEXT(pizza_sales[[#This Row],[order_date]],"dddd")</f>
        <v>Saturday</v>
      </c>
      <c r="H420" s="2">
        <v>36526.746249999997</v>
      </c>
      <c r="I420">
        <v>12</v>
      </c>
      <c r="J420">
        <v>12</v>
      </c>
      <c r="K420" t="s">
        <v>41</v>
      </c>
      <c r="L420" t="s">
        <v>14</v>
      </c>
      <c r="M420" t="s">
        <v>94</v>
      </c>
      <c r="N420" t="s">
        <v>95</v>
      </c>
    </row>
    <row r="421" spans="1:14" x14ac:dyDescent="0.3">
      <c r="A421">
        <v>420</v>
      </c>
      <c r="B421">
        <v>177</v>
      </c>
      <c r="C421">
        <f>1/COUNTIF(pizza_sales[[#All],[order_id]],pizza_sales[[#This Row],[order_id]])</f>
        <v>0.5</v>
      </c>
      <c r="D421" t="s">
        <v>32</v>
      </c>
      <c r="E421">
        <v>1</v>
      </c>
      <c r="F421" s="1">
        <v>42007</v>
      </c>
      <c r="G421" s="1" t="str">
        <f>TEXT(pizza_sales[[#This Row],[order_date]],"dddd")</f>
        <v>Saturday</v>
      </c>
      <c r="H421" s="2">
        <v>36526.746249999997</v>
      </c>
      <c r="I421">
        <v>20.75</v>
      </c>
      <c r="J421">
        <v>20.75</v>
      </c>
      <c r="K421" t="s">
        <v>21</v>
      </c>
      <c r="L421" t="s">
        <v>33</v>
      </c>
      <c r="M421" t="s">
        <v>34</v>
      </c>
      <c r="N421" t="s">
        <v>35</v>
      </c>
    </row>
    <row r="422" spans="1:14" x14ac:dyDescent="0.3">
      <c r="A422">
        <v>421</v>
      </c>
      <c r="B422">
        <v>178</v>
      </c>
      <c r="C422">
        <f>1/COUNTIF(pizza_sales[[#All],[order_id]],pizza_sales[[#This Row],[order_id]])</f>
        <v>1</v>
      </c>
      <c r="D422" t="s">
        <v>135</v>
      </c>
      <c r="E422">
        <v>1</v>
      </c>
      <c r="F422" s="1">
        <v>42007</v>
      </c>
      <c r="G422" s="1" t="str">
        <f>TEXT(pizza_sales[[#This Row],[order_date]],"dddd")</f>
        <v>Saturday</v>
      </c>
      <c r="H422" s="2">
        <v>36526.760451388887</v>
      </c>
      <c r="I422">
        <v>20.75</v>
      </c>
      <c r="J422">
        <v>20.75</v>
      </c>
      <c r="K422" t="s">
        <v>21</v>
      </c>
      <c r="L422" t="s">
        <v>26</v>
      </c>
      <c r="M422" t="s">
        <v>107</v>
      </c>
      <c r="N422" t="s">
        <v>108</v>
      </c>
    </row>
    <row r="423" spans="1:14" x14ac:dyDescent="0.3">
      <c r="A423">
        <v>422</v>
      </c>
      <c r="B423">
        <v>179</v>
      </c>
      <c r="C423">
        <f>1/COUNTIF(pizza_sales[[#All],[order_id]],pizza_sales[[#This Row],[order_id]])</f>
        <v>0.33333333333333331</v>
      </c>
      <c r="D423" t="s">
        <v>142</v>
      </c>
      <c r="E423">
        <v>1</v>
      </c>
      <c r="F423" s="1">
        <v>42007</v>
      </c>
      <c r="G423" s="1" t="str">
        <f>TEXT(pizza_sales[[#This Row],[order_date]],"dddd")</f>
        <v>Saturday</v>
      </c>
      <c r="H423" s="2">
        <v>36526.764050925929</v>
      </c>
      <c r="I423">
        <v>16.5</v>
      </c>
      <c r="J423">
        <v>16.5</v>
      </c>
      <c r="K423" t="s">
        <v>21</v>
      </c>
      <c r="L423" t="s">
        <v>14</v>
      </c>
      <c r="M423" t="s">
        <v>15</v>
      </c>
      <c r="N423" t="s">
        <v>16</v>
      </c>
    </row>
    <row r="424" spans="1:14" x14ac:dyDescent="0.3">
      <c r="A424">
        <v>423</v>
      </c>
      <c r="B424">
        <v>179</v>
      </c>
      <c r="C424">
        <f>1/COUNTIF(pizza_sales[[#All],[order_id]],pizza_sales[[#This Row],[order_id]])</f>
        <v>0.33333333333333331</v>
      </c>
      <c r="D424" t="s">
        <v>121</v>
      </c>
      <c r="E424">
        <v>1</v>
      </c>
      <c r="F424" s="1">
        <v>42007</v>
      </c>
      <c r="G424" s="1" t="str">
        <f>TEXT(pizza_sales[[#This Row],[order_date]],"dddd")</f>
        <v>Saturday</v>
      </c>
      <c r="H424" s="2">
        <v>36526.764050925929</v>
      </c>
      <c r="I424">
        <v>16.25</v>
      </c>
      <c r="J424">
        <v>16.25</v>
      </c>
      <c r="K424" t="s">
        <v>13</v>
      </c>
      <c r="L424" t="s">
        <v>26</v>
      </c>
      <c r="M424" t="s">
        <v>114</v>
      </c>
      <c r="N424" t="s">
        <v>115</v>
      </c>
    </row>
    <row r="425" spans="1:14" x14ac:dyDescent="0.3">
      <c r="A425">
        <v>424</v>
      </c>
      <c r="B425">
        <v>179</v>
      </c>
      <c r="C425">
        <f>1/COUNTIF(pizza_sales[[#All],[order_id]],pizza_sales[[#This Row],[order_id]])</f>
        <v>0.33333333333333331</v>
      </c>
      <c r="D425" t="s">
        <v>65</v>
      </c>
      <c r="E425">
        <v>1</v>
      </c>
      <c r="F425" s="1">
        <v>42007</v>
      </c>
      <c r="G425" s="1" t="str">
        <f>TEXT(pizza_sales[[#This Row],[order_date]],"dddd")</f>
        <v>Saturday</v>
      </c>
      <c r="H425" s="2">
        <v>36526.764050925929</v>
      </c>
      <c r="I425">
        <v>12</v>
      </c>
      <c r="J425">
        <v>12</v>
      </c>
      <c r="K425" t="s">
        <v>41</v>
      </c>
      <c r="L425" t="s">
        <v>22</v>
      </c>
      <c r="M425" t="s">
        <v>66</v>
      </c>
      <c r="N425" t="s">
        <v>67</v>
      </c>
    </row>
    <row r="426" spans="1:14" x14ac:dyDescent="0.3">
      <c r="A426">
        <v>425</v>
      </c>
      <c r="B426">
        <v>180</v>
      </c>
      <c r="C426">
        <f>1/COUNTIF(pizza_sales[[#All],[order_id]],pizza_sales[[#This Row],[order_id]])</f>
        <v>0.5</v>
      </c>
      <c r="D426" t="s">
        <v>138</v>
      </c>
      <c r="E426">
        <v>1</v>
      </c>
      <c r="F426" s="1">
        <v>42007</v>
      </c>
      <c r="G426" s="1" t="str">
        <f>TEXT(pizza_sales[[#This Row],[order_date]],"dddd")</f>
        <v>Saturday</v>
      </c>
      <c r="H426" s="2">
        <v>36526.773310185185</v>
      </c>
      <c r="I426">
        <v>20.5</v>
      </c>
      <c r="J426">
        <v>20.5</v>
      </c>
      <c r="K426" t="s">
        <v>21</v>
      </c>
      <c r="L426" t="s">
        <v>14</v>
      </c>
      <c r="M426" t="s">
        <v>18</v>
      </c>
      <c r="N426" t="s">
        <v>19</v>
      </c>
    </row>
    <row r="427" spans="1:14" x14ac:dyDescent="0.3">
      <c r="A427">
        <v>426</v>
      </c>
      <c r="B427">
        <v>180</v>
      </c>
      <c r="C427">
        <f>1/COUNTIF(pizza_sales[[#All],[order_id]],pizza_sales[[#This Row],[order_id]])</f>
        <v>0.5</v>
      </c>
      <c r="D427" t="s">
        <v>37</v>
      </c>
      <c r="E427">
        <v>1</v>
      </c>
      <c r="F427" s="1">
        <v>42007</v>
      </c>
      <c r="G427" s="1" t="str">
        <f>TEXT(pizza_sales[[#This Row],[order_date]],"dddd")</f>
        <v>Saturday</v>
      </c>
      <c r="H427" s="2">
        <v>36526.773310185185</v>
      </c>
      <c r="I427">
        <v>20.75</v>
      </c>
      <c r="J427">
        <v>20.75</v>
      </c>
      <c r="K427" t="s">
        <v>21</v>
      </c>
      <c r="L427" t="s">
        <v>26</v>
      </c>
      <c r="M427" t="s">
        <v>38</v>
      </c>
      <c r="N427" t="s">
        <v>39</v>
      </c>
    </row>
    <row r="428" spans="1:14" x14ac:dyDescent="0.3">
      <c r="A428">
        <v>427</v>
      </c>
      <c r="B428">
        <v>181</v>
      </c>
      <c r="C428">
        <f>1/COUNTIF(pizza_sales[[#All],[order_id]],pizza_sales[[#This Row],[order_id]])</f>
        <v>1</v>
      </c>
      <c r="D428" t="s">
        <v>68</v>
      </c>
      <c r="E428">
        <v>1</v>
      </c>
      <c r="F428" s="1">
        <v>42007</v>
      </c>
      <c r="G428" s="1" t="str">
        <f>TEXT(pizza_sales[[#This Row],[order_date]],"dddd")</f>
        <v>Saturday</v>
      </c>
      <c r="H428" s="2">
        <v>36526.784398148149</v>
      </c>
      <c r="I428">
        <v>20.25</v>
      </c>
      <c r="J428">
        <v>20.25</v>
      </c>
      <c r="K428" t="s">
        <v>21</v>
      </c>
      <c r="L428" t="s">
        <v>22</v>
      </c>
      <c r="M428" t="s">
        <v>30</v>
      </c>
      <c r="N428" t="s">
        <v>31</v>
      </c>
    </row>
    <row r="429" spans="1:14" x14ac:dyDescent="0.3">
      <c r="A429">
        <v>428</v>
      </c>
      <c r="B429">
        <v>182</v>
      </c>
      <c r="C429">
        <f>1/COUNTIF(pizza_sales[[#All],[order_id]],pizza_sales[[#This Row],[order_id]])</f>
        <v>0.5</v>
      </c>
      <c r="D429" t="s">
        <v>165</v>
      </c>
      <c r="E429">
        <v>1</v>
      </c>
      <c r="F429" s="1">
        <v>42007</v>
      </c>
      <c r="G429" s="1" t="str">
        <f>TEXT(pizza_sales[[#This Row],[order_date]],"dddd")</f>
        <v>Saturday</v>
      </c>
      <c r="H429" s="2">
        <v>36526.784837962965</v>
      </c>
      <c r="I429">
        <v>23.65</v>
      </c>
      <c r="J429">
        <v>23.65</v>
      </c>
      <c r="K429" t="s">
        <v>41</v>
      </c>
      <c r="L429" t="s">
        <v>26</v>
      </c>
      <c r="M429" t="s">
        <v>166</v>
      </c>
      <c r="N429" t="s">
        <v>167</v>
      </c>
    </row>
    <row r="430" spans="1:14" x14ac:dyDescent="0.3">
      <c r="A430">
        <v>429</v>
      </c>
      <c r="B430">
        <v>182</v>
      </c>
      <c r="C430">
        <f>1/COUNTIF(pizza_sales[[#All],[order_id]],pizza_sales[[#This Row],[order_id]])</f>
        <v>0.5</v>
      </c>
      <c r="D430" t="s">
        <v>135</v>
      </c>
      <c r="E430">
        <v>1</v>
      </c>
      <c r="F430" s="1">
        <v>42007</v>
      </c>
      <c r="G430" s="1" t="str">
        <f>TEXT(pizza_sales[[#This Row],[order_date]],"dddd")</f>
        <v>Saturday</v>
      </c>
      <c r="H430" s="2">
        <v>36526.784837962965</v>
      </c>
      <c r="I430">
        <v>20.75</v>
      </c>
      <c r="J430">
        <v>20.75</v>
      </c>
      <c r="K430" t="s">
        <v>21</v>
      </c>
      <c r="L430" t="s">
        <v>26</v>
      </c>
      <c r="M430" t="s">
        <v>107</v>
      </c>
      <c r="N430" t="s">
        <v>108</v>
      </c>
    </row>
    <row r="431" spans="1:14" x14ac:dyDescent="0.3">
      <c r="A431">
        <v>430</v>
      </c>
      <c r="B431">
        <v>183</v>
      </c>
      <c r="C431">
        <f>1/COUNTIF(pizza_sales[[#All],[order_id]],pizza_sales[[#This Row],[order_id]])</f>
        <v>0.33333333333333331</v>
      </c>
      <c r="D431" t="s">
        <v>163</v>
      </c>
      <c r="E431">
        <v>1</v>
      </c>
      <c r="F431" s="1">
        <v>42007</v>
      </c>
      <c r="G431" s="1" t="str">
        <f>TEXT(pizza_sales[[#This Row],[order_date]],"dddd")</f>
        <v>Saturday</v>
      </c>
      <c r="H431" s="2">
        <v>36526.788136574076</v>
      </c>
      <c r="I431">
        <v>16</v>
      </c>
      <c r="J431">
        <v>16</v>
      </c>
      <c r="K431" t="s">
        <v>13</v>
      </c>
      <c r="L431" t="s">
        <v>14</v>
      </c>
      <c r="M431" t="s">
        <v>94</v>
      </c>
      <c r="N431" t="s">
        <v>95</v>
      </c>
    </row>
    <row r="432" spans="1:14" x14ac:dyDescent="0.3">
      <c r="A432">
        <v>431</v>
      </c>
      <c r="B432">
        <v>183</v>
      </c>
      <c r="C432">
        <f>1/COUNTIF(pizza_sales[[#All],[order_id]],pizza_sales[[#This Row],[order_id]])</f>
        <v>0.33333333333333331</v>
      </c>
      <c r="D432" t="s">
        <v>62</v>
      </c>
      <c r="E432">
        <v>1</v>
      </c>
      <c r="F432" s="1">
        <v>42007</v>
      </c>
      <c r="G432" s="1" t="str">
        <f>TEXT(pizza_sales[[#This Row],[order_date]],"dddd")</f>
        <v>Saturday</v>
      </c>
      <c r="H432" s="2">
        <v>36526.788136574076</v>
      </c>
      <c r="I432">
        <v>20.75</v>
      </c>
      <c r="J432">
        <v>20.75</v>
      </c>
      <c r="K432" t="s">
        <v>21</v>
      </c>
      <c r="L432" t="s">
        <v>22</v>
      </c>
      <c r="M432" t="s">
        <v>63</v>
      </c>
      <c r="N432" t="s">
        <v>64</v>
      </c>
    </row>
    <row r="433" spans="1:14" x14ac:dyDescent="0.3">
      <c r="A433">
        <v>432</v>
      </c>
      <c r="B433">
        <v>183</v>
      </c>
      <c r="C433">
        <f>1/COUNTIF(pizza_sales[[#All],[order_id]],pizza_sales[[#This Row],[order_id]])</f>
        <v>0.33333333333333331</v>
      </c>
      <c r="D433" t="s">
        <v>136</v>
      </c>
      <c r="E433">
        <v>1</v>
      </c>
      <c r="F433" s="1">
        <v>42007</v>
      </c>
      <c r="G433" s="1" t="str">
        <f>TEXT(pizza_sales[[#This Row],[order_date]],"dddd")</f>
        <v>Saturday</v>
      </c>
      <c r="H433" s="2">
        <v>36526.788136574076</v>
      </c>
      <c r="I433">
        <v>12.5</v>
      </c>
      <c r="J433">
        <v>12.5</v>
      </c>
      <c r="K433" t="s">
        <v>41</v>
      </c>
      <c r="L433" t="s">
        <v>22</v>
      </c>
      <c r="M433" t="s">
        <v>63</v>
      </c>
      <c r="N433" t="s">
        <v>64</v>
      </c>
    </row>
    <row r="434" spans="1:14" x14ac:dyDescent="0.3">
      <c r="A434">
        <v>433</v>
      </c>
      <c r="B434">
        <v>184</v>
      </c>
      <c r="C434">
        <f>1/COUNTIF(pizza_sales[[#All],[order_id]],pizza_sales[[#This Row],[order_id]])</f>
        <v>1</v>
      </c>
      <c r="D434" t="s">
        <v>142</v>
      </c>
      <c r="E434">
        <v>1</v>
      </c>
      <c r="F434" s="1">
        <v>42007</v>
      </c>
      <c r="G434" s="1" t="str">
        <f>TEXT(pizza_sales[[#This Row],[order_date]],"dddd")</f>
        <v>Saturday</v>
      </c>
      <c r="H434" s="2">
        <v>36526.791030092594</v>
      </c>
      <c r="I434">
        <v>16.5</v>
      </c>
      <c r="J434">
        <v>16.5</v>
      </c>
      <c r="K434" t="s">
        <v>21</v>
      </c>
      <c r="L434" t="s">
        <v>14</v>
      </c>
      <c r="M434" t="s">
        <v>15</v>
      </c>
      <c r="N434" t="s">
        <v>16</v>
      </c>
    </row>
    <row r="435" spans="1:14" x14ac:dyDescent="0.3">
      <c r="A435">
        <v>434</v>
      </c>
      <c r="B435">
        <v>185</v>
      </c>
      <c r="C435">
        <f>1/COUNTIF(pizza_sales[[#All],[order_id]],pizza_sales[[#This Row],[order_id]])</f>
        <v>0.5</v>
      </c>
      <c r="D435" t="s">
        <v>121</v>
      </c>
      <c r="E435">
        <v>1</v>
      </c>
      <c r="F435" s="1">
        <v>42007</v>
      </c>
      <c r="G435" s="1" t="str">
        <f>TEXT(pizza_sales[[#This Row],[order_date]],"dddd")</f>
        <v>Saturday</v>
      </c>
      <c r="H435" s="2">
        <v>36526.79760416667</v>
      </c>
      <c r="I435">
        <v>16.25</v>
      </c>
      <c r="J435">
        <v>16.25</v>
      </c>
      <c r="K435" t="s">
        <v>13</v>
      </c>
      <c r="L435" t="s">
        <v>26</v>
      </c>
      <c r="M435" t="s">
        <v>114</v>
      </c>
      <c r="N435" t="s">
        <v>115</v>
      </c>
    </row>
    <row r="436" spans="1:14" x14ac:dyDescent="0.3">
      <c r="A436">
        <v>435</v>
      </c>
      <c r="B436">
        <v>185</v>
      </c>
      <c r="C436">
        <f>1/COUNTIF(pizza_sales[[#All],[order_id]],pizza_sales[[#This Row],[order_id]])</f>
        <v>0.5</v>
      </c>
      <c r="D436" t="s">
        <v>136</v>
      </c>
      <c r="E436">
        <v>1</v>
      </c>
      <c r="F436" s="1">
        <v>42007</v>
      </c>
      <c r="G436" s="1" t="str">
        <f>TEXT(pizza_sales[[#This Row],[order_date]],"dddd")</f>
        <v>Saturday</v>
      </c>
      <c r="H436" s="2">
        <v>36526.79760416667</v>
      </c>
      <c r="I436">
        <v>12.5</v>
      </c>
      <c r="J436">
        <v>12.5</v>
      </c>
      <c r="K436" t="s">
        <v>41</v>
      </c>
      <c r="L436" t="s">
        <v>22</v>
      </c>
      <c r="M436" t="s">
        <v>63</v>
      </c>
      <c r="N436" t="s">
        <v>64</v>
      </c>
    </row>
    <row r="437" spans="1:14" x14ac:dyDescent="0.3">
      <c r="A437">
        <v>436</v>
      </c>
      <c r="B437">
        <v>186</v>
      </c>
      <c r="C437">
        <f>1/COUNTIF(pizza_sales[[#All],[order_id]],pizza_sales[[#This Row],[order_id]])</f>
        <v>0.25</v>
      </c>
      <c r="D437" t="s">
        <v>68</v>
      </c>
      <c r="E437">
        <v>1</v>
      </c>
      <c r="F437" s="1">
        <v>42007</v>
      </c>
      <c r="G437" s="1" t="str">
        <f>TEXT(pizza_sales[[#This Row],[order_date]],"dddd")</f>
        <v>Saturday</v>
      </c>
      <c r="H437" s="2">
        <v>36526.816666666666</v>
      </c>
      <c r="I437">
        <v>20.25</v>
      </c>
      <c r="J437">
        <v>20.25</v>
      </c>
      <c r="K437" t="s">
        <v>21</v>
      </c>
      <c r="L437" t="s">
        <v>22</v>
      </c>
      <c r="M437" t="s">
        <v>30</v>
      </c>
      <c r="N437" t="s">
        <v>31</v>
      </c>
    </row>
    <row r="438" spans="1:14" x14ac:dyDescent="0.3">
      <c r="A438">
        <v>437</v>
      </c>
      <c r="B438">
        <v>186</v>
      </c>
      <c r="C438">
        <f>1/COUNTIF(pizza_sales[[#All],[order_id]],pizza_sales[[#This Row],[order_id]])</f>
        <v>0.25</v>
      </c>
      <c r="D438" t="s">
        <v>69</v>
      </c>
      <c r="E438">
        <v>1</v>
      </c>
      <c r="F438" s="1">
        <v>42007</v>
      </c>
      <c r="G438" s="1" t="str">
        <f>TEXT(pizza_sales[[#This Row],[order_date]],"dddd")</f>
        <v>Saturday</v>
      </c>
      <c r="H438" s="2">
        <v>36526.816666666666</v>
      </c>
      <c r="I438">
        <v>20.75</v>
      </c>
      <c r="J438">
        <v>20.75</v>
      </c>
      <c r="K438" t="s">
        <v>21</v>
      </c>
      <c r="L438" t="s">
        <v>33</v>
      </c>
      <c r="M438" t="s">
        <v>70</v>
      </c>
      <c r="N438" t="s">
        <v>71</v>
      </c>
    </row>
    <row r="439" spans="1:14" x14ac:dyDescent="0.3">
      <c r="A439">
        <v>438</v>
      </c>
      <c r="B439">
        <v>186</v>
      </c>
      <c r="C439">
        <f>1/COUNTIF(pizza_sales[[#All],[order_id]],pizza_sales[[#This Row],[order_id]])</f>
        <v>0.25</v>
      </c>
      <c r="D439" t="s">
        <v>62</v>
      </c>
      <c r="E439">
        <v>1</v>
      </c>
      <c r="F439" s="1">
        <v>42007</v>
      </c>
      <c r="G439" s="1" t="str">
        <f>TEXT(pizza_sales[[#This Row],[order_date]],"dddd")</f>
        <v>Saturday</v>
      </c>
      <c r="H439" s="2">
        <v>36526.816666666666</v>
      </c>
      <c r="I439">
        <v>20.75</v>
      </c>
      <c r="J439">
        <v>20.75</v>
      </c>
      <c r="K439" t="s">
        <v>21</v>
      </c>
      <c r="L439" t="s">
        <v>22</v>
      </c>
      <c r="M439" t="s">
        <v>63</v>
      </c>
      <c r="N439" t="s">
        <v>64</v>
      </c>
    </row>
    <row r="440" spans="1:14" x14ac:dyDescent="0.3">
      <c r="A440">
        <v>439</v>
      </c>
      <c r="B440">
        <v>186</v>
      </c>
      <c r="C440">
        <f>1/COUNTIF(pizza_sales[[#All],[order_id]],pizza_sales[[#This Row],[order_id]])</f>
        <v>0.25</v>
      </c>
      <c r="D440" t="s">
        <v>32</v>
      </c>
      <c r="E440">
        <v>1</v>
      </c>
      <c r="F440" s="1">
        <v>42007</v>
      </c>
      <c r="G440" s="1" t="str">
        <f>TEXT(pizza_sales[[#This Row],[order_date]],"dddd")</f>
        <v>Saturday</v>
      </c>
      <c r="H440" s="2">
        <v>36526.816666666666</v>
      </c>
      <c r="I440">
        <v>20.75</v>
      </c>
      <c r="J440">
        <v>20.75</v>
      </c>
      <c r="K440" t="s">
        <v>21</v>
      </c>
      <c r="L440" t="s">
        <v>33</v>
      </c>
      <c r="M440" t="s">
        <v>34</v>
      </c>
      <c r="N440" t="s">
        <v>35</v>
      </c>
    </row>
    <row r="441" spans="1:14" x14ac:dyDescent="0.3">
      <c r="A441">
        <v>440</v>
      </c>
      <c r="B441">
        <v>187</v>
      </c>
      <c r="C441">
        <f>1/COUNTIF(pizza_sales[[#All],[order_id]],pizza_sales[[#This Row],[order_id]])</f>
        <v>0.5</v>
      </c>
      <c r="D441" t="s">
        <v>20</v>
      </c>
      <c r="E441">
        <v>1</v>
      </c>
      <c r="F441" s="1">
        <v>42007</v>
      </c>
      <c r="G441" s="1" t="str">
        <f>TEXT(pizza_sales[[#This Row],[order_date]],"dddd")</f>
        <v>Saturday</v>
      </c>
      <c r="H441" s="2">
        <v>36526.817499999997</v>
      </c>
      <c r="I441">
        <v>18.5</v>
      </c>
      <c r="J441">
        <v>18.5</v>
      </c>
      <c r="K441" t="s">
        <v>21</v>
      </c>
      <c r="L441" t="s">
        <v>22</v>
      </c>
      <c r="M441" t="s">
        <v>23</v>
      </c>
      <c r="N441" t="s">
        <v>24</v>
      </c>
    </row>
    <row r="442" spans="1:14" x14ac:dyDescent="0.3">
      <c r="A442">
        <v>441</v>
      </c>
      <c r="B442">
        <v>187</v>
      </c>
      <c r="C442">
        <f>1/COUNTIF(pizza_sales[[#All],[order_id]],pizza_sales[[#This Row],[order_id]])</f>
        <v>0.5</v>
      </c>
      <c r="D442" t="s">
        <v>62</v>
      </c>
      <c r="E442">
        <v>1</v>
      </c>
      <c r="F442" s="1">
        <v>42007</v>
      </c>
      <c r="G442" s="1" t="str">
        <f>TEXT(pizza_sales[[#This Row],[order_date]],"dddd")</f>
        <v>Saturday</v>
      </c>
      <c r="H442" s="2">
        <v>36526.817499999997</v>
      </c>
      <c r="I442">
        <v>20.75</v>
      </c>
      <c r="J442">
        <v>20.75</v>
      </c>
      <c r="K442" t="s">
        <v>21</v>
      </c>
      <c r="L442" t="s">
        <v>22</v>
      </c>
      <c r="M442" t="s">
        <v>63</v>
      </c>
      <c r="N442" t="s">
        <v>64</v>
      </c>
    </row>
    <row r="443" spans="1:14" x14ac:dyDescent="0.3">
      <c r="A443">
        <v>442</v>
      </c>
      <c r="B443">
        <v>188</v>
      </c>
      <c r="C443">
        <f>1/COUNTIF(pizza_sales[[#All],[order_id]],pizza_sales[[#This Row],[order_id]])</f>
        <v>0.33333333333333331</v>
      </c>
      <c r="D443" t="s">
        <v>20</v>
      </c>
      <c r="E443">
        <v>1</v>
      </c>
      <c r="F443" s="1">
        <v>42007</v>
      </c>
      <c r="G443" s="1" t="str">
        <f>TEXT(pizza_sales[[#This Row],[order_date]],"dddd")</f>
        <v>Saturday</v>
      </c>
      <c r="H443" s="2">
        <v>36526.83934027778</v>
      </c>
      <c r="I443">
        <v>18.5</v>
      </c>
      <c r="J443">
        <v>18.5</v>
      </c>
      <c r="K443" t="s">
        <v>21</v>
      </c>
      <c r="L443" t="s">
        <v>22</v>
      </c>
      <c r="M443" t="s">
        <v>23</v>
      </c>
      <c r="N443" t="s">
        <v>24</v>
      </c>
    </row>
    <row r="444" spans="1:14" x14ac:dyDescent="0.3">
      <c r="A444">
        <v>443</v>
      </c>
      <c r="B444">
        <v>188</v>
      </c>
      <c r="C444">
        <f>1/COUNTIF(pizza_sales[[#All],[order_id]],pizza_sales[[#This Row],[order_id]])</f>
        <v>0.33333333333333331</v>
      </c>
      <c r="D444" t="s">
        <v>126</v>
      </c>
      <c r="E444">
        <v>1</v>
      </c>
      <c r="F444" s="1">
        <v>42007</v>
      </c>
      <c r="G444" s="1" t="str">
        <f>TEXT(pizza_sales[[#This Row],[order_date]],"dddd")</f>
        <v>Saturday</v>
      </c>
      <c r="H444" s="2">
        <v>36526.83934027778</v>
      </c>
      <c r="I444">
        <v>9.75</v>
      </c>
      <c r="J444">
        <v>9.75</v>
      </c>
      <c r="K444" t="s">
        <v>41</v>
      </c>
      <c r="L444" t="s">
        <v>14</v>
      </c>
      <c r="M444" t="s">
        <v>78</v>
      </c>
      <c r="N444" t="s">
        <v>79</v>
      </c>
    </row>
    <row r="445" spans="1:14" x14ac:dyDescent="0.3">
      <c r="A445">
        <v>444</v>
      </c>
      <c r="B445">
        <v>188</v>
      </c>
      <c r="C445">
        <f>1/COUNTIF(pizza_sales[[#All],[order_id]],pizza_sales[[#This Row],[order_id]])</f>
        <v>0.33333333333333331</v>
      </c>
      <c r="D445" t="s">
        <v>135</v>
      </c>
      <c r="E445">
        <v>1</v>
      </c>
      <c r="F445" s="1">
        <v>42007</v>
      </c>
      <c r="G445" s="1" t="str">
        <f>TEXT(pizza_sales[[#This Row],[order_date]],"dddd")</f>
        <v>Saturday</v>
      </c>
      <c r="H445" s="2">
        <v>36526.83934027778</v>
      </c>
      <c r="I445">
        <v>20.75</v>
      </c>
      <c r="J445">
        <v>20.75</v>
      </c>
      <c r="K445" t="s">
        <v>21</v>
      </c>
      <c r="L445" t="s">
        <v>26</v>
      </c>
      <c r="M445" t="s">
        <v>107</v>
      </c>
      <c r="N445" t="s">
        <v>108</v>
      </c>
    </row>
    <row r="446" spans="1:14" x14ac:dyDescent="0.3">
      <c r="A446">
        <v>445</v>
      </c>
      <c r="B446">
        <v>189</v>
      </c>
      <c r="C446">
        <f>1/COUNTIF(pizza_sales[[#All],[order_id]],pizza_sales[[#This Row],[order_id]])</f>
        <v>0.5</v>
      </c>
      <c r="D446" t="s">
        <v>84</v>
      </c>
      <c r="E446">
        <v>2</v>
      </c>
      <c r="F446" s="1">
        <v>42007</v>
      </c>
      <c r="G446" s="1" t="str">
        <f>TEXT(pizza_sales[[#This Row],[order_date]],"dddd")</f>
        <v>Saturday</v>
      </c>
      <c r="H446" s="2">
        <v>36526.841828703706</v>
      </c>
      <c r="I446">
        <v>12</v>
      </c>
      <c r="J446">
        <v>24</v>
      </c>
      <c r="K446" t="s">
        <v>41</v>
      </c>
      <c r="L446" t="s">
        <v>14</v>
      </c>
      <c r="M446" t="s">
        <v>85</v>
      </c>
      <c r="N446" t="s">
        <v>86</v>
      </c>
    </row>
    <row r="447" spans="1:14" x14ac:dyDescent="0.3">
      <c r="A447">
        <v>446</v>
      </c>
      <c r="B447">
        <v>189</v>
      </c>
      <c r="C447">
        <f>1/COUNTIF(pizza_sales[[#All],[order_id]],pizza_sales[[#This Row],[order_id]])</f>
        <v>0.5</v>
      </c>
      <c r="D447" t="s">
        <v>151</v>
      </c>
      <c r="E447">
        <v>1</v>
      </c>
      <c r="F447" s="1">
        <v>42007</v>
      </c>
      <c r="G447" s="1" t="str">
        <f>TEXT(pizza_sales[[#This Row],[order_date]],"dddd")</f>
        <v>Saturday</v>
      </c>
      <c r="H447" s="2">
        <v>36526.841828703706</v>
      </c>
      <c r="I447">
        <v>12.75</v>
      </c>
      <c r="J447">
        <v>12.75</v>
      </c>
      <c r="K447" t="s">
        <v>41</v>
      </c>
      <c r="L447" t="s">
        <v>33</v>
      </c>
      <c r="M447" t="s">
        <v>34</v>
      </c>
      <c r="N447" t="s">
        <v>35</v>
      </c>
    </row>
    <row r="448" spans="1:14" x14ac:dyDescent="0.3">
      <c r="A448">
        <v>447</v>
      </c>
      <c r="B448">
        <v>190</v>
      </c>
      <c r="C448">
        <f>1/COUNTIF(pizza_sales[[#All],[order_id]],pizza_sales[[#This Row],[order_id]])</f>
        <v>0.25</v>
      </c>
      <c r="D448" t="s">
        <v>72</v>
      </c>
      <c r="E448">
        <v>1</v>
      </c>
      <c r="F448" s="1">
        <v>42007</v>
      </c>
      <c r="G448" s="1" t="str">
        <f>TEXT(pizza_sales[[#This Row],[order_date]],"dddd")</f>
        <v>Saturday</v>
      </c>
      <c r="H448" s="2">
        <v>36526.843321759261</v>
      </c>
      <c r="I448">
        <v>20.75</v>
      </c>
      <c r="J448">
        <v>20.75</v>
      </c>
      <c r="K448" t="s">
        <v>21</v>
      </c>
      <c r="L448" t="s">
        <v>33</v>
      </c>
      <c r="M448" t="s">
        <v>42</v>
      </c>
      <c r="N448" t="s">
        <v>43</v>
      </c>
    </row>
    <row r="449" spans="1:14" x14ac:dyDescent="0.3">
      <c r="A449">
        <v>448</v>
      </c>
      <c r="B449">
        <v>190</v>
      </c>
      <c r="C449">
        <f>1/COUNTIF(pizza_sales[[#All],[order_id]],pizza_sales[[#This Row],[order_id]])</f>
        <v>0.25</v>
      </c>
      <c r="D449" t="s">
        <v>99</v>
      </c>
      <c r="E449">
        <v>1</v>
      </c>
      <c r="F449" s="1">
        <v>42007</v>
      </c>
      <c r="G449" s="1" t="str">
        <f>TEXT(pizza_sales[[#This Row],[order_date]],"dddd")</f>
        <v>Saturday</v>
      </c>
      <c r="H449" s="2">
        <v>36526.843321759261</v>
      </c>
      <c r="I449">
        <v>14.75</v>
      </c>
      <c r="J449">
        <v>14.75</v>
      </c>
      <c r="K449" t="s">
        <v>13</v>
      </c>
      <c r="L449" t="s">
        <v>22</v>
      </c>
      <c r="M449" t="s">
        <v>91</v>
      </c>
      <c r="N449" t="s">
        <v>92</v>
      </c>
    </row>
    <row r="450" spans="1:14" x14ac:dyDescent="0.3">
      <c r="A450">
        <v>449</v>
      </c>
      <c r="B450">
        <v>190</v>
      </c>
      <c r="C450">
        <f>1/COUNTIF(pizza_sales[[#All],[order_id]],pizza_sales[[#This Row],[order_id]])</f>
        <v>0.25</v>
      </c>
      <c r="D450" t="s">
        <v>143</v>
      </c>
      <c r="E450">
        <v>1</v>
      </c>
      <c r="F450" s="1">
        <v>42007</v>
      </c>
      <c r="G450" s="1" t="str">
        <f>TEXT(pizza_sales[[#This Row],[order_date]],"dddd")</f>
        <v>Saturday</v>
      </c>
      <c r="H450" s="2">
        <v>36526.843321759261</v>
      </c>
      <c r="I450">
        <v>11</v>
      </c>
      <c r="J450">
        <v>11</v>
      </c>
      <c r="K450" t="s">
        <v>41</v>
      </c>
      <c r="L450" t="s">
        <v>14</v>
      </c>
      <c r="M450" t="s">
        <v>130</v>
      </c>
      <c r="N450" t="s">
        <v>131</v>
      </c>
    </row>
    <row r="451" spans="1:14" x14ac:dyDescent="0.3">
      <c r="A451">
        <v>450</v>
      </c>
      <c r="B451">
        <v>190</v>
      </c>
      <c r="C451">
        <f>1/COUNTIF(pizza_sales[[#All],[order_id]],pizza_sales[[#This Row],[order_id]])</f>
        <v>0.25</v>
      </c>
      <c r="D451" t="s">
        <v>37</v>
      </c>
      <c r="E451">
        <v>1</v>
      </c>
      <c r="F451" s="1">
        <v>42007</v>
      </c>
      <c r="G451" s="1" t="str">
        <f>TEXT(pizza_sales[[#This Row],[order_date]],"dddd")</f>
        <v>Saturday</v>
      </c>
      <c r="H451" s="2">
        <v>36526.843321759261</v>
      </c>
      <c r="I451">
        <v>20.75</v>
      </c>
      <c r="J451">
        <v>20.75</v>
      </c>
      <c r="K451" t="s">
        <v>21</v>
      </c>
      <c r="L451" t="s">
        <v>26</v>
      </c>
      <c r="M451" t="s">
        <v>38</v>
      </c>
      <c r="N451" t="s">
        <v>39</v>
      </c>
    </row>
    <row r="452" spans="1:14" x14ac:dyDescent="0.3">
      <c r="A452">
        <v>451</v>
      </c>
      <c r="B452">
        <v>191</v>
      </c>
      <c r="C452">
        <f>1/COUNTIF(pizza_sales[[#All],[order_id]],pizza_sales[[#This Row],[order_id]])</f>
        <v>0.5</v>
      </c>
      <c r="D452" t="s">
        <v>73</v>
      </c>
      <c r="E452">
        <v>1</v>
      </c>
      <c r="F452" s="1">
        <v>42007</v>
      </c>
      <c r="G452" s="1" t="str">
        <f>TEXT(pizza_sales[[#This Row],[order_date]],"dddd")</f>
        <v>Saturday</v>
      </c>
      <c r="H452" s="2">
        <v>36526.850578703707</v>
      </c>
      <c r="I452">
        <v>20.75</v>
      </c>
      <c r="J452">
        <v>20.75</v>
      </c>
      <c r="K452" t="s">
        <v>21</v>
      </c>
      <c r="L452" t="s">
        <v>33</v>
      </c>
      <c r="M452" t="s">
        <v>74</v>
      </c>
      <c r="N452" t="s">
        <v>75</v>
      </c>
    </row>
    <row r="453" spans="1:14" x14ac:dyDescent="0.3">
      <c r="A453">
        <v>452</v>
      </c>
      <c r="B453">
        <v>191</v>
      </c>
      <c r="C453">
        <f>1/COUNTIF(pizza_sales[[#All],[order_id]],pizza_sales[[#This Row],[order_id]])</f>
        <v>0.5</v>
      </c>
      <c r="D453" t="s">
        <v>134</v>
      </c>
      <c r="E453">
        <v>1</v>
      </c>
      <c r="F453" s="1">
        <v>42007</v>
      </c>
      <c r="G453" s="1" t="str">
        <f>TEXT(pizza_sales[[#This Row],[order_date]],"dddd")</f>
        <v>Saturday</v>
      </c>
      <c r="H453" s="2">
        <v>36526.850578703707</v>
      </c>
      <c r="I453">
        <v>16.75</v>
      </c>
      <c r="J453">
        <v>16.75</v>
      </c>
      <c r="K453" t="s">
        <v>13</v>
      </c>
      <c r="L453" t="s">
        <v>33</v>
      </c>
      <c r="M453" t="s">
        <v>124</v>
      </c>
      <c r="N453" t="s">
        <v>125</v>
      </c>
    </row>
    <row r="454" spans="1:14" x14ac:dyDescent="0.3">
      <c r="A454">
        <v>453</v>
      </c>
      <c r="B454">
        <v>192</v>
      </c>
      <c r="C454">
        <f>1/COUNTIF(pizza_sales[[#All],[order_id]],pizza_sales[[#This Row],[order_id]])</f>
        <v>0.5</v>
      </c>
      <c r="D454" t="s">
        <v>149</v>
      </c>
      <c r="E454">
        <v>1</v>
      </c>
      <c r="F454" s="1">
        <v>42007</v>
      </c>
      <c r="G454" s="1" t="str">
        <f>TEXT(pizza_sales[[#This Row],[order_date]],"dddd")</f>
        <v>Saturday</v>
      </c>
      <c r="H454" s="2">
        <v>36526.854259259257</v>
      </c>
      <c r="I454">
        <v>12.25</v>
      </c>
      <c r="J454">
        <v>12.25</v>
      </c>
      <c r="K454" t="s">
        <v>41</v>
      </c>
      <c r="L454" t="s">
        <v>26</v>
      </c>
      <c r="M454" t="s">
        <v>114</v>
      </c>
      <c r="N454" t="s">
        <v>115</v>
      </c>
    </row>
    <row r="455" spans="1:14" x14ac:dyDescent="0.3">
      <c r="A455">
        <v>454</v>
      </c>
      <c r="B455">
        <v>192</v>
      </c>
      <c r="C455">
        <f>1/COUNTIF(pizza_sales[[#All],[order_id]],pizza_sales[[#This Row],[order_id]])</f>
        <v>0.5</v>
      </c>
      <c r="D455" t="s">
        <v>69</v>
      </c>
      <c r="E455">
        <v>1</v>
      </c>
      <c r="F455" s="1">
        <v>42007</v>
      </c>
      <c r="G455" s="1" t="str">
        <f>TEXT(pizza_sales[[#This Row],[order_date]],"dddd")</f>
        <v>Saturday</v>
      </c>
      <c r="H455" s="2">
        <v>36526.854259259257</v>
      </c>
      <c r="I455">
        <v>20.75</v>
      </c>
      <c r="J455">
        <v>20.75</v>
      </c>
      <c r="K455" t="s">
        <v>21</v>
      </c>
      <c r="L455" t="s">
        <v>33</v>
      </c>
      <c r="M455" t="s">
        <v>70</v>
      </c>
      <c r="N455" t="s">
        <v>71</v>
      </c>
    </row>
    <row r="456" spans="1:14" x14ac:dyDescent="0.3">
      <c r="A456">
        <v>455</v>
      </c>
      <c r="B456">
        <v>193</v>
      </c>
      <c r="C456">
        <f>1/COUNTIF(pizza_sales[[#All],[order_id]],pizza_sales[[#This Row],[order_id]])</f>
        <v>0.33333333333333331</v>
      </c>
      <c r="D456" t="s">
        <v>84</v>
      </c>
      <c r="E456">
        <v>1</v>
      </c>
      <c r="F456" s="1">
        <v>42007</v>
      </c>
      <c r="G456" s="1" t="str">
        <f>TEXT(pizza_sales[[#This Row],[order_date]],"dddd")</f>
        <v>Saturday</v>
      </c>
      <c r="H456" s="2">
        <v>36526.872071759259</v>
      </c>
      <c r="I456">
        <v>12</v>
      </c>
      <c r="J456">
        <v>12</v>
      </c>
      <c r="K456" t="s">
        <v>41</v>
      </c>
      <c r="L456" t="s">
        <v>14</v>
      </c>
      <c r="M456" t="s">
        <v>85</v>
      </c>
      <c r="N456" t="s">
        <v>86</v>
      </c>
    </row>
    <row r="457" spans="1:14" x14ac:dyDescent="0.3">
      <c r="A457">
        <v>456</v>
      </c>
      <c r="B457">
        <v>193</v>
      </c>
      <c r="C457">
        <f>1/COUNTIF(pizza_sales[[#All],[order_id]],pizza_sales[[#This Row],[order_id]])</f>
        <v>0.33333333333333331</v>
      </c>
      <c r="D457" t="s">
        <v>76</v>
      </c>
      <c r="E457">
        <v>1</v>
      </c>
      <c r="F457" s="1">
        <v>42007</v>
      </c>
      <c r="G457" s="1" t="str">
        <f>TEXT(pizza_sales[[#This Row],[order_date]],"dddd")</f>
        <v>Saturday</v>
      </c>
      <c r="H457" s="2">
        <v>36526.872071759259</v>
      </c>
      <c r="I457">
        <v>16.75</v>
      </c>
      <c r="J457">
        <v>16.75</v>
      </c>
      <c r="K457" t="s">
        <v>13</v>
      </c>
      <c r="L457" t="s">
        <v>33</v>
      </c>
      <c r="M457" t="s">
        <v>74</v>
      </c>
      <c r="N457" t="s">
        <v>75</v>
      </c>
    </row>
    <row r="458" spans="1:14" x14ac:dyDescent="0.3">
      <c r="A458">
        <v>457</v>
      </c>
      <c r="B458">
        <v>193</v>
      </c>
      <c r="C458">
        <f>1/COUNTIF(pizza_sales[[#All],[order_id]],pizza_sales[[#This Row],[order_id]])</f>
        <v>0.33333333333333331</v>
      </c>
      <c r="D458" t="s">
        <v>168</v>
      </c>
      <c r="E458">
        <v>2</v>
      </c>
      <c r="F458" s="1">
        <v>42007</v>
      </c>
      <c r="G458" s="1" t="str">
        <f>TEXT(pizza_sales[[#This Row],[order_date]],"dddd")</f>
        <v>Saturday</v>
      </c>
      <c r="H458" s="2">
        <v>36526.872071759259</v>
      </c>
      <c r="I458">
        <v>20.75</v>
      </c>
      <c r="J458">
        <v>41.5</v>
      </c>
      <c r="K458" t="s">
        <v>21</v>
      </c>
      <c r="L458" t="s">
        <v>33</v>
      </c>
      <c r="M458" t="s">
        <v>124</v>
      </c>
      <c r="N458" t="s">
        <v>125</v>
      </c>
    </row>
    <row r="459" spans="1:14" x14ac:dyDescent="0.3">
      <c r="A459">
        <v>458</v>
      </c>
      <c r="B459">
        <v>194</v>
      </c>
      <c r="C459">
        <f>1/COUNTIF(pizza_sales[[#All],[order_id]],pizza_sales[[#This Row],[order_id]])</f>
        <v>1</v>
      </c>
      <c r="D459" t="s">
        <v>40</v>
      </c>
      <c r="E459">
        <v>1</v>
      </c>
      <c r="F459" s="1">
        <v>42007</v>
      </c>
      <c r="G459" s="1" t="str">
        <f>TEXT(pizza_sales[[#This Row],[order_date]],"dddd")</f>
        <v>Saturday</v>
      </c>
      <c r="H459" s="2">
        <v>36526.889861111114</v>
      </c>
      <c r="I459">
        <v>12.75</v>
      </c>
      <c r="J459">
        <v>12.75</v>
      </c>
      <c r="K459" t="s">
        <v>41</v>
      </c>
      <c r="L459" t="s">
        <v>33</v>
      </c>
      <c r="M459" t="s">
        <v>42</v>
      </c>
      <c r="N459" t="s">
        <v>43</v>
      </c>
    </row>
    <row r="460" spans="1:14" x14ac:dyDescent="0.3">
      <c r="A460">
        <v>459</v>
      </c>
      <c r="B460">
        <v>195</v>
      </c>
      <c r="C460">
        <f>1/COUNTIF(pizza_sales[[#All],[order_id]],pizza_sales[[#This Row],[order_id]])</f>
        <v>1</v>
      </c>
      <c r="D460" t="s">
        <v>72</v>
      </c>
      <c r="E460">
        <v>1</v>
      </c>
      <c r="F460" s="1">
        <v>42007</v>
      </c>
      <c r="G460" s="1" t="str">
        <f>TEXT(pizza_sales[[#This Row],[order_date]],"dddd")</f>
        <v>Saturday</v>
      </c>
      <c r="H460" s="2">
        <v>36526.892592592594</v>
      </c>
      <c r="I460">
        <v>20.75</v>
      </c>
      <c r="J460">
        <v>20.75</v>
      </c>
      <c r="K460" t="s">
        <v>21</v>
      </c>
      <c r="L460" t="s">
        <v>33</v>
      </c>
      <c r="M460" t="s">
        <v>42</v>
      </c>
      <c r="N460" t="s">
        <v>43</v>
      </c>
    </row>
    <row r="461" spans="1:14" x14ac:dyDescent="0.3">
      <c r="A461">
        <v>460</v>
      </c>
      <c r="B461">
        <v>196</v>
      </c>
      <c r="C461">
        <f>1/COUNTIF(pizza_sales[[#All],[order_id]],pizza_sales[[#This Row],[order_id]])</f>
        <v>0.33333333333333331</v>
      </c>
      <c r="D461" t="s">
        <v>149</v>
      </c>
      <c r="E461">
        <v>1</v>
      </c>
      <c r="F461" s="1">
        <v>42007</v>
      </c>
      <c r="G461" s="1" t="str">
        <f>TEXT(pizza_sales[[#This Row],[order_date]],"dddd")</f>
        <v>Saturday</v>
      </c>
      <c r="H461" s="2">
        <v>36526.902939814812</v>
      </c>
      <c r="I461">
        <v>12.25</v>
      </c>
      <c r="J461">
        <v>12.25</v>
      </c>
      <c r="K461" t="s">
        <v>41</v>
      </c>
      <c r="L461" t="s">
        <v>26</v>
      </c>
      <c r="M461" t="s">
        <v>114</v>
      </c>
      <c r="N461" t="s">
        <v>115</v>
      </c>
    </row>
    <row r="462" spans="1:14" x14ac:dyDescent="0.3">
      <c r="A462">
        <v>461</v>
      </c>
      <c r="B462">
        <v>196</v>
      </c>
      <c r="C462">
        <f>1/COUNTIF(pizza_sales[[#All],[order_id]],pizza_sales[[#This Row],[order_id]])</f>
        <v>0.33333333333333331</v>
      </c>
      <c r="D462" t="s">
        <v>158</v>
      </c>
      <c r="E462">
        <v>1</v>
      </c>
      <c r="F462" s="1">
        <v>42007</v>
      </c>
      <c r="G462" s="1" t="str">
        <f>TEXT(pizza_sales[[#This Row],[order_date]],"dddd")</f>
        <v>Saturday</v>
      </c>
      <c r="H462" s="2">
        <v>36526.902939814812</v>
      </c>
      <c r="I462">
        <v>16.5</v>
      </c>
      <c r="J462">
        <v>16.5</v>
      </c>
      <c r="K462" t="s">
        <v>13</v>
      </c>
      <c r="L462" t="s">
        <v>26</v>
      </c>
      <c r="M462" t="s">
        <v>60</v>
      </c>
      <c r="N462" t="s">
        <v>61</v>
      </c>
    </row>
    <row r="463" spans="1:14" x14ac:dyDescent="0.3">
      <c r="A463">
        <v>462</v>
      </c>
      <c r="B463">
        <v>196</v>
      </c>
      <c r="C463">
        <f>1/COUNTIF(pizza_sales[[#All],[order_id]],pizza_sales[[#This Row],[order_id]])</f>
        <v>0.33333333333333331</v>
      </c>
      <c r="D463" t="s">
        <v>154</v>
      </c>
      <c r="E463">
        <v>1</v>
      </c>
      <c r="F463" s="1">
        <v>42007</v>
      </c>
      <c r="G463" s="1" t="str">
        <f>TEXT(pizza_sales[[#This Row],[order_date]],"dddd")</f>
        <v>Saturday</v>
      </c>
      <c r="H463" s="2">
        <v>36526.902939814812</v>
      </c>
      <c r="I463">
        <v>16</v>
      </c>
      <c r="J463">
        <v>16</v>
      </c>
      <c r="K463" t="s">
        <v>13</v>
      </c>
      <c r="L463" t="s">
        <v>22</v>
      </c>
      <c r="M463" t="s">
        <v>66</v>
      </c>
      <c r="N463" t="s">
        <v>67</v>
      </c>
    </row>
    <row r="464" spans="1:14" x14ac:dyDescent="0.3">
      <c r="A464">
        <v>463</v>
      </c>
      <c r="B464">
        <v>197</v>
      </c>
      <c r="C464">
        <f>1/COUNTIF(pizza_sales[[#All],[order_id]],pizza_sales[[#This Row],[order_id]])</f>
        <v>0.25</v>
      </c>
      <c r="D464" t="s">
        <v>90</v>
      </c>
      <c r="E464">
        <v>1</v>
      </c>
      <c r="F464" s="1">
        <v>42007</v>
      </c>
      <c r="G464" s="1" t="str">
        <f>TEXT(pizza_sales[[#This Row],[order_date]],"dddd")</f>
        <v>Saturday</v>
      </c>
      <c r="H464" s="2">
        <v>36526.908194444448</v>
      </c>
      <c r="I464">
        <v>17.95</v>
      </c>
      <c r="J464">
        <v>17.95</v>
      </c>
      <c r="K464" t="s">
        <v>21</v>
      </c>
      <c r="L464" t="s">
        <v>22</v>
      </c>
      <c r="M464" t="s">
        <v>91</v>
      </c>
      <c r="N464" t="s">
        <v>92</v>
      </c>
    </row>
    <row r="465" spans="1:14" x14ac:dyDescent="0.3">
      <c r="A465">
        <v>464</v>
      </c>
      <c r="B465">
        <v>197</v>
      </c>
      <c r="C465">
        <f>1/COUNTIF(pizza_sales[[#All],[order_id]],pizza_sales[[#This Row],[order_id]])</f>
        <v>0.25</v>
      </c>
      <c r="D465" t="s">
        <v>54</v>
      </c>
      <c r="E465">
        <v>1</v>
      </c>
      <c r="F465" s="1">
        <v>42007</v>
      </c>
      <c r="G465" s="1" t="str">
        <f>TEXT(pizza_sales[[#This Row],[order_date]],"dddd")</f>
        <v>Saturday</v>
      </c>
      <c r="H465" s="2">
        <v>36526.908194444448</v>
      </c>
      <c r="I465">
        <v>20.5</v>
      </c>
      <c r="J465">
        <v>20.5</v>
      </c>
      <c r="K465" t="s">
        <v>21</v>
      </c>
      <c r="L465" t="s">
        <v>14</v>
      </c>
      <c r="M465" t="s">
        <v>55</v>
      </c>
      <c r="N465" t="s">
        <v>56</v>
      </c>
    </row>
    <row r="466" spans="1:14" x14ac:dyDescent="0.3">
      <c r="A466">
        <v>465</v>
      </c>
      <c r="B466">
        <v>197</v>
      </c>
      <c r="C466">
        <f>1/COUNTIF(pizza_sales[[#All],[order_id]],pizza_sales[[#This Row],[order_id]])</f>
        <v>0.25</v>
      </c>
      <c r="D466" t="s">
        <v>153</v>
      </c>
      <c r="E466">
        <v>1</v>
      </c>
      <c r="F466" s="1">
        <v>42007</v>
      </c>
      <c r="G466" s="1" t="str">
        <f>TEXT(pizza_sales[[#This Row],[order_date]],"dddd")</f>
        <v>Saturday</v>
      </c>
      <c r="H466" s="2">
        <v>36526.908194444448</v>
      </c>
      <c r="I466">
        <v>21</v>
      </c>
      <c r="J466">
        <v>21</v>
      </c>
      <c r="K466" t="s">
        <v>21</v>
      </c>
      <c r="L466" t="s">
        <v>22</v>
      </c>
      <c r="M466" t="s">
        <v>101</v>
      </c>
      <c r="N466" t="s">
        <v>102</v>
      </c>
    </row>
    <row r="467" spans="1:14" x14ac:dyDescent="0.3">
      <c r="A467">
        <v>466</v>
      </c>
      <c r="B467">
        <v>197</v>
      </c>
      <c r="C467">
        <f>1/COUNTIF(pizza_sales[[#All],[order_id]],pizza_sales[[#This Row],[order_id]])</f>
        <v>0.25</v>
      </c>
      <c r="D467" t="s">
        <v>87</v>
      </c>
      <c r="E467">
        <v>1</v>
      </c>
      <c r="F467" s="1">
        <v>42007</v>
      </c>
      <c r="G467" s="1" t="str">
        <f>TEXT(pizza_sales[[#This Row],[order_date]],"dddd")</f>
        <v>Saturday</v>
      </c>
      <c r="H467" s="2">
        <v>36526.908194444448</v>
      </c>
      <c r="I467">
        <v>20.75</v>
      </c>
      <c r="J467">
        <v>20.75</v>
      </c>
      <c r="K467" t="s">
        <v>21</v>
      </c>
      <c r="L467" t="s">
        <v>26</v>
      </c>
      <c r="M467" t="s">
        <v>88</v>
      </c>
      <c r="N467" t="s">
        <v>89</v>
      </c>
    </row>
    <row r="468" spans="1:14" x14ac:dyDescent="0.3">
      <c r="A468">
        <v>467</v>
      </c>
      <c r="B468">
        <v>198</v>
      </c>
      <c r="C468">
        <f>1/COUNTIF(pizza_sales[[#All],[order_id]],pizza_sales[[#This Row],[order_id]])</f>
        <v>0.5</v>
      </c>
      <c r="D468" t="s">
        <v>84</v>
      </c>
      <c r="E468">
        <v>1</v>
      </c>
      <c r="F468" s="1">
        <v>42007</v>
      </c>
      <c r="G468" s="1" t="str">
        <f>TEXT(pizza_sales[[#This Row],[order_date]],"dddd")</f>
        <v>Saturday</v>
      </c>
      <c r="H468" s="2">
        <v>36526.913680555554</v>
      </c>
      <c r="I468">
        <v>12</v>
      </c>
      <c r="J468">
        <v>12</v>
      </c>
      <c r="K468" t="s">
        <v>41</v>
      </c>
      <c r="L468" t="s">
        <v>14</v>
      </c>
      <c r="M468" t="s">
        <v>85</v>
      </c>
      <c r="N468" t="s">
        <v>86</v>
      </c>
    </row>
    <row r="469" spans="1:14" x14ac:dyDescent="0.3">
      <c r="A469">
        <v>468</v>
      </c>
      <c r="B469">
        <v>198</v>
      </c>
      <c r="C469">
        <f>1/COUNTIF(pizza_sales[[#All],[order_id]],pizza_sales[[#This Row],[order_id]])</f>
        <v>0.5</v>
      </c>
      <c r="D469" t="s">
        <v>168</v>
      </c>
      <c r="E469">
        <v>1</v>
      </c>
      <c r="F469" s="1">
        <v>42007</v>
      </c>
      <c r="G469" s="1" t="str">
        <f>TEXT(pizza_sales[[#This Row],[order_date]],"dddd")</f>
        <v>Saturday</v>
      </c>
      <c r="H469" s="2">
        <v>36526.913680555554</v>
      </c>
      <c r="I469">
        <v>20.75</v>
      </c>
      <c r="J469">
        <v>20.75</v>
      </c>
      <c r="K469" t="s">
        <v>21</v>
      </c>
      <c r="L469" t="s">
        <v>33</v>
      </c>
      <c r="M469" t="s">
        <v>124</v>
      </c>
      <c r="N469" t="s">
        <v>125</v>
      </c>
    </row>
    <row r="470" spans="1:14" x14ac:dyDescent="0.3">
      <c r="A470">
        <v>469</v>
      </c>
      <c r="B470">
        <v>199</v>
      </c>
      <c r="C470">
        <f>1/COUNTIF(pizza_sales[[#All],[order_id]],pizza_sales[[#This Row],[order_id]])</f>
        <v>1</v>
      </c>
      <c r="D470" t="s">
        <v>134</v>
      </c>
      <c r="E470">
        <v>1</v>
      </c>
      <c r="F470" s="1">
        <v>42007</v>
      </c>
      <c r="G470" s="1" t="str">
        <f>TEXT(pizza_sales[[#This Row],[order_date]],"dddd")</f>
        <v>Saturday</v>
      </c>
      <c r="H470" s="2">
        <v>36526.924050925925</v>
      </c>
      <c r="I470">
        <v>16.75</v>
      </c>
      <c r="J470">
        <v>16.75</v>
      </c>
      <c r="K470" t="s">
        <v>13</v>
      </c>
      <c r="L470" t="s">
        <v>33</v>
      </c>
      <c r="M470" t="s">
        <v>124</v>
      </c>
      <c r="N470" t="s">
        <v>125</v>
      </c>
    </row>
    <row r="471" spans="1:14" x14ac:dyDescent="0.3">
      <c r="A471">
        <v>470</v>
      </c>
      <c r="B471">
        <v>200</v>
      </c>
      <c r="C471">
        <f>1/COUNTIF(pizza_sales[[#All],[order_id]],pizza_sales[[#This Row],[order_id]])</f>
        <v>1</v>
      </c>
      <c r="D471" t="s">
        <v>140</v>
      </c>
      <c r="E471">
        <v>1</v>
      </c>
      <c r="F471" s="1">
        <v>42007</v>
      </c>
      <c r="G471" s="1" t="str">
        <f>TEXT(pizza_sales[[#This Row],[order_date]],"dddd")</f>
        <v>Saturday</v>
      </c>
      <c r="H471" s="2">
        <v>36526.933391203704</v>
      </c>
      <c r="I471">
        <v>25.5</v>
      </c>
      <c r="J471">
        <v>25.5</v>
      </c>
      <c r="K471" t="s">
        <v>141</v>
      </c>
      <c r="L471" t="s">
        <v>14</v>
      </c>
      <c r="M471" t="s">
        <v>45</v>
      </c>
      <c r="N471" t="s">
        <v>46</v>
      </c>
    </row>
    <row r="472" spans="1:14" x14ac:dyDescent="0.3">
      <c r="A472">
        <v>471</v>
      </c>
      <c r="B472">
        <v>201</v>
      </c>
      <c r="C472">
        <f>1/COUNTIF(pizza_sales[[#All],[order_id]],pizza_sales[[#This Row],[order_id]])</f>
        <v>0.25</v>
      </c>
      <c r="D472" t="s">
        <v>96</v>
      </c>
      <c r="E472">
        <v>1</v>
      </c>
      <c r="F472" s="1">
        <v>42007</v>
      </c>
      <c r="G472" s="1" t="str">
        <f>TEXT(pizza_sales[[#This Row],[order_date]],"dddd")</f>
        <v>Saturday</v>
      </c>
      <c r="H472" s="2">
        <v>36526.937488425923</v>
      </c>
      <c r="I472">
        <v>16.25</v>
      </c>
      <c r="J472">
        <v>16.25</v>
      </c>
      <c r="K472" t="s">
        <v>13</v>
      </c>
      <c r="L472" t="s">
        <v>26</v>
      </c>
      <c r="M472" t="s">
        <v>97</v>
      </c>
      <c r="N472" t="s">
        <v>98</v>
      </c>
    </row>
    <row r="473" spans="1:14" x14ac:dyDescent="0.3">
      <c r="A473">
        <v>472</v>
      </c>
      <c r="B473">
        <v>201</v>
      </c>
      <c r="C473">
        <f>1/COUNTIF(pizza_sales[[#All],[order_id]],pizza_sales[[#This Row],[order_id]])</f>
        <v>0.25</v>
      </c>
      <c r="D473" t="s">
        <v>81</v>
      </c>
      <c r="E473">
        <v>1</v>
      </c>
      <c r="F473" s="1">
        <v>42007</v>
      </c>
      <c r="G473" s="1" t="str">
        <f>TEXT(pizza_sales[[#This Row],[order_date]],"dddd")</f>
        <v>Saturday</v>
      </c>
      <c r="H473" s="2">
        <v>36526.937488425923</v>
      </c>
      <c r="I473">
        <v>20.75</v>
      </c>
      <c r="J473">
        <v>20.75</v>
      </c>
      <c r="K473" t="s">
        <v>21</v>
      </c>
      <c r="L473" t="s">
        <v>33</v>
      </c>
      <c r="M473" t="s">
        <v>82</v>
      </c>
      <c r="N473" t="s">
        <v>83</v>
      </c>
    </row>
    <row r="474" spans="1:14" x14ac:dyDescent="0.3">
      <c r="A474">
        <v>473</v>
      </c>
      <c r="B474">
        <v>201</v>
      </c>
      <c r="C474">
        <f>1/COUNTIF(pizza_sales[[#All],[order_id]],pizza_sales[[#This Row],[order_id]])</f>
        <v>0.25</v>
      </c>
      <c r="D474" t="s">
        <v>25</v>
      </c>
      <c r="E474">
        <v>1</v>
      </c>
      <c r="F474" s="1">
        <v>42007</v>
      </c>
      <c r="G474" s="1" t="str">
        <f>TEXT(pizza_sales[[#This Row],[order_date]],"dddd")</f>
        <v>Saturday</v>
      </c>
      <c r="H474" s="2">
        <v>36526.937488425923</v>
      </c>
      <c r="I474">
        <v>20.75</v>
      </c>
      <c r="J474">
        <v>20.75</v>
      </c>
      <c r="K474" t="s">
        <v>21</v>
      </c>
      <c r="L474" t="s">
        <v>26</v>
      </c>
      <c r="M474" t="s">
        <v>27</v>
      </c>
      <c r="N474" t="s">
        <v>28</v>
      </c>
    </row>
    <row r="475" spans="1:14" x14ac:dyDescent="0.3">
      <c r="A475">
        <v>474</v>
      </c>
      <c r="B475">
        <v>201</v>
      </c>
      <c r="C475">
        <f>1/COUNTIF(pizza_sales[[#All],[order_id]],pizza_sales[[#This Row],[order_id]])</f>
        <v>0.25</v>
      </c>
      <c r="D475" t="s">
        <v>140</v>
      </c>
      <c r="E475">
        <v>1</v>
      </c>
      <c r="F475" s="1">
        <v>42007</v>
      </c>
      <c r="G475" s="1" t="str">
        <f>TEXT(pizza_sales[[#This Row],[order_date]],"dddd")</f>
        <v>Saturday</v>
      </c>
      <c r="H475" s="2">
        <v>36526.937488425923</v>
      </c>
      <c r="I475">
        <v>25.5</v>
      </c>
      <c r="J475">
        <v>25.5</v>
      </c>
      <c r="K475" t="s">
        <v>141</v>
      </c>
      <c r="L475" t="s">
        <v>14</v>
      </c>
      <c r="M475" t="s">
        <v>45</v>
      </c>
      <c r="N475" t="s">
        <v>46</v>
      </c>
    </row>
    <row r="476" spans="1:14" x14ac:dyDescent="0.3">
      <c r="A476">
        <v>475</v>
      </c>
      <c r="B476">
        <v>202</v>
      </c>
      <c r="C476">
        <f>1/COUNTIF(pizza_sales[[#All],[order_id]],pizza_sales[[#This Row],[order_id]])</f>
        <v>1</v>
      </c>
      <c r="D476" t="s">
        <v>80</v>
      </c>
      <c r="E476">
        <v>1</v>
      </c>
      <c r="F476" s="1">
        <v>42007</v>
      </c>
      <c r="G476" s="1" t="str">
        <f>TEXT(pizza_sales[[#This Row],[order_date]],"dddd")</f>
        <v>Saturday</v>
      </c>
      <c r="H476" s="2">
        <v>36526.951724537037</v>
      </c>
      <c r="I476">
        <v>12.75</v>
      </c>
      <c r="J476">
        <v>12.75</v>
      </c>
      <c r="K476" t="s">
        <v>41</v>
      </c>
      <c r="L476" t="s">
        <v>33</v>
      </c>
      <c r="M476" t="s">
        <v>74</v>
      </c>
      <c r="N476" t="s">
        <v>75</v>
      </c>
    </row>
    <row r="477" spans="1:14" x14ac:dyDescent="0.3">
      <c r="A477">
        <v>476</v>
      </c>
      <c r="B477">
        <v>203</v>
      </c>
      <c r="C477">
        <f>1/COUNTIF(pizza_sales[[#All],[order_id]],pizza_sales[[#This Row],[order_id]])</f>
        <v>0.25</v>
      </c>
      <c r="D477" t="s">
        <v>73</v>
      </c>
      <c r="E477">
        <v>1</v>
      </c>
      <c r="F477" s="1">
        <v>42008</v>
      </c>
      <c r="G477" s="1" t="str">
        <f>TEXT(pizza_sales[[#This Row],[order_date]],"dddd")</f>
        <v>Sunday</v>
      </c>
      <c r="H477" s="2">
        <v>36526.479722222219</v>
      </c>
      <c r="I477">
        <v>20.75</v>
      </c>
      <c r="J477">
        <v>20.75</v>
      </c>
      <c r="K477" t="s">
        <v>21</v>
      </c>
      <c r="L477" t="s">
        <v>33</v>
      </c>
      <c r="M477" t="s">
        <v>74</v>
      </c>
      <c r="N477" t="s">
        <v>75</v>
      </c>
    </row>
    <row r="478" spans="1:14" x14ac:dyDescent="0.3">
      <c r="A478">
        <v>477</v>
      </c>
      <c r="B478">
        <v>203</v>
      </c>
      <c r="C478">
        <f>1/COUNTIF(pizza_sales[[#All],[order_id]],pizza_sales[[#This Row],[order_id]])</f>
        <v>0.25</v>
      </c>
      <c r="D478" t="s">
        <v>159</v>
      </c>
      <c r="E478">
        <v>1</v>
      </c>
      <c r="F478" s="1">
        <v>42008</v>
      </c>
      <c r="G478" s="1" t="str">
        <f>TEXT(pizza_sales[[#This Row],[order_date]],"dddd")</f>
        <v>Sunday</v>
      </c>
      <c r="H478" s="2">
        <v>36526.479722222219</v>
      </c>
      <c r="I478">
        <v>16.75</v>
      </c>
      <c r="J478">
        <v>16.75</v>
      </c>
      <c r="K478" t="s">
        <v>13</v>
      </c>
      <c r="L478" t="s">
        <v>22</v>
      </c>
      <c r="M478" t="s">
        <v>101</v>
      </c>
      <c r="N478" t="s">
        <v>102</v>
      </c>
    </row>
    <row r="479" spans="1:14" x14ac:dyDescent="0.3">
      <c r="A479">
        <v>478</v>
      </c>
      <c r="B479">
        <v>203</v>
      </c>
      <c r="C479">
        <f>1/COUNTIF(pizza_sales[[#All],[order_id]],pizza_sales[[#This Row],[order_id]])</f>
        <v>0.25</v>
      </c>
      <c r="D479" t="s">
        <v>129</v>
      </c>
      <c r="E479">
        <v>1</v>
      </c>
      <c r="F479" s="1">
        <v>42008</v>
      </c>
      <c r="G479" s="1" t="str">
        <f>TEXT(pizza_sales[[#This Row],[order_date]],"dddd")</f>
        <v>Sunday</v>
      </c>
      <c r="H479" s="2">
        <v>36526.479722222219</v>
      </c>
      <c r="I479">
        <v>17.5</v>
      </c>
      <c r="J479">
        <v>17.5</v>
      </c>
      <c r="K479" t="s">
        <v>21</v>
      </c>
      <c r="L479" t="s">
        <v>14</v>
      </c>
      <c r="M479" t="s">
        <v>130</v>
      </c>
      <c r="N479" t="s">
        <v>131</v>
      </c>
    </row>
    <row r="480" spans="1:14" x14ac:dyDescent="0.3">
      <c r="A480">
        <v>479</v>
      </c>
      <c r="B480">
        <v>203</v>
      </c>
      <c r="C480">
        <f>1/COUNTIF(pizza_sales[[#All],[order_id]],pizza_sales[[#This Row],[order_id]])</f>
        <v>0.25</v>
      </c>
      <c r="D480" t="s">
        <v>44</v>
      </c>
      <c r="E480">
        <v>1</v>
      </c>
      <c r="F480" s="1">
        <v>42008</v>
      </c>
      <c r="G480" s="1" t="str">
        <f>TEXT(pizza_sales[[#This Row],[order_date]],"dddd")</f>
        <v>Sunday</v>
      </c>
      <c r="H480" s="2">
        <v>36526.479722222219</v>
      </c>
      <c r="I480">
        <v>12</v>
      </c>
      <c r="J480">
        <v>12</v>
      </c>
      <c r="K480" t="s">
        <v>41</v>
      </c>
      <c r="L480" t="s">
        <v>14</v>
      </c>
      <c r="M480" t="s">
        <v>45</v>
      </c>
      <c r="N480" t="s">
        <v>46</v>
      </c>
    </row>
    <row r="481" spans="1:14" x14ac:dyDescent="0.3">
      <c r="A481">
        <v>480</v>
      </c>
      <c r="B481">
        <v>204</v>
      </c>
      <c r="C481">
        <f>1/COUNTIF(pizza_sales[[#All],[order_id]],pizza_sales[[#This Row],[order_id]])</f>
        <v>1</v>
      </c>
      <c r="D481" t="s">
        <v>59</v>
      </c>
      <c r="E481">
        <v>1</v>
      </c>
      <c r="F481" s="1">
        <v>42008</v>
      </c>
      <c r="G481" s="1" t="str">
        <f>TEXT(pizza_sales[[#This Row],[order_date]],"dddd")</f>
        <v>Sunday</v>
      </c>
      <c r="H481" s="2">
        <v>36526.483622685184</v>
      </c>
      <c r="I481">
        <v>20.75</v>
      </c>
      <c r="J481">
        <v>20.75</v>
      </c>
      <c r="K481" t="s">
        <v>21</v>
      </c>
      <c r="L481" t="s">
        <v>26</v>
      </c>
      <c r="M481" t="s">
        <v>60</v>
      </c>
      <c r="N481" t="s">
        <v>61</v>
      </c>
    </row>
    <row r="482" spans="1:14" x14ac:dyDescent="0.3">
      <c r="A482">
        <v>481</v>
      </c>
      <c r="B482">
        <v>205</v>
      </c>
      <c r="C482">
        <f>1/COUNTIF(pizza_sales[[#All],[order_id]],pizza_sales[[#This Row],[order_id]])</f>
        <v>0.33333333333333331</v>
      </c>
      <c r="D482" t="s">
        <v>80</v>
      </c>
      <c r="E482">
        <v>1</v>
      </c>
      <c r="F482" s="1">
        <v>42008</v>
      </c>
      <c r="G482" s="1" t="str">
        <f>TEXT(pizza_sales[[#This Row],[order_date]],"dddd")</f>
        <v>Sunday</v>
      </c>
      <c r="H482" s="2">
        <v>36526.488819444443</v>
      </c>
      <c r="I482">
        <v>12.75</v>
      </c>
      <c r="J482">
        <v>12.75</v>
      </c>
      <c r="K482" t="s">
        <v>41</v>
      </c>
      <c r="L482" t="s">
        <v>33</v>
      </c>
      <c r="M482" t="s">
        <v>74</v>
      </c>
      <c r="N482" t="s">
        <v>75</v>
      </c>
    </row>
    <row r="483" spans="1:14" x14ac:dyDescent="0.3">
      <c r="A483">
        <v>482</v>
      </c>
      <c r="B483">
        <v>205</v>
      </c>
      <c r="C483">
        <f>1/COUNTIF(pizza_sales[[#All],[order_id]],pizza_sales[[#This Row],[order_id]])</f>
        <v>0.33333333333333331</v>
      </c>
      <c r="D483" t="s">
        <v>134</v>
      </c>
      <c r="E483">
        <v>1</v>
      </c>
      <c r="F483" s="1">
        <v>42008</v>
      </c>
      <c r="G483" s="1" t="str">
        <f>TEXT(pizza_sales[[#This Row],[order_date]],"dddd")</f>
        <v>Sunday</v>
      </c>
      <c r="H483" s="2">
        <v>36526.488819444443</v>
      </c>
      <c r="I483">
        <v>16.75</v>
      </c>
      <c r="J483">
        <v>16.75</v>
      </c>
      <c r="K483" t="s">
        <v>13</v>
      </c>
      <c r="L483" t="s">
        <v>33</v>
      </c>
      <c r="M483" t="s">
        <v>124</v>
      </c>
      <c r="N483" t="s">
        <v>125</v>
      </c>
    </row>
    <row r="484" spans="1:14" x14ac:dyDescent="0.3">
      <c r="A484">
        <v>483</v>
      </c>
      <c r="B484">
        <v>205</v>
      </c>
      <c r="C484">
        <f>1/COUNTIF(pizza_sales[[#All],[order_id]],pizza_sales[[#This Row],[order_id]])</f>
        <v>0.33333333333333331</v>
      </c>
      <c r="D484" t="s">
        <v>120</v>
      </c>
      <c r="E484">
        <v>1</v>
      </c>
      <c r="F484" s="1">
        <v>42008</v>
      </c>
      <c r="G484" s="1" t="str">
        <f>TEXT(pizza_sales[[#This Row],[order_date]],"dddd")</f>
        <v>Sunday</v>
      </c>
      <c r="H484" s="2">
        <v>36526.488819444443</v>
      </c>
      <c r="I484">
        <v>12.5</v>
      </c>
      <c r="J484">
        <v>12.5</v>
      </c>
      <c r="K484" t="s">
        <v>41</v>
      </c>
      <c r="L484" t="s">
        <v>26</v>
      </c>
      <c r="M484" t="s">
        <v>38</v>
      </c>
      <c r="N484" t="s">
        <v>39</v>
      </c>
    </row>
    <row r="485" spans="1:14" x14ac:dyDescent="0.3">
      <c r="A485">
        <v>484</v>
      </c>
      <c r="B485">
        <v>206</v>
      </c>
      <c r="C485">
        <f>1/COUNTIF(pizza_sales[[#All],[order_id]],pizza_sales[[#This Row],[order_id]])</f>
        <v>0.33333333333333331</v>
      </c>
      <c r="D485" t="s">
        <v>163</v>
      </c>
      <c r="E485">
        <v>1</v>
      </c>
      <c r="F485" s="1">
        <v>42008</v>
      </c>
      <c r="G485" s="1" t="str">
        <f>TEXT(pizza_sales[[#This Row],[order_date]],"dddd")</f>
        <v>Sunday</v>
      </c>
      <c r="H485" s="2">
        <v>36526.489699074074</v>
      </c>
      <c r="I485">
        <v>16</v>
      </c>
      <c r="J485">
        <v>16</v>
      </c>
      <c r="K485" t="s">
        <v>13</v>
      </c>
      <c r="L485" t="s">
        <v>14</v>
      </c>
      <c r="M485" t="s">
        <v>94</v>
      </c>
      <c r="N485" t="s">
        <v>95</v>
      </c>
    </row>
    <row r="486" spans="1:14" x14ac:dyDescent="0.3">
      <c r="A486">
        <v>485</v>
      </c>
      <c r="B486">
        <v>206</v>
      </c>
      <c r="C486">
        <f>1/COUNTIF(pizza_sales[[#All],[order_id]],pizza_sales[[#This Row],[order_id]])</f>
        <v>0.33333333333333331</v>
      </c>
      <c r="D486" t="s">
        <v>126</v>
      </c>
      <c r="E486">
        <v>1</v>
      </c>
      <c r="F486" s="1">
        <v>42008</v>
      </c>
      <c r="G486" s="1" t="str">
        <f>TEXT(pizza_sales[[#This Row],[order_date]],"dddd")</f>
        <v>Sunday</v>
      </c>
      <c r="H486" s="2">
        <v>36526.489699074074</v>
      </c>
      <c r="I486">
        <v>9.75</v>
      </c>
      <c r="J486">
        <v>9.75</v>
      </c>
      <c r="K486" t="s">
        <v>41</v>
      </c>
      <c r="L486" t="s">
        <v>14</v>
      </c>
      <c r="M486" t="s">
        <v>78</v>
      </c>
      <c r="N486" t="s">
        <v>79</v>
      </c>
    </row>
    <row r="487" spans="1:14" x14ac:dyDescent="0.3">
      <c r="A487">
        <v>486</v>
      </c>
      <c r="B487">
        <v>206</v>
      </c>
      <c r="C487">
        <f>1/COUNTIF(pizza_sales[[#All],[order_id]],pizza_sales[[#This Row],[order_id]])</f>
        <v>0.33333333333333331</v>
      </c>
      <c r="D487" t="s">
        <v>59</v>
      </c>
      <c r="E487">
        <v>1</v>
      </c>
      <c r="F487" s="1">
        <v>42008</v>
      </c>
      <c r="G487" s="1" t="str">
        <f>TEXT(pizza_sales[[#This Row],[order_date]],"dddd")</f>
        <v>Sunday</v>
      </c>
      <c r="H487" s="2">
        <v>36526.489699074074</v>
      </c>
      <c r="I487">
        <v>20.75</v>
      </c>
      <c r="J487">
        <v>20.75</v>
      </c>
      <c r="K487" t="s">
        <v>21</v>
      </c>
      <c r="L487" t="s">
        <v>26</v>
      </c>
      <c r="M487" t="s">
        <v>60</v>
      </c>
      <c r="N487" t="s">
        <v>61</v>
      </c>
    </row>
    <row r="488" spans="1:14" x14ac:dyDescent="0.3">
      <c r="A488">
        <v>487</v>
      </c>
      <c r="B488">
        <v>207</v>
      </c>
      <c r="C488">
        <f>1/COUNTIF(pizza_sales[[#All],[order_id]],pizza_sales[[#This Row],[order_id]])</f>
        <v>1</v>
      </c>
      <c r="D488" t="s">
        <v>59</v>
      </c>
      <c r="E488">
        <v>1</v>
      </c>
      <c r="F488" s="1">
        <v>42008</v>
      </c>
      <c r="G488" s="1" t="str">
        <f>TEXT(pizza_sales[[#This Row],[order_date]],"dddd")</f>
        <v>Sunday</v>
      </c>
      <c r="H488" s="2">
        <v>36526.502754629626</v>
      </c>
      <c r="I488">
        <v>20.75</v>
      </c>
      <c r="J488">
        <v>20.75</v>
      </c>
      <c r="K488" t="s">
        <v>21</v>
      </c>
      <c r="L488" t="s">
        <v>26</v>
      </c>
      <c r="M488" t="s">
        <v>60</v>
      </c>
      <c r="N488" t="s">
        <v>61</v>
      </c>
    </row>
    <row r="489" spans="1:14" x14ac:dyDescent="0.3">
      <c r="A489">
        <v>488</v>
      </c>
      <c r="B489">
        <v>208</v>
      </c>
      <c r="C489">
        <f>1/COUNTIF(pizza_sales[[#All],[order_id]],pizza_sales[[#This Row],[order_id]])</f>
        <v>0.2</v>
      </c>
      <c r="D489" t="s">
        <v>72</v>
      </c>
      <c r="E489">
        <v>1</v>
      </c>
      <c r="F489" s="1">
        <v>42008</v>
      </c>
      <c r="G489" s="1" t="str">
        <f>TEXT(pizza_sales[[#This Row],[order_date]],"dddd")</f>
        <v>Sunday</v>
      </c>
      <c r="H489" s="2">
        <v>36526.508391203701</v>
      </c>
      <c r="I489">
        <v>20.75</v>
      </c>
      <c r="J489">
        <v>20.75</v>
      </c>
      <c r="K489" t="s">
        <v>21</v>
      </c>
      <c r="L489" t="s">
        <v>33</v>
      </c>
      <c r="M489" t="s">
        <v>42</v>
      </c>
      <c r="N489" t="s">
        <v>43</v>
      </c>
    </row>
    <row r="490" spans="1:14" x14ac:dyDescent="0.3">
      <c r="A490">
        <v>489</v>
      </c>
      <c r="B490">
        <v>208</v>
      </c>
      <c r="C490">
        <f>1/COUNTIF(pizza_sales[[#All],[order_id]],pizza_sales[[#This Row],[order_id]])</f>
        <v>0.2</v>
      </c>
      <c r="D490" t="s">
        <v>40</v>
      </c>
      <c r="E490">
        <v>1</v>
      </c>
      <c r="F490" s="1">
        <v>42008</v>
      </c>
      <c r="G490" s="1" t="str">
        <f>TEXT(pizza_sales[[#This Row],[order_date]],"dddd")</f>
        <v>Sunday</v>
      </c>
      <c r="H490" s="2">
        <v>36526.508391203701</v>
      </c>
      <c r="I490">
        <v>12.75</v>
      </c>
      <c r="J490">
        <v>12.75</v>
      </c>
      <c r="K490" t="s">
        <v>41</v>
      </c>
      <c r="L490" t="s">
        <v>33</v>
      </c>
      <c r="M490" t="s">
        <v>42</v>
      </c>
      <c r="N490" t="s">
        <v>43</v>
      </c>
    </row>
    <row r="491" spans="1:14" x14ac:dyDescent="0.3">
      <c r="A491">
        <v>490</v>
      </c>
      <c r="B491">
        <v>208</v>
      </c>
      <c r="C491">
        <f>1/COUNTIF(pizza_sales[[#All],[order_id]],pizza_sales[[#This Row],[order_id]])</f>
        <v>0.2</v>
      </c>
      <c r="D491" t="s">
        <v>134</v>
      </c>
      <c r="E491">
        <v>1</v>
      </c>
      <c r="F491" s="1">
        <v>42008</v>
      </c>
      <c r="G491" s="1" t="str">
        <f>TEXT(pizza_sales[[#This Row],[order_date]],"dddd")</f>
        <v>Sunday</v>
      </c>
      <c r="H491" s="2">
        <v>36526.508391203701</v>
      </c>
      <c r="I491">
        <v>16.75</v>
      </c>
      <c r="J491">
        <v>16.75</v>
      </c>
      <c r="K491" t="s">
        <v>13</v>
      </c>
      <c r="L491" t="s">
        <v>33</v>
      </c>
      <c r="M491" t="s">
        <v>124</v>
      </c>
      <c r="N491" t="s">
        <v>125</v>
      </c>
    </row>
    <row r="492" spans="1:14" x14ac:dyDescent="0.3">
      <c r="A492">
        <v>491</v>
      </c>
      <c r="B492">
        <v>208</v>
      </c>
      <c r="C492">
        <f>1/COUNTIF(pizza_sales[[#All],[order_id]],pizza_sales[[#This Row],[order_id]])</f>
        <v>0.2</v>
      </c>
      <c r="D492" t="s">
        <v>119</v>
      </c>
      <c r="E492">
        <v>1</v>
      </c>
      <c r="F492" s="1">
        <v>42008</v>
      </c>
      <c r="G492" s="1" t="str">
        <f>TEXT(pizza_sales[[#This Row],[order_date]],"dddd")</f>
        <v>Sunday</v>
      </c>
      <c r="H492" s="2">
        <v>36526.508391203701</v>
      </c>
      <c r="I492">
        <v>12.5</v>
      </c>
      <c r="J492">
        <v>12.5</v>
      </c>
      <c r="K492" t="s">
        <v>13</v>
      </c>
      <c r="L492" t="s">
        <v>14</v>
      </c>
      <c r="M492" t="s">
        <v>78</v>
      </c>
      <c r="N492" t="s">
        <v>79</v>
      </c>
    </row>
    <row r="493" spans="1:14" x14ac:dyDescent="0.3">
      <c r="A493">
        <v>492</v>
      </c>
      <c r="B493">
        <v>208</v>
      </c>
      <c r="C493">
        <f>1/COUNTIF(pizza_sales[[#All],[order_id]],pizza_sales[[#This Row],[order_id]])</f>
        <v>0.2</v>
      </c>
      <c r="D493" t="s">
        <v>155</v>
      </c>
      <c r="E493">
        <v>1</v>
      </c>
      <c r="F493" s="1">
        <v>42008</v>
      </c>
      <c r="G493" s="1" t="str">
        <f>TEXT(pizza_sales[[#This Row],[order_date]],"dddd")</f>
        <v>Sunday</v>
      </c>
      <c r="H493" s="2">
        <v>36526.508391203701</v>
      </c>
      <c r="I493">
        <v>16</v>
      </c>
      <c r="J493">
        <v>16</v>
      </c>
      <c r="K493" t="s">
        <v>13</v>
      </c>
      <c r="L493" t="s">
        <v>14</v>
      </c>
      <c r="M493" t="s">
        <v>45</v>
      </c>
      <c r="N493" t="s">
        <v>46</v>
      </c>
    </row>
    <row r="494" spans="1:14" x14ac:dyDescent="0.3">
      <c r="A494">
        <v>493</v>
      </c>
      <c r="B494">
        <v>209</v>
      </c>
      <c r="C494">
        <f>1/COUNTIF(pizza_sales[[#All],[order_id]],pizza_sales[[#This Row],[order_id]])</f>
        <v>1</v>
      </c>
      <c r="D494" t="s">
        <v>73</v>
      </c>
      <c r="E494">
        <v>1</v>
      </c>
      <c r="F494" s="1">
        <v>42008</v>
      </c>
      <c r="G494" s="1" t="str">
        <f>TEXT(pizza_sales[[#This Row],[order_date]],"dddd")</f>
        <v>Sunday</v>
      </c>
      <c r="H494" s="2">
        <v>36526.520335648151</v>
      </c>
      <c r="I494">
        <v>20.75</v>
      </c>
      <c r="J494">
        <v>20.75</v>
      </c>
      <c r="K494" t="s">
        <v>21</v>
      </c>
      <c r="L494" t="s">
        <v>33</v>
      </c>
      <c r="M494" t="s">
        <v>74</v>
      </c>
      <c r="N494" t="s">
        <v>75</v>
      </c>
    </row>
    <row r="495" spans="1:14" x14ac:dyDescent="0.3">
      <c r="A495">
        <v>494</v>
      </c>
      <c r="B495">
        <v>210</v>
      </c>
      <c r="C495">
        <f>1/COUNTIF(pizza_sales[[#All],[order_id]],pizza_sales[[#This Row],[order_id]])</f>
        <v>1</v>
      </c>
      <c r="D495" t="s">
        <v>157</v>
      </c>
      <c r="E495">
        <v>1</v>
      </c>
      <c r="F495" s="1">
        <v>42008</v>
      </c>
      <c r="G495" s="1" t="str">
        <f>TEXT(pizza_sales[[#This Row],[order_date]],"dddd")</f>
        <v>Sunday</v>
      </c>
      <c r="H495" s="2">
        <v>36526.523761574077</v>
      </c>
      <c r="I495">
        <v>12</v>
      </c>
      <c r="J495">
        <v>12</v>
      </c>
      <c r="K495" t="s">
        <v>41</v>
      </c>
      <c r="L495" t="s">
        <v>22</v>
      </c>
      <c r="M495" t="s">
        <v>110</v>
      </c>
      <c r="N495" t="s">
        <v>111</v>
      </c>
    </row>
    <row r="496" spans="1:14" x14ac:dyDescent="0.3">
      <c r="A496">
        <v>495</v>
      </c>
      <c r="B496">
        <v>211</v>
      </c>
      <c r="C496">
        <f>1/COUNTIF(pizza_sales[[#All],[order_id]],pizza_sales[[#This Row],[order_id]])</f>
        <v>1</v>
      </c>
      <c r="D496" t="s">
        <v>126</v>
      </c>
      <c r="E496">
        <v>1</v>
      </c>
      <c r="F496" s="1">
        <v>42008</v>
      </c>
      <c r="G496" s="1" t="str">
        <f>TEXT(pizza_sales[[#This Row],[order_date]],"dddd")</f>
        <v>Sunday</v>
      </c>
      <c r="H496" s="2">
        <v>36526.537731481483</v>
      </c>
      <c r="I496">
        <v>9.75</v>
      </c>
      <c r="J496">
        <v>9.75</v>
      </c>
      <c r="K496" t="s">
        <v>41</v>
      </c>
      <c r="L496" t="s">
        <v>14</v>
      </c>
      <c r="M496" t="s">
        <v>78</v>
      </c>
      <c r="N496" t="s">
        <v>79</v>
      </c>
    </row>
    <row r="497" spans="1:14" x14ac:dyDescent="0.3">
      <c r="A497">
        <v>496</v>
      </c>
      <c r="B497">
        <v>212</v>
      </c>
      <c r="C497">
        <f>1/COUNTIF(pizza_sales[[#All],[order_id]],pizza_sales[[#This Row],[order_id]])</f>
        <v>1</v>
      </c>
      <c r="D497" t="s">
        <v>54</v>
      </c>
      <c r="E497">
        <v>1</v>
      </c>
      <c r="F497" s="1">
        <v>42008</v>
      </c>
      <c r="G497" s="1" t="str">
        <f>TEXT(pizza_sales[[#This Row],[order_date]],"dddd")</f>
        <v>Sunday</v>
      </c>
      <c r="H497" s="2">
        <v>36526.552812499998</v>
      </c>
      <c r="I497">
        <v>20.5</v>
      </c>
      <c r="J497">
        <v>20.5</v>
      </c>
      <c r="K497" t="s">
        <v>21</v>
      </c>
      <c r="L497" t="s">
        <v>14</v>
      </c>
      <c r="M497" t="s">
        <v>55</v>
      </c>
      <c r="N497" t="s">
        <v>56</v>
      </c>
    </row>
    <row r="498" spans="1:14" x14ac:dyDescent="0.3">
      <c r="A498">
        <v>497</v>
      </c>
      <c r="B498">
        <v>213</v>
      </c>
      <c r="C498">
        <f>1/COUNTIF(pizza_sales[[#All],[order_id]],pizza_sales[[#This Row],[order_id]])</f>
        <v>1</v>
      </c>
      <c r="D498" t="s">
        <v>90</v>
      </c>
      <c r="E498">
        <v>1</v>
      </c>
      <c r="F498" s="1">
        <v>42008</v>
      </c>
      <c r="G498" s="1" t="str">
        <f>TEXT(pizza_sales[[#This Row],[order_date]],"dddd")</f>
        <v>Sunday</v>
      </c>
      <c r="H498" s="2">
        <v>36526.556006944447</v>
      </c>
      <c r="I498">
        <v>17.95</v>
      </c>
      <c r="J498">
        <v>17.95</v>
      </c>
      <c r="K498" t="s">
        <v>21</v>
      </c>
      <c r="L498" t="s">
        <v>22</v>
      </c>
      <c r="M498" t="s">
        <v>91</v>
      </c>
      <c r="N498" t="s">
        <v>92</v>
      </c>
    </row>
    <row r="499" spans="1:14" x14ac:dyDescent="0.3">
      <c r="A499">
        <v>498</v>
      </c>
      <c r="B499">
        <v>214</v>
      </c>
      <c r="C499">
        <f>1/COUNTIF(pizza_sales[[#All],[order_id]],pizza_sales[[#This Row],[order_id]])</f>
        <v>0.25</v>
      </c>
      <c r="D499" t="s">
        <v>54</v>
      </c>
      <c r="E499">
        <v>1</v>
      </c>
      <c r="F499" s="1">
        <v>42008</v>
      </c>
      <c r="G499" s="1" t="str">
        <f>TEXT(pizza_sales[[#This Row],[order_date]],"dddd")</f>
        <v>Sunday</v>
      </c>
      <c r="H499" s="2">
        <v>36526.568935185183</v>
      </c>
      <c r="I499">
        <v>20.5</v>
      </c>
      <c r="J499">
        <v>20.5</v>
      </c>
      <c r="K499" t="s">
        <v>21</v>
      </c>
      <c r="L499" t="s">
        <v>14</v>
      </c>
      <c r="M499" t="s">
        <v>55</v>
      </c>
      <c r="N499" t="s">
        <v>56</v>
      </c>
    </row>
    <row r="500" spans="1:14" x14ac:dyDescent="0.3">
      <c r="A500">
        <v>499</v>
      </c>
      <c r="B500">
        <v>214</v>
      </c>
      <c r="C500">
        <f>1/COUNTIF(pizza_sales[[#All],[order_id]],pizza_sales[[#This Row],[order_id]])</f>
        <v>0.25</v>
      </c>
      <c r="D500" t="s">
        <v>36</v>
      </c>
      <c r="E500">
        <v>1</v>
      </c>
      <c r="F500" s="1">
        <v>42008</v>
      </c>
      <c r="G500" s="1" t="str">
        <f>TEXT(pizza_sales[[#This Row],[order_date]],"dddd")</f>
        <v>Sunday</v>
      </c>
      <c r="H500" s="2">
        <v>36526.568935185183</v>
      </c>
      <c r="I500">
        <v>16.5</v>
      </c>
      <c r="J500">
        <v>16.5</v>
      </c>
      <c r="K500" t="s">
        <v>13</v>
      </c>
      <c r="L500" t="s">
        <v>26</v>
      </c>
      <c r="M500" t="s">
        <v>27</v>
      </c>
      <c r="N500" t="s">
        <v>28</v>
      </c>
    </row>
    <row r="501" spans="1:14" x14ac:dyDescent="0.3">
      <c r="A501">
        <v>500</v>
      </c>
      <c r="B501">
        <v>214</v>
      </c>
      <c r="C501">
        <f>1/COUNTIF(pizza_sales[[#All],[order_id]],pizza_sales[[#This Row],[order_id]])</f>
        <v>0.25</v>
      </c>
      <c r="D501" t="s">
        <v>58</v>
      </c>
      <c r="E501">
        <v>1</v>
      </c>
      <c r="F501" s="1">
        <v>42008</v>
      </c>
      <c r="G501" s="1" t="str">
        <f>TEXT(pizza_sales[[#This Row],[order_date]],"dddd")</f>
        <v>Sunday</v>
      </c>
      <c r="H501" s="2">
        <v>36526.568935185183</v>
      </c>
      <c r="I501">
        <v>12</v>
      </c>
      <c r="J501">
        <v>12</v>
      </c>
      <c r="K501" t="s">
        <v>41</v>
      </c>
      <c r="L501" t="s">
        <v>22</v>
      </c>
      <c r="M501" t="s">
        <v>30</v>
      </c>
      <c r="N501" t="s">
        <v>31</v>
      </c>
    </row>
    <row r="502" spans="1:14" x14ac:dyDescent="0.3">
      <c r="A502">
        <v>501</v>
      </c>
      <c r="B502">
        <v>214</v>
      </c>
      <c r="C502">
        <f>1/COUNTIF(pizza_sales[[#All],[order_id]],pizza_sales[[#This Row],[order_id]])</f>
        <v>0.25</v>
      </c>
      <c r="D502" t="s">
        <v>164</v>
      </c>
      <c r="E502">
        <v>1</v>
      </c>
      <c r="F502" s="1">
        <v>42008</v>
      </c>
      <c r="G502" s="1" t="str">
        <f>TEXT(pizza_sales[[#This Row],[order_date]],"dddd")</f>
        <v>Sunday</v>
      </c>
      <c r="H502" s="2">
        <v>36526.568935185183</v>
      </c>
      <c r="I502">
        <v>16.5</v>
      </c>
      <c r="J502">
        <v>16.5</v>
      </c>
      <c r="K502" t="s">
        <v>13</v>
      </c>
      <c r="L502" t="s">
        <v>22</v>
      </c>
      <c r="M502" t="s">
        <v>63</v>
      </c>
      <c r="N502" t="s">
        <v>64</v>
      </c>
    </row>
    <row r="503" spans="1:14" x14ac:dyDescent="0.3">
      <c r="A503">
        <v>502</v>
      </c>
      <c r="B503">
        <v>215</v>
      </c>
      <c r="C503">
        <f>1/COUNTIF(pizza_sales[[#All],[order_id]],pizza_sales[[#This Row],[order_id]])</f>
        <v>1</v>
      </c>
      <c r="D503" t="s">
        <v>51</v>
      </c>
      <c r="E503">
        <v>1</v>
      </c>
      <c r="F503" s="1">
        <v>42008</v>
      </c>
      <c r="G503" s="1" t="str">
        <f>TEXT(pizza_sales[[#This Row],[order_date]],"dddd")</f>
        <v>Sunday</v>
      </c>
      <c r="H503" s="2">
        <v>36526.572789351849</v>
      </c>
      <c r="I503">
        <v>12</v>
      </c>
      <c r="J503">
        <v>12</v>
      </c>
      <c r="K503" t="s">
        <v>41</v>
      </c>
      <c r="L503" t="s">
        <v>22</v>
      </c>
      <c r="M503" t="s">
        <v>52</v>
      </c>
      <c r="N503" t="s">
        <v>53</v>
      </c>
    </row>
    <row r="504" spans="1:14" x14ac:dyDescent="0.3">
      <c r="A504">
        <v>503</v>
      </c>
      <c r="B504">
        <v>216</v>
      </c>
      <c r="C504">
        <f>1/COUNTIF(pizza_sales[[#All],[order_id]],pizza_sales[[#This Row],[order_id]])</f>
        <v>0.33333333333333331</v>
      </c>
      <c r="D504" t="s">
        <v>118</v>
      </c>
      <c r="E504">
        <v>1</v>
      </c>
      <c r="F504" s="1">
        <v>42008</v>
      </c>
      <c r="G504" s="1" t="str">
        <f>TEXT(pizza_sales[[#This Row],[order_date]],"dddd")</f>
        <v>Sunday</v>
      </c>
      <c r="H504" s="2">
        <v>36526.605509259258</v>
      </c>
      <c r="I504">
        <v>16.75</v>
      </c>
      <c r="J504">
        <v>16.75</v>
      </c>
      <c r="K504" t="s">
        <v>13</v>
      </c>
      <c r="L504" t="s">
        <v>33</v>
      </c>
      <c r="M504" t="s">
        <v>42</v>
      </c>
      <c r="N504" t="s">
        <v>43</v>
      </c>
    </row>
    <row r="505" spans="1:14" x14ac:dyDescent="0.3">
      <c r="A505">
        <v>504</v>
      </c>
      <c r="B505">
        <v>216</v>
      </c>
      <c r="C505">
        <f>1/COUNTIF(pizza_sales[[#All],[order_id]],pizza_sales[[#This Row],[order_id]])</f>
        <v>0.33333333333333331</v>
      </c>
      <c r="D505" t="s">
        <v>20</v>
      </c>
      <c r="E505">
        <v>1</v>
      </c>
      <c r="F505" s="1">
        <v>42008</v>
      </c>
      <c r="G505" s="1" t="str">
        <f>TEXT(pizza_sales[[#This Row],[order_date]],"dddd")</f>
        <v>Sunday</v>
      </c>
      <c r="H505" s="2">
        <v>36526.605509259258</v>
      </c>
      <c r="I505">
        <v>18.5</v>
      </c>
      <c r="J505">
        <v>18.5</v>
      </c>
      <c r="K505" t="s">
        <v>21</v>
      </c>
      <c r="L505" t="s">
        <v>22</v>
      </c>
      <c r="M505" t="s">
        <v>23</v>
      </c>
      <c r="N505" t="s">
        <v>24</v>
      </c>
    </row>
    <row r="506" spans="1:14" x14ac:dyDescent="0.3">
      <c r="A506">
        <v>505</v>
      </c>
      <c r="B506">
        <v>216</v>
      </c>
      <c r="C506">
        <f>1/COUNTIF(pizza_sales[[#All],[order_id]],pizza_sales[[#This Row],[order_id]])</f>
        <v>0.33333333333333331</v>
      </c>
      <c r="D506" t="s">
        <v>142</v>
      </c>
      <c r="E506">
        <v>1</v>
      </c>
      <c r="F506" s="1">
        <v>42008</v>
      </c>
      <c r="G506" s="1" t="str">
        <f>TEXT(pizza_sales[[#This Row],[order_date]],"dddd")</f>
        <v>Sunday</v>
      </c>
      <c r="H506" s="2">
        <v>36526.605509259258</v>
      </c>
      <c r="I506">
        <v>16.5</v>
      </c>
      <c r="J506">
        <v>16.5</v>
      </c>
      <c r="K506" t="s">
        <v>21</v>
      </c>
      <c r="L506" t="s">
        <v>14</v>
      </c>
      <c r="M506" t="s">
        <v>15</v>
      </c>
      <c r="N506" t="s">
        <v>16</v>
      </c>
    </row>
    <row r="507" spans="1:14" x14ac:dyDescent="0.3">
      <c r="A507">
        <v>506</v>
      </c>
      <c r="B507">
        <v>217</v>
      </c>
      <c r="C507">
        <f>1/COUNTIF(pizza_sales[[#All],[order_id]],pizza_sales[[#This Row],[order_id]])</f>
        <v>0.5</v>
      </c>
      <c r="D507" t="s">
        <v>17</v>
      </c>
      <c r="E507">
        <v>1</v>
      </c>
      <c r="F507" s="1">
        <v>42008</v>
      </c>
      <c r="G507" s="1" t="str">
        <f>TEXT(pizza_sales[[#This Row],[order_date]],"dddd")</f>
        <v>Sunday</v>
      </c>
      <c r="H507" s="2">
        <v>36526.607673611114</v>
      </c>
      <c r="I507">
        <v>16</v>
      </c>
      <c r="J507">
        <v>16</v>
      </c>
      <c r="K507" t="s">
        <v>13</v>
      </c>
      <c r="L507" t="s">
        <v>14</v>
      </c>
      <c r="M507" t="s">
        <v>18</v>
      </c>
      <c r="N507" t="s">
        <v>19</v>
      </c>
    </row>
    <row r="508" spans="1:14" x14ac:dyDescent="0.3">
      <c r="A508">
        <v>507</v>
      </c>
      <c r="B508">
        <v>217</v>
      </c>
      <c r="C508">
        <f>1/COUNTIF(pizza_sales[[#All],[order_id]],pizza_sales[[#This Row],[order_id]])</f>
        <v>0.5</v>
      </c>
      <c r="D508" t="s">
        <v>157</v>
      </c>
      <c r="E508">
        <v>1</v>
      </c>
      <c r="F508" s="1">
        <v>42008</v>
      </c>
      <c r="G508" s="1" t="str">
        <f>TEXT(pizza_sales[[#This Row],[order_date]],"dddd")</f>
        <v>Sunday</v>
      </c>
      <c r="H508" s="2">
        <v>36526.607673611114</v>
      </c>
      <c r="I508">
        <v>12</v>
      </c>
      <c r="J508">
        <v>12</v>
      </c>
      <c r="K508" t="s">
        <v>41</v>
      </c>
      <c r="L508" t="s">
        <v>22</v>
      </c>
      <c r="M508" t="s">
        <v>110</v>
      </c>
      <c r="N508" t="s">
        <v>111</v>
      </c>
    </row>
    <row r="509" spans="1:14" x14ac:dyDescent="0.3">
      <c r="A509">
        <v>508</v>
      </c>
      <c r="B509">
        <v>218</v>
      </c>
      <c r="C509">
        <f>1/COUNTIF(pizza_sales[[#All],[order_id]],pizza_sales[[#This Row],[order_id]])</f>
        <v>1</v>
      </c>
      <c r="D509" t="s">
        <v>158</v>
      </c>
      <c r="E509">
        <v>1</v>
      </c>
      <c r="F509" s="1">
        <v>42008</v>
      </c>
      <c r="G509" s="1" t="str">
        <f>TEXT(pizza_sales[[#This Row],[order_date]],"dddd")</f>
        <v>Sunday</v>
      </c>
      <c r="H509" s="2">
        <v>36526.607766203706</v>
      </c>
      <c r="I509">
        <v>16.5</v>
      </c>
      <c r="J509">
        <v>16.5</v>
      </c>
      <c r="K509" t="s">
        <v>13</v>
      </c>
      <c r="L509" t="s">
        <v>26</v>
      </c>
      <c r="M509" t="s">
        <v>60</v>
      </c>
      <c r="N509" t="s">
        <v>61</v>
      </c>
    </row>
    <row r="510" spans="1:14" x14ac:dyDescent="0.3">
      <c r="A510">
        <v>509</v>
      </c>
      <c r="B510">
        <v>219</v>
      </c>
      <c r="C510">
        <f>1/COUNTIF(pizza_sales[[#All],[order_id]],pizza_sales[[#This Row],[order_id]])</f>
        <v>0.25</v>
      </c>
      <c r="D510" t="s">
        <v>72</v>
      </c>
      <c r="E510">
        <v>1</v>
      </c>
      <c r="F510" s="1">
        <v>42008</v>
      </c>
      <c r="G510" s="1" t="str">
        <f>TEXT(pizza_sales[[#This Row],[order_date]],"dddd")</f>
        <v>Sunday</v>
      </c>
      <c r="H510" s="2">
        <v>36526.612511574072</v>
      </c>
      <c r="I510">
        <v>20.75</v>
      </c>
      <c r="J510">
        <v>20.75</v>
      </c>
      <c r="K510" t="s">
        <v>21</v>
      </c>
      <c r="L510" t="s">
        <v>33</v>
      </c>
      <c r="M510" t="s">
        <v>42</v>
      </c>
      <c r="N510" t="s">
        <v>43</v>
      </c>
    </row>
    <row r="511" spans="1:14" x14ac:dyDescent="0.3">
      <c r="A511">
        <v>510</v>
      </c>
      <c r="B511">
        <v>219</v>
      </c>
      <c r="C511">
        <f>1/COUNTIF(pizza_sales[[#All],[order_id]],pizza_sales[[#This Row],[order_id]])</f>
        <v>0.25</v>
      </c>
      <c r="D511" t="s">
        <v>20</v>
      </c>
      <c r="E511">
        <v>1</v>
      </c>
      <c r="F511" s="1">
        <v>42008</v>
      </c>
      <c r="G511" s="1" t="str">
        <f>TEXT(pizza_sales[[#This Row],[order_date]],"dddd")</f>
        <v>Sunday</v>
      </c>
      <c r="H511" s="2">
        <v>36526.612511574072</v>
      </c>
      <c r="I511">
        <v>18.5</v>
      </c>
      <c r="J511">
        <v>18.5</v>
      </c>
      <c r="K511" t="s">
        <v>21</v>
      </c>
      <c r="L511" t="s">
        <v>22</v>
      </c>
      <c r="M511" t="s">
        <v>23</v>
      </c>
      <c r="N511" t="s">
        <v>24</v>
      </c>
    </row>
    <row r="512" spans="1:14" x14ac:dyDescent="0.3">
      <c r="A512">
        <v>511</v>
      </c>
      <c r="B512">
        <v>219</v>
      </c>
      <c r="C512">
        <f>1/COUNTIF(pizza_sales[[#All],[order_id]],pizza_sales[[#This Row],[order_id]])</f>
        <v>0.25</v>
      </c>
      <c r="D512" t="s">
        <v>133</v>
      </c>
      <c r="E512">
        <v>1</v>
      </c>
      <c r="F512" s="1">
        <v>42008</v>
      </c>
      <c r="G512" s="1" t="str">
        <f>TEXT(pizza_sales[[#This Row],[order_date]],"dddd")</f>
        <v>Sunday</v>
      </c>
      <c r="H512" s="2">
        <v>36526.612511574072</v>
      </c>
      <c r="I512">
        <v>16.5</v>
      </c>
      <c r="J512">
        <v>16.5</v>
      </c>
      <c r="K512" t="s">
        <v>13</v>
      </c>
      <c r="L512" t="s">
        <v>26</v>
      </c>
      <c r="M512" t="s">
        <v>107</v>
      </c>
      <c r="N512" t="s">
        <v>108</v>
      </c>
    </row>
    <row r="513" spans="1:14" x14ac:dyDescent="0.3">
      <c r="A513">
        <v>512</v>
      </c>
      <c r="B513">
        <v>219</v>
      </c>
      <c r="C513">
        <f>1/COUNTIF(pizza_sales[[#All],[order_id]],pizza_sales[[#This Row],[order_id]])</f>
        <v>0.25</v>
      </c>
      <c r="D513" t="s">
        <v>162</v>
      </c>
      <c r="E513">
        <v>1</v>
      </c>
      <c r="F513" s="1">
        <v>42008</v>
      </c>
      <c r="G513" s="1" t="str">
        <f>TEXT(pizza_sales[[#This Row],[order_date]],"dddd")</f>
        <v>Sunday</v>
      </c>
      <c r="H513" s="2">
        <v>36526.612511574072</v>
      </c>
      <c r="I513">
        <v>16</v>
      </c>
      <c r="J513">
        <v>16</v>
      </c>
      <c r="K513" t="s">
        <v>13</v>
      </c>
      <c r="L513" t="s">
        <v>22</v>
      </c>
      <c r="M513" t="s">
        <v>110</v>
      </c>
      <c r="N513" t="s">
        <v>111</v>
      </c>
    </row>
    <row r="514" spans="1:14" x14ac:dyDescent="0.3">
      <c r="A514">
        <v>513</v>
      </c>
      <c r="B514">
        <v>220</v>
      </c>
      <c r="C514">
        <f>1/COUNTIF(pizza_sales[[#All],[order_id]],pizza_sales[[#This Row],[order_id]])</f>
        <v>0.25</v>
      </c>
      <c r="D514" t="s">
        <v>132</v>
      </c>
      <c r="E514">
        <v>1</v>
      </c>
      <c r="F514" s="1">
        <v>42008</v>
      </c>
      <c r="G514" s="1" t="str">
        <f>TEXT(pizza_sales[[#This Row],[order_date]],"dddd")</f>
        <v>Sunday</v>
      </c>
      <c r="H514" s="2">
        <v>36526.647210648145</v>
      </c>
      <c r="I514">
        <v>10.5</v>
      </c>
      <c r="J514">
        <v>10.5</v>
      </c>
      <c r="K514" t="s">
        <v>41</v>
      </c>
      <c r="L514" t="s">
        <v>14</v>
      </c>
      <c r="M514" t="s">
        <v>15</v>
      </c>
      <c r="N514" t="s">
        <v>16</v>
      </c>
    </row>
    <row r="515" spans="1:14" x14ac:dyDescent="0.3">
      <c r="A515">
        <v>514</v>
      </c>
      <c r="B515">
        <v>220</v>
      </c>
      <c r="C515">
        <f>1/COUNTIF(pizza_sales[[#All],[order_id]],pizza_sales[[#This Row],[order_id]])</f>
        <v>0.25</v>
      </c>
      <c r="D515" t="s">
        <v>160</v>
      </c>
      <c r="E515">
        <v>1</v>
      </c>
      <c r="F515" s="1">
        <v>42008</v>
      </c>
      <c r="G515" s="1" t="str">
        <f>TEXT(pizza_sales[[#This Row],[order_date]],"dddd")</f>
        <v>Sunday</v>
      </c>
      <c r="H515" s="2">
        <v>36526.647210648145</v>
      </c>
      <c r="I515">
        <v>12</v>
      </c>
      <c r="J515">
        <v>12</v>
      </c>
      <c r="K515" t="s">
        <v>41</v>
      </c>
      <c r="L515" t="s">
        <v>14</v>
      </c>
      <c r="M515" t="s">
        <v>55</v>
      </c>
      <c r="N515" t="s">
        <v>56</v>
      </c>
    </row>
    <row r="516" spans="1:14" x14ac:dyDescent="0.3">
      <c r="A516">
        <v>515</v>
      </c>
      <c r="B516">
        <v>220</v>
      </c>
      <c r="C516">
        <f>1/COUNTIF(pizza_sales[[#All],[order_id]],pizza_sales[[#This Row],[order_id]])</f>
        <v>0.25</v>
      </c>
      <c r="D516" t="s">
        <v>112</v>
      </c>
      <c r="E516">
        <v>1</v>
      </c>
      <c r="F516" s="1">
        <v>42008</v>
      </c>
      <c r="G516" s="1" t="str">
        <f>TEXT(pizza_sales[[#This Row],[order_date]],"dddd")</f>
        <v>Sunday</v>
      </c>
      <c r="H516" s="2">
        <v>36526.647210648145</v>
      </c>
      <c r="I516">
        <v>20.5</v>
      </c>
      <c r="J516">
        <v>20.5</v>
      </c>
      <c r="K516" t="s">
        <v>21</v>
      </c>
      <c r="L516" t="s">
        <v>14</v>
      </c>
      <c r="M516" t="s">
        <v>94</v>
      </c>
      <c r="N516" t="s">
        <v>95</v>
      </c>
    </row>
    <row r="517" spans="1:14" x14ac:dyDescent="0.3">
      <c r="A517">
        <v>516</v>
      </c>
      <c r="B517">
        <v>220</v>
      </c>
      <c r="C517">
        <f>1/COUNTIF(pizza_sales[[#All],[order_id]],pizza_sales[[#This Row],[order_id]])</f>
        <v>0.25</v>
      </c>
      <c r="D517" t="s">
        <v>59</v>
      </c>
      <c r="E517">
        <v>1</v>
      </c>
      <c r="F517" s="1">
        <v>42008</v>
      </c>
      <c r="G517" s="1" t="str">
        <f>TEXT(pizza_sales[[#This Row],[order_date]],"dddd")</f>
        <v>Sunday</v>
      </c>
      <c r="H517" s="2">
        <v>36526.647210648145</v>
      </c>
      <c r="I517">
        <v>20.75</v>
      </c>
      <c r="J517">
        <v>20.75</v>
      </c>
      <c r="K517" t="s">
        <v>21</v>
      </c>
      <c r="L517" t="s">
        <v>26</v>
      </c>
      <c r="M517" t="s">
        <v>60</v>
      </c>
      <c r="N517" t="s">
        <v>61</v>
      </c>
    </row>
    <row r="518" spans="1:14" x14ac:dyDescent="0.3">
      <c r="A518">
        <v>517</v>
      </c>
      <c r="B518">
        <v>221</v>
      </c>
      <c r="C518">
        <f>1/COUNTIF(pizza_sales[[#All],[order_id]],pizza_sales[[#This Row],[order_id]])</f>
        <v>0.33333333333333331</v>
      </c>
      <c r="D518" t="s">
        <v>20</v>
      </c>
      <c r="E518">
        <v>1</v>
      </c>
      <c r="F518" s="1">
        <v>42008</v>
      </c>
      <c r="G518" s="1" t="str">
        <f>TEXT(pizza_sales[[#This Row],[order_date]],"dddd")</f>
        <v>Sunday</v>
      </c>
      <c r="H518" s="2">
        <v>36526.648125</v>
      </c>
      <c r="I518">
        <v>18.5</v>
      </c>
      <c r="J518">
        <v>18.5</v>
      </c>
      <c r="K518" t="s">
        <v>21</v>
      </c>
      <c r="L518" t="s">
        <v>22</v>
      </c>
      <c r="M518" t="s">
        <v>23</v>
      </c>
      <c r="N518" t="s">
        <v>24</v>
      </c>
    </row>
    <row r="519" spans="1:14" x14ac:dyDescent="0.3">
      <c r="A519">
        <v>518</v>
      </c>
      <c r="B519">
        <v>221</v>
      </c>
      <c r="C519">
        <f>1/COUNTIF(pizza_sales[[#All],[order_id]],pizza_sales[[#This Row],[order_id]])</f>
        <v>0.33333333333333331</v>
      </c>
      <c r="D519" t="s">
        <v>145</v>
      </c>
      <c r="E519">
        <v>1</v>
      </c>
      <c r="F519" s="1">
        <v>42008</v>
      </c>
      <c r="G519" s="1" t="str">
        <f>TEXT(pizza_sales[[#This Row],[order_date]],"dddd")</f>
        <v>Sunday</v>
      </c>
      <c r="H519" s="2">
        <v>36526.648125</v>
      </c>
      <c r="I519">
        <v>16.5</v>
      </c>
      <c r="J519">
        <v>16.5</v>
      </c>
      <c r="K519" t="s">
        <v>13</v>
      </c>
      <c r="L519" t="s">
        <v>26</v>
      </c>
      <c r="M519" t="s">
        <v>38</v>
      </c>
      <c r="N519" t="s">
        <v>39</v>
      </c>
    </row>
    <row r="520" spans="1:14" x14ac:dyDescent="0.3">
      <c r="A520">
        <v>519</v>
      </c>
      <c r="B520">
        <v>221</v>
      </c>
      <c r="C520">
        <f>1/COUNTIF(pizza_sales[[#All],[order_id]],pizza_sales[[#This Row],[order_id]])</f>
        <v>0.33333333333333331</v>
      </c>
      <c r="D520" t="s">
        <v>44</v>
      </c>
      <c r="E520">
        <v>1</v>
      </c>
      <c r="F520" s="1">
        <v>42008</v>
      </c>
      <c r="G520" s="1" t="str">
        <f>TEXT(pizza_sales[[#This Row],[order_date]],"dddd")</f>
        <v>Sunday</v>
      </c>
      <c r="H520" s="2">
        <v>36526.648125</v>
      </c>
      <c r="I520">
        <v>12</v>
      </c>
      <c r="J520">
        <v>12</v>
      </c>
      <c r="K520" t="s">
        <v>41</v>
      </c>
      <c r="L520" t="s">
        <v>14</v>
      </c>
      <c r="M520" t="s">
        <v>45</v>
      </c>
      <c r="N520" t="s">
        <v>46</v>
      </c>
    </row>
    <row r="521" spans="1:14" x14ac:dyDescent="0.3">
      <c r="A521">
        <v>520</v>
      </c>
      <c r="B521">
        <v>222</v>
      </c>
      <c r="C521">
        <f>1/COUNTIF(pizza_sales[[#All],[order_id]],pizza_sales[[#This Row],[order_id]])</f>
        <v>0.5</v>
      </c>
      <c r="D521" t="s">
        <v>90</v>
      </c>
      <c r="E521">
        <v>1</v>
      </c>
      <c r="F521" s="1">
        <v>42008</v>
      </c>
      <c r="G521" s="1" t="str">
        <f>TEXT(pizza_sales[[#This Row],[order_date]],"dddd")</f>
        <v>Sunday</v>
      </c>
      <c r="H521" s="2">
        <v>36526.657384259262</v>
      </c>
      <c r="I521">
        <v>17.95</v>
      </c>
      <c r="J521">
        <v>17.95</v>
      </c>
      <c r="K521" t="s">
        <v>21</v>
      </c>
      <c r="L521" t="s">
        <v>22</v>
      </c>
      <c r="M521" t="s">
        <v>91</v>
      </c>
      <c r="N521" t="s">
        <v>92</v>
      </c>
    </row>
    <row r="522" spans="1:14" x14ac:dyDescent="0.3">
      <c r="A522">
        <v>521</v>
      </c>
      <c r="B522">
        <v>222</v>
      </c>
      <c r="C522">
        <f>1/COUNTIF(pizza_sales[[#All],[order_id]],pizza_sales[[#This Row],[order_id]])</f>
        <v>0.5</v>
      </c>
      <c r="D522" t="s">
        <v>149</v>
      </c>
      <c r="E522">
        <v>1</v>
      </c>
      <c r="F522" s="1">
        <v>42008</v>
      </c>
      <c r="G522" s="1" t="str">
        <f>TEXT(pizza_sales[[#This Row],[order_date]],"dddd")</f>
        <v>Sunday</v>
      </c>
      <c r="H522" s="2">
        <v>36526.657384259262</v>
      </c>
      <c r="I522">
        <v>12.25</v>
      </c>
      <c r="J522">
        <v>12.25</v>
      </c>
      <c r="K522" t="s">
        <v>41</v>
      </c>
      <c r="L522" t="s">
        <v>26</v>
      </c>
      <c r="M522" t="s">
        <v>114</v>
      </c>
      <c r="N522" t="s">
        <v>115</v>
      </c>
    </row>
    <row r="523" spans="1:14" x14ac:dyDescent="0.3">
      <c r="A523">
        <v>522</v>
      </c>
      <c r="B523">
        <v>223</v>
      </c>
      <c r="C523">
        <f>1/COUNTIF(pizza_sales[[#All],[order_id]],pizza_sales[[#This Row],[order_id]])</f>
        <v>1</v>
      </c>
      <c r="D523" t="s">
        <v>143</v>
      </c>
      <c r="E523">
        <v>1</v>
      </c>
      <c r="F523" s="1">
        <v>42008</v>
      </c>
      <c r="G523" s="1" t="str">
        <f>TEXT(pizza_sales[[#This Row],[order_date]],"dddd")</f>
        <v>Sunday</v>
      </c>
      <c r="H523" s="2">
        <v>36526.672453703701</v>
      </c>
      <c r="I523">
        <v>11</v>
      </c>
      <c r="J523">
        <v>11</v>
      </c>
      <c r="K523" t="s">
        <v>41</v>
      </c>
      <c r="L523" t="s">
        <v>14</v>
      </c>
      <c r="M523" t="s">
        <v>130</v>
      </c>
      <c r="N523" t="s">
        <v>131</v>
      </c>
    </row>
    <row r="524" spans="1:14" x14ac:dyDescent="0.3">
      <c r="A524">
        <v>523</v>
      </c>
      <c r="B524">
        <v>224</v>
      </c>
      <c r="C524">
        <f>1/COUNTIF(pizza_sales[[#All],[order_id]],pizza_sales[[#This Row],[order_id]])</f>
        <v>0.25</v>
      </c>
      <c r="D524" t="s">
        <v>123</v>
      </c>
      <c r="E524">
        <v>1</v>
      </c>
      <c r="F524" s="1">
        <v>42008</v>
      </c>
      <c r="G524" s="1" t="str">
        <f>TEXT(pizza_sales[[#This Row],[order_date]],"dddd")</f>
        <v>Sunday</v>
      </c>
      <c r="H524" s="2">
        <v>36526.694421296299</v>
      </c>
      <c r="I524">
        <v>12.75</v>
      </c>
      <c r="J524">
        <v>12.75</v>
      </c>
      <c r="K524" t="s">
        <v>41</v>
      </c>
      <c r="L524" t="s">
        <v>33</v>
      </c>
      <c r="M524" t="s">
        <v>124</v>
      </c>
      <c r="N524" t="s">
        <v>125</v>
      </c>
    </row>
    <row r="525" spans="1:14" x14ac:dyDescent="0.3">
      <c r="A525">
        <v>524</v>
      </c>
      <c r="B525">
        <v>224</v>
      </c>
      <c r="C525">
        <f>1/COUNTIF(pizza_sales[[#All],[order_id]],pizza_sales[[#This Row],[order_id]])</f>
        <v>0.25</v>
      </c>
      <c r="D525" t="s">
        <v>36</v>
      </c>
      <c r="E525">
        <v>1</v>
      </c>
      <c r="F525" s="1">
        <v>42008</v>
      </c>
      <c r="G525" s="1" t="str">
        <f>TEXT(pizza_sales[[#This Row],[order_date]],"dddd")</f>
        <v>Sunday</v>
      </c>
      <c r="H525" s="2">
        <v>36526.694421296299</v>
      </c>
      <c r="I525">
        <v>16.5</v>
      </c>
      <c r="J525">
        <v>16.5</v>
      </c>
      <c r="K525" t="s">
        <v>13</v>
      </c>
      <c r="L525" t="s">
        <v>26</v>
      </c>
      <c r="M525" t="s">
        <v>27</v>
      </c>
      <c r="N525" t="s">
        <v>28</v>
      </c>
    </row>
    <row r="526" spans="1:14" x14ac:dyDescent="0.3">
      <c r="A526">
        <v>525</v>
      </c>
      <c r="B526">
        <v>224</v>
      </c>
      <c r="C526">
        <f>1/COUNTIF(pizza_sales[[#All],[order_id]],pizza_sales[[#This Row],[order_id]])</f>
        <v>0.25</v>
      </c>
      <c r="D526" t="s">
        <v>163</v>
      </c>
      <c r="E526">
        <v>1</v>
      </c>
      <c r="F526" s="1">
        <v>42008</v>
      </c>
      <c r="G526" s="1" t="str">
        <f>TEXT(pizza_sales[[#This Row],[order_date]],"dddd")</f>
        <v>Sunday</v>
      </c>
      <c r="H526" s="2">
        <v>36526.694421296299</v>
      </c>
      <c r="I526">
        <v>16</v>
      </c>
      <c r="J526">
        <v>16</v>
      </c>
      <c r="K526" t="s">
        <v>13</v>
      </c>
      <c r="L526" t="s">
        <v>14</v>
      </c>
      <c r="M526" t="s">
        <v>94</v>
      </c>
      <c r="N526" t="s">
        <v>95</v>
      </c>
    </row>
    <row r="527" spans="1:14" x14ac:dyDescent="0.3">
      <c r="A527">
        <v>526</v>
      </c>
      <c r="B527">
        <v>224</v>
      </c>
      <c r="C527">
        <f>1/COUNTIF(pizza_sales[[#All],[order_id]],pizza_sales[[#This Row],[order_id]])</f>
        <v>0.25</v>
      </c>
      <c r="D527" t="s">
        <v>32</v>
      </c>
      <c r="E527">
        <v>1</v>
      </c>
      <c r="F527" s="1">
        <v>42008</v>
      </c>
      <c r="G527" s="1" t="str">
        <f>TEXT(pizza_sales[[#This Row],[order_date]],"dddd")</f>
        <v>Sunday</v>
      </c>
      <c r="H527" s="2">
        <v>36526.694421296299</v>
      </c>
      <c r="I527">
        <v>20.75</v>
      </c>
      <c r="J527">
        <v>20.75</v>
      </c>
      <c r="K527" t="s">
        <v>21</v>
      </c>
      <c r="L527" t="s">
        <v>33</v>
      </c>
      <c r="M527" t="s">
        <v>34</v>
      </c>
      <c r="N527" t="s">
        <v>35</v>
      </c>
    </row>
    <row r="528" spans="1:14" x14ac:dyDescent="0.3">
      <c r="A528">
        <v>527</v>
      </c>
      <c r="B528">
        <v>225</v>
      </c>
      <c r="C528">
        <f>1/COUNTIF(pizza_sales[[#All],[order_id]],pizza_sales[[#This Row],[order_id]])</f>
        <v>0.33333333333333331</v>
      </c>
      <c r="D528" t="s">
        <v>72</v>
      </c>
      <c r="E528">
        <v>1</v>
      </c>
      <c r="F528" s="1">
        <v>42008</v>
      </c>
      <c r="G528" s="1" t="str">
        <f>TEXT(pizza_sales[[#This Row],[order_date]],"dddd")</f>
        <v>Sunday</v>
      </c>
      <c r="H528" s="2">
        <v>36526.695694444446</v>
      </c>
      <c r="I528">
        <v>20.75</v>
      </c>
      <c r="J528">
        <v>20.75</v>
      </c>
      <c r="K528" t="s">
        <v>21</v>
      </c>
      <c r="L528" t="s">
        <v>33</v>
      </c>
      <c r="M528" t="s">
        <v>42</v>
      </c>
      <c r="N528" t="s">
        <v>43</v>
      </c>
    </row>
    <row r="529" spans="1:14" x14ac:dyDescent="0.3">
      <c r="A529">
        <v>528</v>
      </c>
      <c r="B529">
        <v>225</v>
      </c>
      <c r="C529">
        <f>1/COUNTIF(pizza_sales[[#All],[order_id]],pizza_sales[[#This Row],[order_id]])</f>
        <v>0.33333333333333331</v>
      </c>
      <c r="D529" t="s">
        <v>118</v>
      </c>
      <c r="E529">
        <v>1</v>
      </c>
      <c r="F529" s="1">
        <v>42008</v>
      </c>
      <c r="G529" s="1" t="str">
        <f>TEXT(pizza_sales[[#This Row],[order_date]],"dddd")</f>
        <v>Sunday</v>
      </c>
      <c r="H529" s="2">
        <v>36526.695694444446</v>
      </c>
      <c r="I529">
        <v>16.75</v>
      </c>
      <c r="J529">
        <v>16.75</v>
      </c>
      <c r="K529" t="s">
        <v>13</v>
      </c>
      <c r="L529" t="s">
        <v>33</v>
      </c>
      <c r="M529" t="s">
        <v>42</v>
      </c>
      <c r="N529" t="s">
        <v>43</v>
      </c>
    </row>
    <row r="530" spans="1:14" x14ac:dyDescent="0.3">
      <c r="A530">
        <v>529</v>
      </c>
      <c r="B530">
        <v>225</v>
      </c>
      <c r="C530">
        <f>1/COUNTIF(pizza_sales[[#All],[order_id]],pizza_sales[[#This Row],[order_id]])</f>
        <v>0.33333333333333331</v>
      </c>
      <c r="D530" t="s">
        <v>117</v>
      </c>
      <c r="E530">
        <v>1</v>
      </c>
      <c r="F530" s="1">
        <v>42008</v>
      </c>
      <c r="G530" s="1" t="str">
        <f>TEXT(pizza_sales[[#This Row],[order_date]],"dddd")</f>
        <v>Sunday</v>
      </c>
      <c r="H530" s="2">
        <v>36526.695694444446</v>
      </c>
      <c r="I530">
        <v>12.75</v>
      </c>
      <c r="J530">
        <v>12.75</v>
      </c>
      <c r="K530" t="s">
        <v>41</v>
      </c>
      <c r="L530" t="s">
        <v>33</v>
      </c>
      <c r="M530" t="s">
        <v>70</v>
      </c>
      <c r="N530" t="s">
        <v>71</v>
      </c>
    </row>
    <row r="531" spans="1:14" x14ac:dyDescent="0.3">
      <c r="A531">
        <v>530</v>
      </c>
      <c r="B531">
        <v>226</v>
      </c>
      <c r="C531">
        <f>1/COUNTIF(pizza_sales[[#All],[order_id]],pizza_sales[[#This Row],[order_id]])</f>
        <v>1</v>
      </c>
      <c r="D531" t="s">
        <v>138</v>
      </c>
      <c r="E531">
        <v>1</v>
      </c>
      <c r="F531" s="1">
        <v>42008</v>
      </c>
      <c r="G531" s="1" t="str">
        <f>TEXT(pizza_sales[[#This Row],[order_date]],"dddd")</f>
        <v>Sunday</v>
      </c>
      <c r="H531" s="2">
        <v>36526.708090277774</v>
      </c>
      <c r="I531">
        <v>20.5</v>
      </c>
      <c r="J531">
        <v>20.5</v>
      </c>
      <c r="K531" t="s">
        <v>21</v>
      </c>
      <c r="L531" t="s">
        <v>14</v>
      </c>
      <c r="M531" t="s">
        <v>18</v>
      </c>
      <c r="N531" t="s">
        <v>19</v>
      </c>
    </row>
    <row r="532" spans="1:14" x14ac:dyDescent="0.3">
      <c r="A532">
        <v>531</v>
      </c>
      <c r="B532">
        <v>227</v>
      </c>
      <c r="C532">
        <f>1/COUNTIF(pizza_sales[[#All],[order_id]],pizza_sales[[#This Row],[order_id]])</f>
        <v>0.5</v>
      </c>
      <c r="D532" t="s">
        <v>118</v>
      </c>
      <c r="E532">
        <v>1</v>
      </c>
      <c r="F532" s="1">
        <v>42008</v>
      </c>
      <c r="G532" s="1" t="str">
        <f>TEXT(pizza_sales[[#This Row],[order_date]],"dddd")</f>
        <v>Sunday</v>
      </c>
      <c r="H532" s="2">
        <v>36526.725451388891</v>
      </c>
      <c r="I532">
        <v>16.75</v>
      </c>
      <c r="J532">
        <v>16.75</v>
      </c>
      <c r="K532" t="s">
        <v>13</v>
      </c>
      <c r="L532" t="s">
        <v>33</v>
      </c>
      <c r="M532" t="s">
        <v>42</v>
      </c>
      <c r="N532" t="s">
        <v>43</v>
      </c>
    </row>
    <row r="533" spans="1:14" x14ac:dyDescent="0.3">
      <c r="A533">
        <v>532</v>
      </c>
      <c r="B533">
        <v>227</v>
      </c>
      <c r="C533">
        <f>1/COUNTIF(pizza_sales[[#All],[order_id]],pizza_sales[[#This Row],[order_id]])</f>
        <v>0.5</v>
      </c>
      <c r="D533" t="s">
        <v>155</v>
      </c>
      <c r="E533">
        <v>1</v>
      </c>
      <c r="F533" s="1">
        <v>42008</v>
      </c>
      <c r="G533" s="1" t="str">
        <f>TEXT(pizza_sales[[#This Row],[order_date]],"dddd")</f>
        <v>Sunday</v>
      </c>
      <c r="H533" s="2">
        <v>36526.725451388891</v>
      </c>
      <c r="I533">
        <v>16</v>
      </c>
      <c r="J533">
        <v>16</v>
      </c>
      <c r="K533" t="s">
        <v>13</v>
      </c>
      <c r="L533" t="s">
        <v>14</v>
      </c>
      <c r="M533" t="s">
        <v>45</v>
      </c>
      <c r="N533" t="s">
        <v>46</v>
      </c>
    </row>
    <row r="534" spans="1:14" x14ac:dyDescent="0.3">
      <c r="A534">
        <v>533</v>
      </c>
      <c r="B534">
        <v>228</v>
      </c>
      <c r="C534">
        <f>1/COUNTIF(pizza_sales[[#All],[order_id]],pizza_sales[[#This Row],[order_id]])</f>
        <v>1</v>
      </c>
      <c r="D534" t="s">
        <v>100</v>
      </c>
      <c r="E534">
        <v>1</v>
      </c>
      <c r="F534" s="1">
        <v>42008</v>
      </c>
      <c r="G534" s="1" t="str">
        <f>TEXT(pizza_sales[[#This Row],[order_date]],"dddd")</f>
        <v>Sunday</v>
      </c>
      <c r="H534" s="2">
        <v>36526.730138888888</v>
      </c>
      <c r="I534">
        <v>12.75</v>
      </c>
      <c r="J534">
        <v>12.75</v>
      </c>
      <c r="K534" t="s">
        <v>41</v>
      </c>
      <c r="L534" t="s">
        <v>22</v>
      </c>
      <c r="M534" t="s">
        <v>101</v>
      </c>
      <c r="N534" t="s">
        <v>102</v>
      </c>
    </row>
    <row r="535" spans="1:14" x14ac:dyDescent="0.3">
      <c r="A535">
        <v>534</v>
      </c>
      <c r="B535">
        <v>229</v>
      </c>
      <c r="C535">
        <f>1/COUNTIF(pizza_sales[[#All],[order_id]],pizza_sales[[#This Row],[order_id]])</f>
        <v>0.33333333333333331</v>
      </c>
      <c r="D535" t="s">
        <v>153</v>
      </c>
      <c r="E535">
        <v>1</v>
      </c>
      <c r="F535" s="1">
        <v>42008</v>
      </c>
      <c r="G535" s="1" t="str">
        <f>TEXT(pizza_sales[[#This Row],[order_date]],"dddd")</f>
        <v>Sunday</v>
      </c>
      <c r="H535" s="2">
        <v>36526.7346875</v>
      </c>
      <c r="I535">
        <v>21</v>
      </c>
      <c r="J535">
        <v>21</v>
      </c>
      <c r="K535" t="s">
        <v>21</v>
      </c>
      <c r="L535" t="s">
        <v>22</v>
      </c>
      <c r="M535" t="s">
        <v>101</v>
      </c>
      <c r="N535" t="s">
        <v>102</v>
      </c>
    </row>
    <row r="536" spans="1:14" x14ac:dyDescent="0.3">
      <c r="A536">
        <v>535</v>
      </c>
      <c r="B536">
        <v>229</v>
      </c>
      <c r="C536">
        <f>1/COUNTIF(pizza_sales[[#All],[order_id]],pizza_sales[[#This Row],[order_id]])</f>
        <v>0.33333333333333331</v>
      </c>
      <c r="D536" t="s">
        <v>37</v>
      </c>
      <c r="E536">
        <v>1</v>
      </c>
      <c r="F536" s="1">
        <v>42008</v>
      </c>
      <c r="G536" s="1" t="str">
        <f>TEXT(pizza_sales[[#This Row],[order_date]],"dddd")</f>
        <v>Sunday</v>
      </c>
      <c r="H536" s="2">
        <v>36526.7346875</v>
      </c>
      <c r="I536">
        <v>20.75</v>
      </c>
      <c r="J536">
        <v>20.75</v>
      </c>
      <c r="K536" t="s">
        <v>21</v>
      </c>
      <c r="L536" t="s">
        <v>26</v>
      </c>
      <c r="M536" t="s">
        <v>38</v>
      </c>
      <c r="N536" t="s">
        <v>39</v>
      </c>
    </row>
    <row r="537" spans="1:14" x14ac:dyDescent="0.3">
      <c r="A537">
        <v>536</v>
      </c>
      <c r="B537">
        <v>229</v>
      </c>
      <c r="C537">
        <f>1/COUNTIF(pizza_sales[[#All],[order_id]],pizza_sales[[#This Row],[order_id]])</f>
        <v>0.33333333333333331</v>
      </c>
      <c r="D537" t="s">
        <v>136</v>
      </c>
      <c r="E537">
        <v>1</v>
      </c>
      <c r="F537" s="1">
        <v>42008</v>
      </c>
      <c r="G537" s="1" t="str">
        <f>TEXT(pizza_sales[[#This Row],[order_date]],"dddd")</f>
        <v>Sunday</v>
      </c>
      <c r="H537" s="2">
        <v>36526.7346875</v>
      </c>
      <c r="I537">
        <v>12.5</v>
      </c>
      <c r="J537">
        <v>12.5</v>
      </c>
      <c r="K537" t="s">
        <v>41</v>
      </c>
      <c r="L537" t="s">
        <v>22</v>
      </c>
      <c r="M537" t="s">
        <v>63</v>
      </c>
      <c r="N537" t="s">
        <v>64</v>
      </c>
    </row>
    <row r="538" spans="1:14" x14ac:dyDescent="0.3">
      <c r="A538">
        <v>537</v>
      </c>
      <c r="B538">
        <v>230</v>
      </c>
      <c r="C538">
        <f>1/COUNTIF(pizza_sales[[#All],[order_id]],pizza_sales[[#This Row],[order_id]])</f>
        <v>1</v>
      </c>
      <c r="D538" t="s">
        <v>137</v>
      </c>
      <c r="E538">
        <v>1</v>
      </c>
      <c r="F538" s="1">
        <v>42008</v>
      </c>
      <c r="G538" s="1" t="str">
        <f>TEXT(pizza_sales[[#This Row],[order_date]],"dddd")</f>
        <v>Sunday</v>
      </c>
      <c r="H538" s="2">
        <v>36526.749050925922</v>
      </c>
      <c r="I538">
        <v>16.75</v>
      </c>
      <c r="J538">
        <v>16.75</v>
      </c>
      <c r="K538" t="s">
        <v>13</v>
      </c>
      <c r="L538" t="s">
        <v>33</v>
      </c>
      <c r="M538" t="s">
        <v>34</v>
      </c>
      <c r="N538" t="s">
        <v>35</v>
      </c>
    </row>
    <row r="539" spans="1:14" x14ac:dyDescent="0.3">
      <c r="A539">
        <v>538</v>
      </c>
      <c r="B539">
        <v>231</v>
      </c>
      <c r="C539">
        <f>1/COUNTIF(pizza_sales[[#All],[order_id]],pizza_sales[[#This Row],[order_id]])</f>
        <v>0.33333333333333331</v>
      </c>
      <c r="D539" t="s">
        <v>73</v>
      </c>
      <c r="E539">
        <v>1</v>
      </c>
      <c r="F539" s="1">
        <v>42008</v>
      </c>
      <c r="G539" s="1" t="str">
        <f>TEXT(pizza_sales[[#This Row],[order_date]],"dddd")</f>
        <v>Sunday</v>
      </c>
      <c r="H539" s="2">
        <v>36526.752986111111</v>
      </c>
      <c r="I539">
        <v>20.75</v>
      </c>
      <c r="J539">
        <v>20.75</v>
      </c>
      <c r="K539" t="s">
        <v>21</v>
      </c>
      <c r="L539" t="s">
        <v>33</v>
      </c>
      <c r="M539" t="s">
        <v>74</v>
      </c>
      <c r="N539" t="s">
        <v>75</v>
      </c>
    </row>
    <row r="540" spans="1:14" x14ac:dyDescent="0.3">
      <c r="A540">
        <v>539</v>
      </c>
      <c r="B540">
        <v>231</v>
      </c>
      <c r="C540">
        <f>1/COUNTIF(pizza_sales[[#All],[order_id]],pizza_sales[[#This Row],[order_id]])</f>
        <v>0.33333333333333331</v>
      </c>
      <c r="D540" t="s">
        <v>93</v>
      </c>
      <c r="E540">
        <v>1</v>
      </c>
      <c r="F540" s="1">
        <v>42008</v>
      </c>
      <c r="G540" s="1" t="str">
        <f>TEXT(pizza_sales[[#This Row],[order_date]],"dddd")</f>
        <v>Sunday</v>
      </c>
      <c r="H540" s="2">
        <v>36526.752986111111</v>
      </c>
      <c r="I540">
        <v>12</v>
      </c>
      <c r="J540">
        <v>12</v>
      </c>
      <c r="K540" t="s">
        <v>41</v>
      </c>
      <c r="L540" t="s">
        <v>14</v>
      </c>
      <c r="M540" t="s">
        <v>94</v>
      </c>
      <c r="N540" t="s">
        <v>95</v>
      </c>
    </row>
    <row r="541" spans="1:14" x14ac:dyDescent="0.3">
      <c r="A541">
        <v>540</v>
      </c>
      <c r="B541">
        <v>231</v>
      </c>
      <c r="C541">
        <f>1/COUNTIF(pizza_sales[[#All],[order_id]],pizza_sales[[#This Row],[order_id]])</f>
        <v>0.33333333333333331</v>
      </c>
      <c r="D541" t="s">
        <v>120</v>
      </c>
      <c r="E541">
        <v>1</v>
      </c>
      <c r="F541" s="1">
        <v>42008</v>
      </c>
      <c r="G541" s="1" t="str">
        <f>TEXT(pizza_sales[[#This Row],[order_date]],"dddd")</f>
        <v>Sunday</v>
      </c>
      <c r="H541" s="2">
        <v>36526.752986111111</v>
      </c>
      <c r="I541">
        <v>12.5</v>
      </c>
      <c r="J541">
        <v>12.5</v>
      </c>
      <c r="K541" t="s">
        <v>41</v>
      </c>
      <c r="L541" t="s">
        <v>26</v>
      </c>
      <c r="M541" t="s">
        <v>38</v>
      </c>
      <c r="N541" t="s">
        <v>39</v>
      </c>
    </row>
    <row r="542" spans="1:14" x14ac:dyDescent="0.3">
      <c r="A542">
        <v>541</v>
      </c>
      <c r="B542">
        <v>232</v>
      </c>
      <c r="C542">
        <f>1/COUNTIF(pizza_sales[[#All],[order_id]],pizza_sales[[#This Row],[order_id]])</f>
        <v>0.5</v>
      </c>
      <c r="D542" t="s">
        <v>118</v>
      </c>
      <c r="E542">
        <v>1</v>
      </c>
      <c r="F542" s="1">
        <v>42008</v>
      </c>
      <c r="G542" s="1" t="str">
        <f>TEXT(pizza_sales[[#This Row],[order_date]],"dddd")</f>
        <v>Sunday</v>
      </c>
      <c r="H542" s="2">
        <v>36526.765266203707</v>
      </c>
      <c r="I542">
        <v>16.75</v>
      </c>
      <c r="J542">
        <v>16.75</v>
      </c>
      <c r="K542" t="s">
        <v>13</v>
      </c>
      <c r="L542" t="s">
        <v>33</v>
      </c>
      <c r="M542" t="s">
        <v>42</v>
      </c>
      <c r="N542" t="s">
        <v>43</v>
      </c>
    </row>
    <row r="543" spans="1:14" x14ac:dyDescent="0.3">
      <c r="A543">
        <v>542</v>
      </c>
      <c r="B543">
        <v>232</v>
      </c>
      <c r="C543">
        <f>1/COUNTIF(pizza_sales[[#All],[order_id]],pizza_sales[[#This Row],[order_id]])</f>
        <v>0.5</v>
      </c>
      <c r="D543" t="s">
        <v>152</v>
      </c>
      <c r="E543">
        <v>1</v>
      </c>
      <c r="F543" s="1">
        <v>42008</v>
      </c>
      <c r="G543" s="1" t="str">
        <f>TEXT(pizza_sales[[#This Row],[order_date]],"dddd")</f>
        <v>Sunday</v>
      </c>
      <c r="H543" s="2">
        <v>36526.765266203707</v>
      </c>
      <c r="I543">
        <v>20.75</v>
      </c>
      <c r="J543">
        <v>20.75</v>
      </c>
      <c r="K543" t="s">
        <v>21</v>
      </c>
      <c r="L543" t="s">
        <v>26</v>
      </c>
      <c r="M543" t="s">
        <v>48</v>
      </c>
      <c r="N543" t="s">
        <v>49</v>
      </c>
    </row>
    <row r="544" spans="1:14" x14ac:dyDescent="0.3">
      <c r="A544">
        <v>543</v>
      </c>
      <c r="B544">
        <v>233</v>
      </c>
      <c r="C544">
        <f>1/COUNTIF(pizza_sales[[#All],[order_id]],pizza_sales[[#This Row],[order_id]])</f>
        <v>1</v>
      </c>
      <c r="D544" t="s">
        <v>157</v>
      </c>
      <c r="E544">
        <v>1</v>
      </c>
      <c r="F544" s="1">
        <v>42008</v>
      </c>
      <c r="G544" s="1" t="str">
        <f>TEXT(pizza_sales[[#This Row],[order_date]],"dddd")</f>
        <v>Sunday</v>
      </c>
      <c r="H544" s="2">
        <v>36526.768645833334</v>
      </c>
      <c r="I544">
        <v>12</v>
      </c>
      <c r="J544">
        <v>12</v>
      </c>
      <c r="K544" t="s">
        <v>41</v>
      </c>
      <c r="L544" t="s">
        <v>22</v>
      </c>
      <c r="M544" t="s">
        <v>110</v>
      </c>
      <c r="N544" t="s">
        <v>111</v>
      </c>
    </row>
    <row r="545" spans="1:14" x14ac:dyDescent="0.3">
      <c r="A545">
        <v>544</v>
      </c>
      <c r="B545">
        <v>234</v>
      </c>
      <c r="C545">
        <f>1/COUNTIF(pizza_sales[[#All],[order_id]],pizza_sales[[#This Row],[order_id]])</f>
        <v>0.33333333333333331</v>
      </c>
      <c r="D545" t="s">
        <v>134</v>
      </c>
      <c r="E545">
        <v>1</v>
      </c>
      <c r="F545" s="1">
        <v>42008</v>
      </c>
      <c r="G545" s="1" t="str">
        <f>TEXT(pizza_sales[[#This Row],[order_date]],"dddd")</f>
        <v>Sunday</v>
      </c>
      <c r="H545" s="2">
        <v>36526.775104166663</v>
      </c>
      <c r="I545">
        <v>16.75</v>
      </c>
      <c r="J545">
        <v>16.75</v>
      </c>
      <c r="K545" t="s">
        <v>13</v>
      </c>
      <c r="L545" t="s">
        <v>33</v>
      </c>
      <c r="M545" t="s">
        <v>124</v>
      </c>
      <c r="N545" t="s">
        <v>125</v>
      </c>
    </row>
    <row r="546" spans="1:14" x14ac:dyDescent="0.3">
      <c r="A546">
        <v>545</v>
      </c>
      <c r="B546">
        <v>234</v>
      </c>
      <c r="C546">
        <f>1/COUNTIF(pizza_sales[[#All],[order_id]],pizza_sales[[#This Row],[order_id]])</f>
        <v>0.33333333333333331</v>
      </c>
      <c r="D546" t="s">
        <v>57</v>
      </c>
      <c r="E546">
        <v>1</v>
      </c>
      <c r="F546" s="1">
        <v>42008</v>
      </c>
      <c r="G546" s="1" t="str">
        <f>TEXT(pizza_sales[[#This Row],[order_date]],"dddd")</f>
        <v>Sunday</v>
      </c>
      <c r="H546" s="2">
        <v>36526.775104166663</v>
      </c>
      <c r="I546">
        <v>12.5</v>
      </c>
      <c r="J546">
        <v>12.5</v>
      </c>
      <c r="K546" t="s">
        <v>41</v>
      </c>
      <c r="L546" t="s">
        <v>26</v>
      </c>
      <c r="M546" t="s">
        <v>27</v>
      </c>
      <c r="N546" t="s">
        <v>28</v>
      </c>
    </row>
    <row r="547" spans="1:14" x14ac:dyDescent="0.3">
      <c r="A547">
        <v>546</v>
      </c>
      <c r="B547">
        <v>234</v>
      </c>
      <c r="C547">
        <f>1/COUNTIF(pizza_sales[[#All],[order_id]],pizza_sales[[#This Row],[order_id]])</f>
        <v>0.33333333333333331</v>
      </c>
      <c r="D547" t="s">
        <v>163</v>
      </c>
      <c r="E547">
        <v>1</v>
      </c>
      <c r="F547" s="1">
        <v>42008</v>
      </c>
      <c r="G547" s="1" t="str">
        <f>TEXT(pizza_sales[[#This Row],[order_date]],"dddd")</f>
        <v>Sunday</v>
      </c>
      <c r="H547" s="2">
        <v>36526.775104166663</v>
      </c>
      <c r="I547">
        <v>16</v>
      </c>
      <c r="J547">
        <v>16</v>
      </c>
      <c r="K547" t="s">
        <v>13</v>
      </c>
      <c r="L547" t="s">
        <v>14</v>
      </c>
      <c r="M547" t="s">
        <v>94</v>
      </c>
      <c r="N547" t="s">
        <v>95</v>
      </c>
    </row>
    <row r="548" spans="1:14" x14ac:dyDescent="0.3">
      <c r="A548">
        <v>547</v>
      </c>
      <c r="B548">
        <v>235</v>
      </c>
      <c r="C548">
        <f>1/COUNTIF(pizza_sales[[#All],[order_id]],pizza_sales[[#This Row],[order_id]])</f>
        <v>1</v>
      </c>
      <c r="D548" t="s">
        <v>76</v>
      </c>
      <c r="E548">
        <v>1</v>
      </c>
      <c r="F548" s="1">
        <v>42008</v>
      </c>
      <c r="G548" s="1" t="str">
        <f>TEXT(pizza_sales[[#This Row],[order_date]],"dddd")</f>
        <v>Sunday</v>
      </c>
      <c r="H548" s="2">
        <v>36526.785763888889</v>
      </c>
      <c r="I548">
        <v>16.75</v>
      </c>
      <c r="J548">
        <v>16.75</v>
      </c>
      <c r="K548" t="s">
        <v>13</v>
      </c>
      <c r="L548" t="s">
        <v>33</v>
      </c>
      <c r="M548" t="s">
        <v>74</v>
      </c>
      <c r="N548" t="s">
        <v>75</v>
      </c>
    </row>
    <row r="549" spans="1:14" x14ac:dyDescent="0.3">
      <c r="A549">
        <v>548</v>
      </c>
      <c r="B549">
        <v>236</v>
      </c>
      <c r="C549">
        <f>1/COUNTIF(pizza_sales[[#All],[order_id]],pizza_sales[[#This Row],[order_id]])</f>
        <v>0.5</v>
      </c>
      <c r="D549" t="s">
        <v>138</v>
      </c>
      <c r="E549">
        <v>1</v>
      </c>
      <c r="F549" s="1">
        <v>42008</v>
      </c>
      <c r="G549" s="1" t="str">
        <f>TEXT(pizza_sales[[#This Row],[order_date]],"dddd")</f>
        <v>Sunday</v>
      </c>
      <c r="H549" s="2">
        <v>36526.806296296294</v>
      </c>
      <c r="I549">
        <v>20.5</v>
      </c>
      <c r="J549">
        <v>20.5</v>
      </c>
      <c r="K549" t="s">
        <v>21</v>
      </c>
      <c r="L549" t="s">
        <v>14</v>
      </c>
      <c r="M549" t="s">
        <v>18</v>
      </c>
      <c r="N549" t="s">
        <v>19</v>
      </c>
    </row>
    <row r="550" spans="1:14" x14ac:dyDescent="0.3">
      <c r="A550">
        <v>549</v>
      </c>
      <c r="B550">
        <v>236</v>
      </c>
      <c r="C550">
        <f>1/COUNTIF(pizza_sales[[#All],[order_id]],pizza_sales[[#This Row],[order_id]])</f>
        <v>0.5</v>
      </c>
      <c r="D550" t="s">
        <v>128</v>
      </c>
      <c r="E550">
        <v>1</v>
      </c>
      <c r="F550" s="1">
        <v>42008</v>
      </c>
      <c r="G550" s="1" t="str">
        <f>TEXT(pizza_sales[[#This Row],[order_date]],"dddd")</f>
        <v>Sunday</v>
      </c>
      <c r="H550" s="2">
        <v>36526.806296296294</v>
      </c>
      <c r="I550">
        <v>16</v>
      </c>
      <c r="J550">
        <v>16</v>
      </c>
      <c r="K550" t="s">
        <v>13</v>
      </c>
      <c r="L550" t="s">
        <v>22</v>
      </c>
      <c r="M550" t="s">
        <v>52</v>
      </c>
      <c r="N550" t="s">
        <v>53</v>
      </c>
    </row>
    <row r="551" spans="1:14" x14ac:dyDescent="0.3">
      <c r="A551">
        <v>550</v>
      </c>
      <c r="B551">
        <v>237</v>
      </c>
      <c r="C551">
        <f>1/COUNTIF(pizza_sales[[#All],[order_id]],pizza_sales[[#This Row],[order_id]])</f>
        <v>1</v>
      </c>
      <c r="D551" t="s">
        <v>51</v>
      </c>
      <c r="E551">
        <v>1</v>
      </c>
      <c r="F551" s="1">
        <v>42008</v>
      </c>
      <c r="G551" s="1" t="str">
        <f>TEXT(pizza_sales[[#This Row],[order_date]],"dddd")</f>
        <v>Sunday</v>
      </c>
      <c r="H551" s="2">
        <v>36526.810972222222</v>
      </c>
      <c r="I551">
        <v>12</v>
      </c>
      <c r="J551">
        <v>12</v>
      </c>
      <c r="K551" t="s">
        <v>41</v>
      </c>
      <c r="L551" t="s">
        <v>22</v>
      </c>
      <c r="M551" t="s">
        <v>52</v>
      </c>
      <c r="N551" t="s">
        <v>53</v>
      </c>
    </row>
    <row r="552" spans="1:14" x14ac:dyDescent="0.3">
      <c r="A552">
        <v>551</v>
      </c>
      <c r="B552">
        <v>238</v>
      </c>
      <c r="C552">
        <f>1/COUNTIF(pizza_sales[[#All],[order_id]],pizza_sales[[#This Row],[order_id]])</f>
        <v>1</v>
      </c>
      <c r="D552" t="s">
        <v>62</v>
      </c>
      <c r="E552">
        <v>1</v>
      </c>
      <c r="F552" s="1">
        <v>42008</v>
      </c>
      <c r="G552" s="1" t="str">
        <f>TEXT(pizza_sales[[#This Row],[order_date]],"dddd")</f>
        <v>Sunday</v>
      </c>
      <c r="H552" s="2">
        <v>36526.82309027778</v>
      </c>
      <c r="I552">
        <v>20.75</v>
      </c>
      <c r="J552">
        <v>20.75</v>
      </c>
      <c r="K552" t="s">
        <v>21</v>
      </c>
      <c r="L552" t="s">
        <v>22</v>
      </c>
      <c r="M552" t="s">
        <v>63</v>
      </c>
      <c r="N552" t="s">
        <v>64</v>
      </c>
    </row>
    <row r="553" spans="1:14" x14ac:dyDescent="0.3">
      <c r="A553">
        <v>552</v>
      </c>
      <c r="B553">
        <v>239</v>
      </c>
      <c r="C553">
        <f>1/COUNTIF(pizza_sales[[#All],[order_id]],pizza_sales[[#This Row],[order_id]])</f>
        <v>0.5</v>
      </c>
      <c r="D553" t="s">
        <v>25</v>
      </c>
      <c r="E553">
        <v>1</v>
      </c>
      <c r="F553" s="1">
        <v>42008</v>
      </c>
      <c r="G553" s="1" t="str">
        <f>TEXT(pizza_sales[[#This Row],[order_date]],"dddd")</f>
        <v>Sunday</v>
      </c>
      <c r="H553" s="2">
        <v>36526.83185185185</v>
      </c>
      <c r="I553">
        <v>20.75</v>
      </c>
      <c r="J553">
        <v>20.75</v>
      </c>
      <c r="K553" t="s">
        <v>21</v>
      </c>
      <c r="L553" t="s">
        <v>26</v>
      </c>
      <c r="M553" t="s">
        <v>27</v>
      </c>
      <c r="N553" t="s">
        <v>28</v>
      </c>
    </row>
    <row r="554" spans="1:14" x14ac:dyDescent="0.3">
      <c r="A554">
        <v>553</v>
      </c>
      <c r="B554">
        <v>239</v>
      </c>
      <c r="C554">
        <f>1/COUNTIF(pizza_sales[[#All],[order_id]],pizza_sales[[#This Row],[order_id]])</f>
        <v>0.5</v>
      </c>
      <c r="D554" t="s">
        <v>137</v>
      </c>
      <c r="E554">
        <v>1</v>
      </c>
      <c r="F554" s="1">
        <v>42008</v>
      </c>
      <c r="G554" s="1" t="str">
        <f>TEXT(pizza_sales[[#This Row],[order_date]],"dddd")</f>
        <v>Sunday</v>
      </c>
      <c r="H554" s="2">
        <v>36526.83185185185</v>
      </c>
      <c r="I554">
        <v>16.75</v>
      </c>
      <c r="J554">
        <v>16.75</v>
      </c>
      <c r="K554" t="s">
        <v>13</v>
      </c>
      <c r="L554" t="s">
        <v>33</v>
      </c>
      <c r="M554" t="s">
        <v>34</v>
      </c>
      <c r="N554" t="s">
        <v>35</v>
      </c>
    </row>
    <row r="555" spans="1:14" x14ac:dyDescent="0.3">
      <c r="A555">
        <v>554</v>
      </c>
      <c r="B555">
        <v>240</v>
      </c>
      <c r="C555">
        <f>1/COUNTIF(pizza_sales[[#All],[order_id]],pizza_sales[[#This Row],[order_id]])</f>
        <v>1</v>
      </c>
      <c r="D555" t="s">
        <v>99</v>
      </c>
      <c r="E555">
        <v>1</v>
      </c>
      <c r="F555" s="1">
        <v>42008</v>
      </c>
      <c r="G555" s="1" t="str">
        <f>TEXT(pizza_sales[[#This Row],[order_date]],"dddd")</f>
        <v>Sunday</v>
      </c>
      <c r="H555" s="2">
        <v>36526.840555555558</v>
      </c>
      <c r="I555">
        <v>14.75</v>
      </c>
      <c r="J555">
        <v>14.75</v>
      </c>
      <c r="K555" t="s">
        <v>13</v>
      </c>
      <c r="L555" t="s">
        <v>22</v>
      </c>
      <c r="M555" t="s">
        <v>91</v>
      </c>
      <c r="N555" t="s">
        <v>92</v>
      </c>
    </row>
    <row r="556" spans="1:14" x14ac:dyDescent="0.3">
      <c r="A556">
        <v>555</v>
      </c>
      <c r="B556">
        <v>241</v>
      </c>
      <c r="C556">
        <f>1/COUNTIF(pizza_sales[[#All],[order_id]],pizza_sales[[#This Row],[order_id]])</f>
        <v>0.5</v>
      </c>
      <c r="D556" t="s">
        <v>121</v>
      </c>
      <c r="E556">
        <v>1</v>
      </c>
      <c r="F556" s="1">
        <v>42008</v>
      </c>
      <c r="G556" s="1" t="str">
        <f>TEXT(pizza_sales[[#This Row],[order_date]],"dddd")</f>
        <v>Sunday</v>
      </c>
      <c r="H556" s="2">
        <v>36526.841261574074</v>
      </c>
      <c r="I556">
        <v>16.25</v>
      </c>
      <c r="J556">
        <v>16.25</v>
      </c>
      <c r="K556" t="s">
        <v>13</v>
      </c>
      <c r="L556" t="s">
        <v>26</v>
      </c>
      <c r="M556" t="s">
        <v>114</v>
      </c>
      <c r="N556" t="s">
        <v>115</v>
      </c>
    </row>
    <row r="557" spans="1:14" x14ac:dyDescent="0.3">
      <c r="A557">
        <v>556</v>
      </c>
      <c r="B557">
        <v>241</v>
      </c>
      <c r="C557">
        <f>1/COUNTIF(pizza_sales[[#All],[order_id]],pizza_sales[[#This Row],[order_id]])</f>
        <v>0.5</v>
      </c>
      <c r="D557" t="s">
        <v>152</v>
      </c>
      <c r="E557">
        <v>1</v>
      </c>
      <c r="F557" s="1">
        <v>42008</v>
      </c>
      <c r="G557" s="1" t="str">
        <f>TEXT(pizza_sales[[#This Row],[order_date]],"dddd")</f>
        <v>Sunday</v>
      </c>
      <c r="H557" s="2">
        <v>36526.841261574074</v>
      </c>
      <c r="I557">
        <v>20.75</v>
      </c>
      <c r="J557">
        <v>20.75</v>
      </c>
      <c r="K557" t="s">
        <v>21</v>
      </c>
      <c r="L557" t="s">
        <v>26</v>
      </c>
      <c r="M557" t="s">
        <v>48</v>
      </c>
      <c r="N557" t="s">
        <v>49</v>
      </c>
    </row>
    <row r="558" spans="1:14" x14ac:dyDescent="0.3">
      <c r="A558">
        <v>557</v>
      </c>
      <c r="B558">
        <v>242</v>
      </c>
      <c r="C558">
        <f>1/COUNTIF(pizza_sales[[#All],[order_id]],pizza_sales[[#This Row],[order_id]])</f>
        <v>0.33333333333333331</v>
      </c>
      <c r="D558" t="s">
        <v>96</v>
      </c>
      <c r="E558">
        <v>1</v>
      </c>
      <c r="F558" s="1">
        <v>42008</v>
      </c>
      <c r="G558" s="1" t="str">
        <f>TEXT(pizza_sales[[#This Row],[order_date]],"dddd")</f>
        <v>Sunday</v>
      </c>
      <c r="H558" s="2">
        <v>36526.844085648147</v>
      </c>
      <c r="I558">
        <v>16.25</v>
      </c>
      <c r="J558">
        <v>16.25</v>
      </c>
      <c r="K558" t="s">
        <v>13</v>
      </c>
      <c r="L558" t="s">
        <v>26</v>
      </c>
      <c r="M558" t="s">
        <v>97</v>
      </c>
      <c r="N558" t="s">
        <v>98</v>
      </c>
    </row>
    <row r="559" spans="1:14" x14ac:dyDescent="0.3">
      <c r="A559">
        <v>558</v>
      </c>
      <c r="B559">
        <v>242</v>
      </c>
      <c r="C559">
        <f>1/COUNTIF(pizza_sales[[#All],[order_id]],pizza_sales[[#This Row],[order_id]])</f>
        <v>0.33333333333333331</v>
      </c>
      <c r="D559" t="s">
        <v>32</v>
      </c>
      <c r="E559">
        <v>1</v>
      </c>
      <c r="F559" s="1">
        <v>42008</v>
      </c>
      <c r="G559" s="1" t="str">
        <f>TEXT(pizza_sales[[#This Row],[order_date]],"dddd")</f>
        <v>Sunday</v>
      </c>
      <c r="H559" s="2">
        <v>36526.844085648147</v>
      </c>
      <c r="I559">
        <v>20.75</v>
      </c>
      <c r="J559">
        <v>20.75</v>
      </c>
      <c r="K559" t="s">
        <v>21</v>
      </c>
      <c r="L559" t="s">
        <v>33</v>
      </c>
      <c r="M559" t="s">
        <v>34</v>
      </c>
      <c r="N559" t="s">
        <v>35</v>
      </c>
    </row>
    <row r="560" spans="1:14" x14ac:dyDescent="0.3">
      <c r="A560">
        <v>559</v>
      </c>
      <c r="B560">
        <v>242</v>
      </c>
      <c r="C560">
        <f>1/COUNTIF(pizza_sales[[#All],[order_id]],pizza_sales[[#This Row],[order_id]])</f>
        <v>0.33333333333333331</v>
      </c>
      <c r="D560" t="s">
        <v>154</v>
      </c>
      <c r="E560">
        <v>1</v>
      </c>
      <c r="F560" s="1">
        <v>42008</v>
      </c>
      <c r="G560" s="1" t="str">
        <f>TEXT(pizza_sales[[#This Row],[order_date]],"dddd")</f>
        <v>Sunday</v>
      </c>
      <c r="H560" s="2">
        <v>36526.844085648147</v>
      </c>
      <c r="I560">
        <v>16</v>
      </c>
      <c r="J560">
        <v>16</v>
      </c>
      <c r="K560" t="s">
        <v>13</v>
      </c>
      <c r="L560" t="s">
        <v>22</v>
      </c>
      <c r="M560" t="s">
        <v>66</v>
      </c>
      <c r="N560" t="s">
        <v>67</v>
      </c>
    </row>
    <row r="561" spans="1:14" x14ac:dyDescent="0.3">
      <c r="A561">
        <v>560</v>
      </c>
      <c r="B561">
        <v>243</v>
      </c>
      <c r="C561">
        <f>1/COUNTIF(pizza_sales[[#All],[order_id]],pizza_sales[[#This Row],[order_id]])</f>
        <v>0.5</v>
      </c>
      <c r="D561" t="s">
        <v>138</v>
      </c>
      <c r="E561">
        <v>1</v>
      </c>
      <c r="F561" s="1">
        <v>42008</v>
      </c>
      <c r="G561" s="1" t="str">
        <f>TEXT(pizza_sales[[#This Row],[order_date]],"dddd")</f>
        <v>Sunday</v>
      </c>
      <c r="H561" s="2">
        <v>36526.851585648146</v>
      </c>
      <c r="I561">
        <v>20.5</v>
      </c>
      <c r="J561">
        <v>20.5</v>
      </c>
      <c r="K561" t="s">
        <v>21</v>
      </c>
      <c r="L561" t="s">
        <v>14</v>
      </c>
      <c r="M561" t="s">
        <v>18</v>
      </c>
      <c r="N561" t="s">
        <v>19</v>
      </c>
    </row>
    <row r="562" spans="1:14" x14ac:dyDescent="0.3">
      <c r="A562">
        <v>561</v>
      </c>
      <c r="B562">
        <v>243</v>
      </c>
      <c r="C562">
        <f>1/COUNTIF(pizza_sales[[#All],[order_id]],pizza_sales[[#This Row],[order_id]])</f>
        <v>0.5</v>
      </c>
      <c r="D562" t="s">
        <v>47</v>
      </c>
      <c r="E562">
        <v>1</v>
      </c>
      <c r="F562" s="1">
        <v>42008</v>
      </c>
      <c r="G562" s="1" t="str">
        <f>TEXT(pizza_sales[[#This Row],[order_date]],"dddd")</f>
        <v>Sunday</v>
      </c>
      <c r="H562" s="2">
        <v>36526.851585648146</v>
      </c>
      <c r="I562">
        <v>12.5</v>
      </c>
      <c r="J562">
        <v>12.5</v>
      </c>
      <c r="K562" t="s">
        <v>41</v>
      </c>
      <c r="L562" t="s">
        <v>26</v>
      </c>
      <c r="M562" t="s">
        <v>48</v>
      </c>
      <c r="N562" t="s">
        <v>49</v>
      </c>
    </row>
    <row r="563" spans="1:14" x14ac:dyDescent="0.3">
      <c r="A563">
        <v>562</v>
      </c>
      <c r="B563">
        <v>244</v>
      </c>
      <c r="C563">
        <f>1/COUNTIF(pizza_sales[[#All],[order_id]],pizza_sales[[#This Row],[order_id]])</f>
        <v>0.5</v>
      </c>
      <c r="D563" t="s">
        <v>57</v>
      </c>
      <c r="E563">
        <v>1</v>
      </c>
      <c r="F563" s="1">
        <v>42008</v>
      </c>
      <c r="G563" s="1" t="str">
        <f>TEXT(pizza_sales[[#This Row],[order_date]],"dddd")</f>
        <v>Sunday</v>
      </c>
      <c r="H563" s="2">
        <v>36526.851643518516</v>
      </c>
      <c r="I563">
        <v>12.5</v>
      </c>
      <c r="J563">
        <v>12.5</v>
      </c>
      <c r="K563" t="s">
        <v>41</v>
      </c>
      <c r="L563" t="s">
        <v>26</v>
      </c>
      <c r="M563" t="s">
        <v>27</v>
      </c>
      <c r="N563" t="s">
        <v>28</v>
      </c>
    </row>
    <row r="564" spans="1:14" x14ac:dyDescent="0.3">
      <c r="A564">
        <v>563</v>
      </c>
      <c r="B564">
        <v>244</v>
      </c>
      <c r="C564">
        <f>1/COUNTIF(pizza_sales[[#All],[order_id]],pizza_sales[[#This Row],[order_id]])</f>
        <v>0.5</v>
      </c>
      <c r="D564" t="s">
        <v>59</v>
      </c>
      <c r="E564">
        <v>1</v>
      </c>
      <c r="F564" s="1">
        <v>42008</v>
      </c>
      <c r="G564" s="1" t="str">
        <f>TEXT(pizza_sales[[#This Row],[order_date]],"dddd")</f>
        <v>Sunday</v>
      </c>
      <c r="H564" s="2">
        <v>36526.851643518516</v>
      </c>
      <c r="I564">
        <v>20.75</v>
      </c>
      <c r="J564">
        <v>20.75</v>
      </c>
      <c r="K564" t="s">
        <v>21</v>
      </c>
      <c r="L564" t="s">
        <v>26</v>
      </c>
      <c r="M564" t="s">
        <v>60</v>
      </c>
      <c r="N564" t="s">
        <v>61</v>
      </c>
    </row>
    <row r="565" spans="1:14" x14ac:dyDescent="0.3">
      <c r="A565">
        <v>564</v>
      </c>
      <c r="B565">
        <v>245</v>
      </c>
      <c r="C565">
        <f>1/COUNTIF(pizza_sales[[#All],[order_id]],pizza_sales[[#This Row],[order_id]])</f>
        <v>0.5</v>
      </c>
      <c r="D565" t="s">
        <v>72</v>
      </c>
      <c r="E565">
        <v>1</v>
      </c>
      <c r="F565" s="1">
        <v>42008</v>
      </c>
      <c r="G565" s="1" t="str">
        <f>TEXT(pizza_sales[[#This Row],[order_date]],"dddd")</f>
        <v>Sunday</v>
      </c>
      <c r="H565" s="2">
        <v>36526.853252314817</v>
      </c>
      <c r="I565">
        <v>20.75</v>
      </c>
      <c r="J565">
        <v>20.75</v>
      </c>
      <c r="K565" t="s">
        <v>21</v>
      </c>
      <c r="L565" t="s">
        <v>33</v>
      </c>
      <c r="M565" t="s">
        <v>42</v>
      </c>
      <c r="N565" t="s">
        <v>43</v>
      </c>
    </row>
    <row r="566" spans="1:14" x14ac:dyDescent="0.3">
      <c r="A566">
        <v>565</v>
      </c>
      <c r="B566">
        <v>245</v>
      </c>
      <c r="C566">
        <f>1/COUNTIF(pizza_sales[[#All],[order_id]],pizza_sales[[#This Row],[order_id]])</f>
        <v>0.5</v>
      </c>
      <c r="D566" t="s">
        <v>81</v>
      </c>
      <c r="E566">
        <v>1</v>
      </c>
      <c r="F566" s="1">
        <v>42008</v>
      </c>
      <c r="G566" s="1" t="str">
        <f>TEXT(pizza_sales[[#This Row],[order_date]],"dddd")</f>
        <v>Sunday</v>
      </c>
      <c r="H566" s="2">
        <v>36526.853252314817</v>
      </c>
      <c r="I566">
        <v>20.75</v>
      </c>
      <c r="J566">
        <v>20.75</v>
      </c>
      <c r="K566" t="s">
        <v>21</v>
      </c>
      <c r="L566" t="s">
        <v>33</v>
      </c>
      <c r="M566" t="s">
        <v>82</v>
      </c>
      <c r="N566" t="s">
        <v>83</v>
      </c>
    </row>
    <row r="567" spans="1:14" x14ac:dyDescent="0.3">
      <c r="A567">
        <v>566</v>
      </c>
      <c r="B567">
        <v>246</v>
      </c>
      <c r="C567">
        <f>1/COUNTIF(pizza_sales[[#All],[order_id]],pizza_sales[[#This Row],[order_id]])</f>
        <v>0.5</v>
      </c>
      <c r="D567" t="s">
        <v>134</v>
      </c>
      <c r="E567">
        <v>1</v>
      </c>
      <c r="F567" s="1">
        <v>42008</v>
      </c>
      <c r="G567" s="1" t="str">
        <f>TEXT(pizza_sales[[#This Row],[order_date]],"dddd")</f>
        <v>Sunday</v>
      </c>
      <c r="H567" s="2">
        <v>36526.854722222219</v>
      </c>
      <c r="I567">
        <v>16.75</v>
      </c>
      <c r="J567">
        <v>16.75</v>
      </c>
      <c r="K567" t="s">
        <v>13</v>
      </c>
      <c r="L567" t="s">
        <v>33</v>
      </c>
      <c r="M567" t="s">
        <v>124</v>
      </c>
      <c r="N567" t="s">
        <v>125</v>
      </c>
    </row>
    <row r="568" spans="1:14" x14ac:dyDescent="0.3">
      <c r="A568">
        <v>567</v>
      </c>
      <c r="B568">
        <v>246</v>
      </c>
      <c r="C568">
        <f>1/COUNTIF(pizza_sales[[#All],[order_id]],pizza_sales[[#This Row],[order_id]])</f>
        <v>0.5</v>
      </c>
      <c r="D568" t="s">
        <v>77</v>
      </c>
      <c r="E568">
        <v>1</v>
      </c>
      <c r="F568" s="1">
        <v>42008</v>
      </c>
      <c r="G568" s="1" t="str">
        <f>TEXT(pizza_sales[[#This Row],[order_date]],"dddd")</f>
        <v>Sunday</v>
      </c>
      <c r="H568" s="2">
        <v>36526.854722222219</v>
      </c>
      <c r="I568">
        <v>15.25</v>
      </c>
      <c r="J568">
        <v>15.25</v>
      </c>
      <c r="K568" t="s">
        <v>21</v>
      </c>
      <c r="L568" t="s">
        <v>14</v>
      </c>
      <c r="M568" t="s">
        <v>78</v>
      </c>
      <c r="N568" t="s">
        <v>79</v>
      </c>
    </row>
    <row r="569" spans="1:14" x14ac:dyDescent="0.3">
      <c r="A569">
        <v>568</v>
      </c>
      <c r="B569">
        <v>247</v>
      </c>
      <c r="C569">
        <f>1/COUNTIF(pizza_sales[[#All],[order_id]],pizza_sales[[#This Row],[order_id]])</f>
        <v>0.33333333333333331</v>
      </c>
      <c r="D569" t="s">
        <v>12</v>
      </c>
      <c r="E569">
        <v>1</v>
      </c>
      <c r="F569" s="1">
        <v>42008</v>
      </c>
      <c r="G569" s="1" t="str">
        <f>TEXT(pizza_sales[[#This Row],[order_date]],"dddd")</f>
        <v>Sunday</v>
      </c>
      <c r="H569" s="2">
        <v>36526.871863425928</v>
      </c>
      <c r="I569">
        <v>13.25</v>
      </c>
      <c r="J569">
        <v>13.25</v>
      </c>
      <c r="K569" t="s">
        <v>13</v>
      </c>
      <c r="L569" t="s">
        <v>14</v>
      </c>
      <c r="M569" t="s">
        <v>15</v>
      </c>
      <c r="N569" t="s">
        <v>16</v>
      </c>
    </row>
    <row r="570" spans="1:14" x14ac:dyDescent="0.3">
      <c r="A570">
        <v>569</v>
      </c>
      <c r="B570">
        <v>247</v>
      </c>
      <c r="C570">
        <f>1/COUNTIF(pizza_sales[[#All],[order_id]],pizza_sales[[#This Row],[order_id]])</f>
        <v>0.33333333333333331</v>
      </c>
      <c r="D570" t="s">
        <v>121</v>
      </c>
      <c r="E570">
        <v>1</v>
      </c>
      <c r="F570" s="1">
        <v>42008</v>
      </c>
      <c r="G570" s="1" t="str">
        <f>TEXT(pizza_sales[[#This Row],[order_date]],"dddd")</f>
        <v>Sunday</v>
      </c>
      <c r="H570" s="2">
        <v>36526.871863425928</v>
      </c>
      <c r="I570">
        <v>16.25</v>
      </c>
      <c r="J570">
        <v>16.25</v>
      </c>
      <c r="K570" t="s">
        <v>13</v>
      </c>
      <c r="L570" t="s">
        <v>26</v>
      </c>
      <c r="M570" t="s">
        <v>114</v>
      </c>
      <c r="N570" t="s">
        <v>115</v>
      </c>
    </row>
    <row r="571" spans="1:14" x14ac:dyDescent="0.3">
      <c r="A571">
        <v>570</v>
      </c>
      <c r="B571">
        <v>247</v>
      </c>
      <c r="C571">
        <f>1/COUNTIF(pizza_sales[[#All],[order_id]],pizza_sales[[#This Row],[order_id]])</f>
        <v>0.33333333333333331</v>
      </c>
      <c r="D571" t="s">
        <v>47</v>
      </c>
      <c r="E571">
        <v>1</v>
      </c>
      <c r="F571" s="1">
        <v>42008</v>
      </c>
      <c r="G571" s="1" t="str">
        <f>TEXT(pizza_sales[[#This Row],[order_date]],"dddd")</f>
        <v>Sunday</v>
      </c>
      <c r="H571" s="2">
        <v>36526.871863425928</v>
      </c>
      <c r="I571">
        <v>12.5</v>
      </c>
      <c r="J571">
        <v>12.5</v>
      </c>
      <c r="K571" t="s">
        <v>41</v>
      </c>
      <c r="L571" t="s">
        <v>26</v>
      </c>
      <c r="M571" t="s">
        <v>48</v>
      </c>
      <c r="N571" t="s">
        <v>49</v>
      </c>
    </row>
    <row r="572" spans="1:14" x14ac:dyDescent="0.3">
      <c r="A572">
        <v>571</v>
      </c>
      <c r="B572">
        <v>248</v>
      </c>
      <c r="C572">
        <f>1/COUNTIF(pizza_sales[[#All],[order_id]],pizza_sales[[#This Row],[order_id]])</f>
        <v>0.5</v>
      </c>
      <c r="D572" t="s">
        <v>132</v>
      </c>
      <c r="E572">
        <v>1</v>
      </c>
      <c r="F572" s="1">
        <v>42008</v>
      </c>
      <c r="G572" s="1" t="str">
        <f>TEXT(pizza_sales[[#This Row],[order_date]],"dddd")</f>
        <v>Sunday</v>
      </c>
      <c r="H572" s="2">
        <v>36526.873831018522</v>
      </c>
      <c r="I572">
        <v>10.5</v>
      </c>
      <c r="J572">
        <v>10.5</v>
      </c>
      <c r="K572" t="s">
        <v>41</v>
      </c>
      <c r="L572" t="s">
        <v>14</v>
      </c>
      <c r="M572" t="s">
        <v>15</v>
      </c>
      <c r="N572" t="s">
        <v>16</v>
      </c>
    </row>
    <row r="573" spans="1:14" x14ac:dyDescent="0.3">
      <c r="A573">
        <v>572</v>
      </c>
      <c r="B573">
        <v>248</v>
      </c>
      <c r="C573">
        <f>1/COUNTIF(pizza_sales[[#All],[order_id]],pizza_sales[[#This Row],[order_id]])</f>
        <v>0.5</v>
      </c>
      <c r="D573" t="s">
        <v>32</v>
      </c>
      <c r="E573">
        <v>1</v>
      </c>
      <c r="F573" s="1">
        <v>42008</v>
      </c>
      <c r="G573" s="1" t="str">
        <f>TEXT(pizza_sales[[#This Row],[order_date]],"dddd")</f>
        <v>Sunday</v>
      </c>
      <c r="H573" s="2">
        <v>36526.873831018522</v>
      </c>
      <c r="I573">
        <v>20.75</v>
      </c>
      <c r="J573">
        <v>20.75</v>
      </c>
      <c r="K573" t="s">
        <v>21</v>
      </c>
      <c r="L573" t="s">
        <v>33</v>
      </c>
      <c r="M573" t="s">
        <v>34</v>
      </c>
      <c r="N573" t="s">
        <v>35</v>
      </c>
    </row>
    <row r="574" spans="1:14" x14ac:dyDescent="0.3">
      <c r="A574">
        <v>573</v>
      </c>
      <c r="B574">
        <v>249</v>
      </c>
      <c r="C574">
        <f>1/COUNTIF(pizza_sales[[#All],[order_id]],pizza_sales[[#This Row],[order_id]])</f>
        <v>0.5</v>
      </c>
      <c r="D574" t="s">
        <v>72</v>
      </c>
      <c r="E574">
        <v>1</v>
      </c>
      <c r="F574" s="1">
        <v>42008</v>
      </c>
      <c r="G574" s="1" t="str">
        <f>TEXT(pizza_sales[[#This Row],[order_date]],"dddd")</f>
        <v>Sunday</v>
      </c>
      <c r="H574" s="2">
        <v>36526.879351851851</v>
      </c>
      <c r="I574">
        <v>20.75</v>
      </c>
      <c r="J574">
        <v>20.75</v>
      </c>
      <c r="K574" t="s">
        <v>21</v>
      </c>
      <c r="L574" t="s">
        <v>33</v>
      </c>
      <c r="M574" t="s">
        <v>42</v>
      </c>
      <c r="N574" t="s">
        <v>43</v>
      </c>
    </row>
    <row r="575" spans="1:14" x14ac:dyDescent="0.3">
      <c r="A575">
        <v>574</v>
      </c>
      <c r="B575">
        <v>249</v>
      </c>
      <c r="C575">
        <f>1/COUNTIF(pizza_sales[[#All],[order_id]],pizza_sales[[#This Row],[order_id]])</f>
        <v>0.5</v>
      </c>
      <c r="D575" t="s">
        <v>169</v>
      </c>
      <c r="E575">
        <v>1</v>
      </c>
      <c r="F575" s="1">
        <v>42008</v>
      </c>
      <c r="G575" s="1" t="str">
        <f>TEXT(pizza_sales[[#This Row],[order_date]],"dddd")</f>
        <v>Sunday</v>
      </c>
      <c r="H575" s="2">
        <v>36526.879351851851</v>
      </c>
      <c r="I575">
        <v>12.25</v>
      </c>
      <c r="J575">
        <v>12.25</v>
      </c>
      <c r="K575" t="s">
        <v>41</v>
      </c>
      <c r="L575" t="s">
        <v>26</v>
      </c>
      <c r="M575" t="s">
        <v>97</v>
      </c>
      <c r="N575" t="s">
        <v>98</v>
      </c>
    </row>
    <row r="576" spans="1:14" x14ac:dyDescent="0.3">
      <c r="A576">
        <v>575</v>
      </c>
      <c r="B576">
        <v>250</v>
      </c>
      <c r="C576">
        <f>1/COUNTIF(pizza_sales[[#All],[order_id]],pizza_sales[[#This Row],[order_id]])</f>
        <v>1</v>
      </c>
      <c r="D576" t="s">
        <v>99</v>
      </c>
      <c r="E576">
        <v>1</v>
      </c>
      <c r="F576" s="1">
        <v>42008</v>
      </c>
      <c r="G576" s="1" t="str">
        <f>TEXT(pizza_sales[[#This Row],[order_date]],"dddd")</f>
        <v>Sunday</v>
      </c>
      <c r="H576" s="2">
        <v>36526.879918981482</v>
      </c>
      <c r="I576">
        <v>14.75</v>
      </c>
      <c r="J576">
        <v>14.75</v>
      </c>
      <c r="K576" t="s">
        <v>13</v>
      </c>
      <c r="L576" t="s">
        <v>22</v>
      </c>
      <c r="M576" t="s">
        <v>91</v>
      </c>
      <c r="N576" t="s">
        <v>92</v>
      </c>
    </row>
    <row r="577" spans="1:14" x14ac:dyDescent="0.3">
      <c r="A577">
        <v>576</v>
      </c>
      <c r="B577">
        <v>251</v>
      </c>
      <c r="C577">
        <f>1/COUNTIF(pizza_sales[[#All],[order_id]],pizza_sales[[#This Row],[order_id]])</f>
        <v>1</v>
      </c>
      <c r="D577" t="s">
        <v>29</v>
      </c>
      <c r="E577">
        <v>1</v>
      </c>
      <c r="F577" s="1">
        <v>42008</v>
      </c>
      <c r="G577" s="1" t="str">
        <f>TEXT(pizza_sales[[#This Row],[order_date]],"dddd")</f>
        <v>Sunday</v>
      </c>
      <c r="H577" s="2">
        <v>36526.882002314815</v>
      </c>
      <c r="I577">
        <v>16</v>
      </c>
      <c r="J577">
        <v>16</v>
      </c>
      <c r="K577" t="s">
        <v>13</v>
      </c>
      <c r="L577" t="s">
        <v>22</v>
      </c>
      <c r="M577" t="s">
        <v>30</v>
      </c>
      <c r="N577" t="s">
        <v>31</v>
      </c>
    </row>
    <row r="578" spans="1:14" x14ac:dyDescent="0.3">
      <c r="A578">
        <v>577</v>
      </c>
      <c r="B578">
        <v>252</v>
      </c>
      <c r="C578">
        <f>1/COUNTIF(pizza_sales[[#All],[order_id]],pizza_sales[[#This Row],[order_id]])</f>
        <v>1</v>
      </c>
      <c r="D578" t="s">
        <v>145</v>
      </c>
      <c r="E578">
        <v>1</v>
      </c>
      <c r="F578" s="1">
        <v>42008</v>
      </c>
      <c r="G578" s="1" t="str">
        <f>TEXT(pizza_sales[[#This Row],[order_date]],"dddd")</f>
        <v>Sunday</v>
      </c>
      <c r="H578" s="2">
        <v>36526.925868055558</v>
      </c>
      <c r="I578">
        <v>16.5</v>
      </c>
      <c r="J578">
        <v>16.5</v>
      </c>
      <c r="K578" t="s">
        <v>13</v>
      </c>
      <c r="L578" t="s">
        <v>26</v>
      </c>
      <c r="M578" t="s">
        <v>38</v>
      </c>
      <c r="N578" t="s">
        <v>39</v>
      </c>
    </row>
    <row r="579" spans="1:14" x14ac:dyDescent="0.3">
      <c r="A579">
        <v>578</v>
      </c>
      <c r="B579">
        <v>253</v>
      </c>
      <c r="C579">
        <f>1/COUNTIF(pizza_sales[[#All],[order_id]],pizza_sales[[#This Row],[order_id]])</f>
        <v>1</v>
      </c>
      <c r="D579" t="s">
        <v>165</v>
      </c>
      <c r="E579">
        <v>1</v>
      </c>
      <c r="F579" s="1">
        <v>42008</v>
      </c>
      <c r="G579" s="1" t="str">
        <f>TEXT(pizza_sales[[#This Row],[order_date]],"dddd")</f>
        <v>Sunday</v>
      </c>
      <c r="H579" s="2">
        <v>36526.927986111114</v>
      </c>
      <c r="I579">
        <v>23.65</v>
      </c>
      <c r="J579">
        <v>23.65</v>
      </c>
      <c r="K579" t="s">
        <v>41</v>
      </c>
      <c r="L579" t="s">
        <v>26</v>
      </c>
      <c r="M579" t="s">
        <v>166</v>
      </c>
      <c r="N579" t="s">
        <v>167</v>
      </c>
    </row>
    <row r="580" spans="1:14" x14ac:dyDescent="0.3">
      <c r="A580">
        <v>579</v>
      </c>
      <c r="B580">
        <v>254</v>
      </c>
      <c r="C580">
        <f>1/COUNTIF(pizza_sales[[#All],[order_id]],pizza_sales[[#This Row],[order_id]])</f>
        <v>0.33333333333333331</v>
      </c>
      <c r="D580" t="s">
        <v>72</v>
      </c>
      <c r="E580">
        <v>1</v>
      </c>
      <c r="F580" s="1">
        <v>42008</v>
      </c>
      <c r="G580" s="1" t="str">
        <f>TEXT(pizza_sales[[#This Row],[order_date]],"dddd")</f>
        <v>Sunday</v>
      </c>
      <c r="H580" s="2">
        <v>36526.93209490741</v>
      </c>
      <c r="I580">
        <v>20.75</v>
      </c>
      <c r="J580">
        <v>20.75</v>
      </c>
      <c r="K580" t="s">
        <v>21</v>
      </c>
      <c r="L580" t="s">
        <v>33</v>
      </c>
      <c r="M580" t="s">
        <v>42</v>
      </c>
      <c r="N580" t="s">
        <v>43</v>
      </c>
    </row>
    <row r="581" spans="1:14" x14ac:dyDescent="0.3">
      <c r="A581">
        <v>580</v>
      </c>
      <c r="B581">
        <v>254</v>
      </c>
      <c r="C581">
        <f>1/COUNTIF(pizza_sales[[#All],[order_id]],pizza_sales[[#This Row],[order_id]])</f>
        <v>0.33333333333333331</v>
      </c>
      <c r="D581" t="s">
        <v>165</v>
      </c>
      <c r="E581">
        <v>1</v>
      </c>
      <c r="F581" s="1">
        <v>42008</v>
      </c>
      <c r="G581" s="1" t="str">
        <f>TEXT(pizza_sales[[#This Row],[order_date]],"dddd")</f>
        <v>Sunday</v>
      </c>
      <c r="H581" s="2">
        <v>36526.93209490741</v>
      </c>
      <c r="I581">
        <v>23.65</v>
      </c>
      <c r="J581">
        <v>23.65</v>
      </c>
      <c r="K581" t="s">
        <v>41</v>
      </c>
      <c r="L581" t="s">
        <v>26</v>
      </c>
      <c r="M581" t="s">
        <v>166</v>
      </c>
      <c r="N581" t="s">
        <v>167</v>
      </c>
    </row>
    <row r="582" spans="1:14" x14ac:dyDescent="0.3">
      <c r="A582">
        <v>581</v>
      </c>
      <c r="B582">
        <v>254</v>
      </c>
      <c r="C582">
        <f>1/COUNTIF(pizza_sales[[#All],[order_id]],pizza_sales[[#This Row],[order_id]])</f>
        <v>0.33333333333333331</v>
      </c>
      <c r="D582" t="s">
        <v>20</v>
      </c>
      <c r="E582">
        <v>1</v>
      </c>
      <c r="F582" s="1">
        <v>42008</v>
      </c>
      <c r="G582" s="1" t="str">
        <f>TEXT(pizza_sales[[#This Row],[order_date]],"dddd")</f>
        <v>Sunday</v>
      </c>
      <c r="H582" s="2">
        <v>36526.93209490741</v>
      </c>
      <c r="I582">
        <v>18.5</v>
      </c>
      <c r="J582">
        <v>18.5</v>
      </c>
      <c r="K582" t="s">
        <v>21</v>
      </c>
      <c r="L582" t="s">
        <v>22</v>
      </c>
      <c r="M582" t="s">
        <v>23</v>
      </c>
      <c r="N582" t="s">
        <v>24</v>
      </c>
    </row>
    <row r="583" spans="1:14" x14ac:dyDescent="0.3">
      <c r="A583">
        <v>582</v>
      </c>
      <c r="B583">
        <v>255</v>
      </c>
      <c r="C583">
        <f>1/COUNTIF(pizza_sales[[#All],[order_id]],pizza_sales[[#This Row],[order_id]])</f>
        <v>0.25</v>
      </c>
      <c r="D583" t="s">
        <v>20</v>
      </c>
      <c r="E583">
        <v>1</v>
      </c>
      <c r="F583" s="1">
        <v>42009</v>
      </c>
      <c r="G583" s="1" t="str">
        <f>TEXT(pizza_sales[[#This Row],[order_date]],"dddd")</f>
        <v>Monday</v>
      </c>
      <c r="H583" s="2">
        <v>36526.474710648145</v>
      </c>
      <c r="I583">
        <v>18.5</v>
      </c>
      <c r="J583">
        <v>18.5</v>
      </c>
      <c r="K583" t="s">
        <v>21</v>
      </c>
      <c r="L583" t="s">
        <v>22</v>
      </c>
      <c r="M583" t="s">
        <v>23</v>
      </c>
      <c r="N583" t="s">
        <v>24</v>
      </c>
    </row>
    <row r="584" spans="1:14" x14ac:dyDescent="0.3">
      <c r="A584">
        <v>583</v>
      </c>
      <c r="B584">
        <v>255</v>
      </c>
      <c r="C584">
        <f>1/COUNTIF(pizza_sales[[#All],[order_id]],pizza_sales[[#This Row],[order_id]])</f>
        <v>0.25</v>
      </c>
      <c r="D584" t="s">
        <v>128</v>
      </c>
      <c r="E584">
        <v>1</v>
      </c>
      <c r="F584" s="1">
        <v>42009</v>
      </c>
      <c r="G584" s="1" t="str">
        <f>TEXT(pizza_sales[[#This Row],[order_date]],"dddd")</f>
        <v>Monday</v>
      </c>
      <c r="H584" s="2">
        <v>36526.474710648145</v>
      </c>
      <c r="I584">
        <v>16</v>
      </c>
      <c r="J584">
        <v>16</v>
      </c>
      <c r="K584" t="s">
        <v>13</v>
      </c>
      <c r="L584" t="s">
        <v>22</v>
      </c>
      <c r="M584" t="s">
        <v>52</v>
      </c>
      <c r="N584" t="s">
        <v>53</v>
      </c>
    </row>
    <row r="585" spans="1:14" x14ac:dyDescent="0.3">
      <c r="A585">
        <v>584</v>
      </c>
      <c r="B585">
        <v>255</v>
      </c>
      <c r="C585">
        <f>1/COUNTIF(pizza_sales[[#All],[order_id]],pizza_sales[[#This Row],[order_id]])</f>
        <v>0.25</v>
      </c>
      <c r="D585" t="s">
        <v>142</v>
      </c>
      <c r="E585">
        <v>1</v>
      </c>
      <c r="F585" s="1">
        <v>42009</v>
      </c>
      <c r="G585" s="1" t="str">
        <f>TEXT(pizza_sales[[#This Row],[order_date]],"dddd")</f>
        <v>Monday</v>
      </c>
      <c r="H585" s="2">
        <v>36526.474710648145</v>
      </c>
      <c r="I585">
        <v>16.5</v>
      </c>
      <c r="J585">
        <v>16.5</v>
      </c>
      <c r="K585" t="s">
        <v>21</v>
      </c>
      <c r="L585" t="s">
        <v>14</v>
      </c>
      <c r="M585" t="s">
        <v>15</v>
      </c>
      <c r="N585" t="s">
        <v>16</v>
      </c>
    </row>
    <row r="586" spans="1:14" x14ac:dyDescent="0.3">
      <c r="A586">
        <v>585</v>
      </c>
      <c r="B586">
        <v>255</v>
      </c>
      <c r="C586">
        <f>1/COUNTIF(pizza_sales[[#All],[order_id]],pizza_sales[[#This Row],[order_id]])</f>
        <v>0.25</v>
      </c>
      <c r="D586" t="s">
        <v>162</v>
      </c>
      <c r="E586">
        <v>1</v>
      </c>
      <c r="F586" s="1">
        <v>42009</v>
      </c>
      <c r="G586" s="1" t="str">
        <f>TEXT(pizza_sales[[#This Row],[order_date]],"dddd")</f>
        <v>Monday</v>
      </c>
      <c r="H586" s="2">
        <v>36526.474710648145</v>
      </c>
      <c r="I586">
        <v>16</v>
      </c>
      <c r="J586">
        <v>16</v>
      </c>
      <c r="K586" t="s">
        <v>13</v>
      </c>
      <c r="L586" t="s">
        <v>22</v>
      </c>
      <c r="M586" t="s">
        <v>110</v>
      </c>
      <c r="N586" t="s">
        <v>111</v>
      </c>
    </row>
    <row r="587" spans="1:14" x14ac:dyDescent="0.3">
      <c r="A587">
        <v>586</v>
      </c>
      <c r="B587">
        <v>256</v>
      </c>
      <c r="C587">
        <f>1/COUNTIF(pizza_sales[[#All],[order_id]],pizza_sales[[#This Row],[order_id]])</f>
        <v>1</v>
      </c>
      <c r="D587" t="s">
        <v>129</v>
      </c>
      <c r="E587">
        <v>1</v>
      </c>
      <c r="F587" s="1">
        <v>42009</v>
      </c>
      <c r="G587" s="1" t="str">
        <f>TEXT(pizza_sales[[#This Row],[order_date]],"dddd")</f>
        <v>Monday</v>
      </c>
      <c r="H587" s="2">
        <v>36526.497291666667</v>
      </c>
      <c r="I587">
        <v>17.5</v>
      </c>
      <c r="J587">
        <v>17.5</v>
      </c>
      <c r="K587" t="s">
        <v>21</v>
      </c>
      <c r="L587" t="s">
        <v>14</v>
      </c>
      <c r="M587" t="s">
        <v>130</v>
      </c>
      <c r="N587" t="s">
        <v>131</v>
      </c>
    </row>
    <row r="588" spans="1:14" x14ac:dyDescent="0.3">
      <c r="A588">
        <v>587</v>
      </c>
      <c r="B588">
        <v>257</v>
      </c>
      <c r="C588">
        <f>1/COUNTIF(pizza_sales[[#All],[order_id]],pizza_sales[[#This Row],[order_id]])</f>
        <v>0.5</v>
      </c>
      <c r="D588" t="s">
        <v>73</v>
      </c>
      <c r="E588">
        <v>1</v>
      </c>
      <c r="F588" s="1">
        <v>42009</v>
      </c>
      <c r="G588" s="1" t="str">
        <f>TEXT(pizza_sales[[#This Row],[order_date]],"dddd")</f>
        <v>Monday</v>
      </c>
      <c r="H588" s="2">
        <v>36526.499351851853</v>
      </c>
      <c r="I588">
        <v>20.75</v>
      </c>
      <c r="J588">
        <v>20.75</v>
      </c>
      <c r="K588" t="s">
        <v>21</v>
      </c>
      <c r="L588" t="s">
        <v>33</v>
      </c>
      <c r="M588" t="s">
        <v>74</v>
      </c>
      <c r="N588" t="s">
        <v>75</v>
      </c>
    </row>
    <row r="589" spans="1:14" x14ac:dyDescent="0.3">
      <c r="A589">
        <v>588</v>
      </c>
      <c r="B589">
        <v>257</v>
      </c>
      <c r="C589">
        <f>1/COUNTIF(pizza_sales[[#All],[order_id]],pizza_sales[[#This Row],[order_id]])</f>
        <v>0.5</v>
      </c>
      <c r="D589" t="s">
        <v>168</v>
      </c>
      <c r="E589">
        <v>1</v>
      </c>
      <c r="F589" s="1">
        <v>42009</v>
      </c>
      <c r="G589" s="1" t="str">
        <f>TEXT(pizza_sales[[#This Row],[order_date]],"dddd")</f>
        <v>Monday</v>
      </c>
      <c r="H589" s="2">
        <v>36526.499351851853</v>
      </c>
      <c r="I589">
        <v>20.75</v>
      </c>
      <c r="J589">
        <v>20.75</v>
      </c>
      <c r="K589" t="s">
        <v>21</v>
      </c>
      <c r="L589" t="s">
        <v>33</v>
      </c>
      <c r="M589" t="s">
        <v>124</v>
      </c>
      <c r="N589" t="s">
        <v>125</v>
      </c>
    </row>
    <row r="590" spans="1:14" x14ac:dyDescent="0.3">
      <c r="A590">
        <v>589</v>
      </c>
      <c r="B590">
        <v>258</v>
      </c>
      <c r="C590">
        <f>1/COUNTIF(pizza_sales[[#All],[order_id]],pizza_sales[[#This Row],[order_id]])</f>
        <v>1</v>
      </c>
      <c r="D590" t="s">
        <v>17</v>
      </c>
      <c r="E590">
        <v>1</v>
      </c>
      <c r="F590" s="1">
        <v>42009</v>
      </c>
      <c r="G590" s="1" t="str">
        <f>TEXT(pizza_sales[[#This Row],[order_date]],"dddd")</f>
        <v>Monday</v>
      </c>
      <c r="H590" s="2">
        <v>36526.499571759261</v>
      </c>
      <c r="I590">
        <v>16</v>
      </c>
      <c r="J590">
        <v>16</v>
      </c>
      <c r="K590" t="s">
        <v>13</v>
      </c>
      <c r="L590" t="s">
        <v>14</v>
      </c>
      <c r="M590" t="s">
        <v>18</v>
      </c>
      <c r="N590" t="s">
        <v>19</v>
      </c>
    </row>
    <row r="591" spans="1:14" x14ac:dyDescent="0.3">
      <c r="A591">
        <v>590</v>
      </c>
      <c r="B591">
        <v>259</v>
      </c>
      <c r="C591">
        <f>1/COUNTIF(pizza_sales[[#All],[order_id]],pizza_sales[[#This Row],[order_id]])</f>
        <v>1</v>
      </c>
      <c r="D591" t="s">
        <v>77</v>
      </c>
      <c r="E591">
        <v>1</v>
      </c>
      <c r="F591" s="1">
        <v>42009</v>
      </c>
      <c r="G591" s="1" t="str">
        <f>TEXT(pizza_sales[[#This Row],[order_date]],"dddd")</f>
        <v>Monday</v>
      </c>
      <c r="H591" s="2">
        <v>36526.503067129626</v>
      </c>
      <c r="I591">
        <v>15.25</v>
      </c>
      <c r="J591">
        <v>15.25</v>
      </c>
      <c r="K591" t="s">
        <v>21</v>
      </c>
      <c r="L591" t="s">
        <v>14</v>
      </c>
      <c r="M591" t="s">
        <v>78</v>
      </c>
      <c r="N591" t="s">
        <v>79</v>
      </c>
    </row>
    <row r="592" spans="1:14" x14ac:dyDescent="0.3">
      <c r="A592">
        <v>591</v>
      </c>
      <c r="B592">
        <v>260</v>
      </c>
      <c r="C592">
        <f>1/COUNTIF(pizza_sales[[#All],[order_id]],pizza_sales[[#This Row],[order_id]])</f>
        <v>0.5</v>
      </c>
      <c r="D592" t="s">
        <v>20</v>
      </c>
      <c r="E592">
        <v>1</v>
      </c>
      <c r="F592" s="1">
        <v>42009</v>
      </c>
      <c r="G592" s="1" t="str">
        <f>TEXT(pizza_sales[[#This Row],[order_date]],"dddd")</f>
        <v>Monday</v>
      </c>
      <c r="H592" s="2">
        <v>36526.504479166666</v>
      </c>
      <c r="I592">
        <v>18.5</v>
      </c>
      <c r="J592">
        <v>18.5</v>
      </c>
      <c r="K592" t="s">
        <v>21</v>
      </c>
      <c r="L592" t="s">
        <v>22</v>
      </c>
      <c r="M592" t="s">
        <v>23</v>
      </c>
      <c r="N592" t="s">
        <v>24</v>
      </c>
    </row>
    <row r="593" spans="1:14" x14ac:dyDescent="0.3">
      <c r="A593">
        <v>592</v>
      </c>
      <c r="B593">
        <v>260</v>
      </c>
      <c r="C593">
        <f>1/COUNTIF(pizza_sales[[#All],[order_id]],pizza_sales[[#This Row],[order_id]])</f>
        <v>0.5</v>
      </c>
      <c r="D593" t="s">
        <v>170</v>
      </c>
      <c r="E593">
        <v>1</v>
      </c>
      <c r="F593" s="1">
        <v>42009</v>
      </c>
      <c r="G593" s="1" t="str">
        <f>TEXT(pizza_sales[[#This Row],[order_date]],"dddd")</f>
        <v>Monday</v>
      </c>
      <c r="H593" s="2">
        <v>36526.504479166666</v>
      </c>
      <c r="I593">
        <v>20.5</v>
      </c>
      <c r="J593">
        <v>20.5</v>
      </c>
      <c r="K593" t="s">
        <v>21</v>
      </c>
      <c r="L593" t="s">
        <v>14</v>
      </c>
      <c r="M593" t="s">
        <v>45</v>
      </c>
      <c r="N593" t="s">
        <v>46</v>
      </c>
    </row>
    <row r="594" spans="1:14" x14ac:dyDescent="0.3">
      <c r="A594">
        <v>593</v>
      </c>
      <c r="B594">
        <v>261</v>
      </c>
      <c r="C594">
        <f>1/COUNTIF(pizza_sales[[#All],[order_id]],pizza_sales[[#This Row],[order_id]])</f>
        <v>1</v>
      </c>
      <c r="D594" t="s">
        <v>165</v>
      </c>
      <c r="E594">
        <v>1</v>
      </c>
      <c r="F594" s="1">
        <v>42009</v>
      </c>
      <c r="G594" s="1" t="str">
        <f>TEXT(pizza_sales[[#This Row],[order_date]],"dddd")</f>
        <v>Monday</v>
      </c>
      <c r="H594" s="2">
        <v>36526.526724537034</v>
      </c>
      <c r="I594">
        <v>23.65</v>
      </c>
      <c r="J594">
        <v>23.65</v>
      </c>
      <c r="K594" t="s">
        <v>41</v>
      </c>
      <c r="L594" t="s">
        <v>26</v>
      </c>
      <c r="M594" t="s">
        <v>166</v>
      </c>
      <c r="N594" t="s">
        <v>167</v>
      </c>
    </row>
    <row r="595" spans="1:14" x14ac:dyDescent="0.3">
      <c r="A595">
        <v>594</v>
      </c>
      <c r="B595">
        <v>262</v>
      </c>
      <c r="C595">
        <f>1/COUNTIF(pizza_sales[[#All],[order_id]],pizza_sales[[#This Row],[order_id]])</f>
        <v>1</v>
      </c>
      <c r="D595" t="s">
        <v>76</v>
      </c>
      <c r="E595">
        <v>1</v>
      </c>
      <c r="F595" s="1">
        <v>42009</v>
      </c>
      <c r="G595" s="1" t="str">
        <f>TEXT(pizza_sales[[#This Row],[order_date]],"dddd")</f>
        <v>Monday</v>
      </c>
      <c r="H595" s="2">
        <v>36526.529178240744</v>
      </c>
      <c r="I595">
        <v>16.75</v>
      </c>
      <c r="J595">
        <v>16.75</v>
      </c>
      <c r="K595" t="s">
        <v>13</v>
      </c>
      <c r="L595" t="s">
        <v>33</v>
      </c>
      <c r="M595" t="s">
        <v>74</v>
      </c>
      <c r="N595" t="s">
        <v>75</v>
      </c>
    </row>
    <row r="596" spans="1:14" x14ac:dyDescent="0.3">
      <c r="A596">
        <v>595</v>
      </c>
      <c r="B596">
        <v>263</v>
      </c>
      <c r="C596">
        <f>1/COUNTIF(pizza_sales[[#All],[order_id]],pizza_sales[[#This Row],[order_id]])</f>
        <v>1</v>
      </c>
      <c r="D596" t="s">
        <v>62</v>
      </c>
      <c r="E596">
        <v>1</v>
      </c>
      <c r="F596" s="1">
        <v>42009</v>
      </c>
      <c r="G596" s="1" t="str">
        <f>TEXT(pizza_sales[[#This Row],[order_date]],"dddd")</f>
        <v>Monday</v>
      </c>
      <c r="H596" s="2">
        <v>36526.539837962962</v>
      </c>
      <c r="I596">
        <v>20.75</v>
      </c>
      <c r="J596">
        <v>20.75</v>
      </c>
      <c r="K596" t="s">
        <v>21</v>
      </c>
      <c r="L596" t="s">
        <v>22</v>
      </c>
      <c r="M596" t="s">
        <v>63</v>
      </c>
      <c r="N596" t="s">
        <v>64</v>
      </c>
    </row>
    <row r="597" spans="1:14" x14ac:dyDescent="0.3">
      <c r="A597">
        <v>596</v>
      </c>
      <c r="B597">
        <v>264</v>
      </c>
      <c r="C597">
        <f>1/COUNTIF(pizza_sales[[#All],[order_id]],pizza_sales[[#This Row],[order_id]])</f>
        <v>1</v>
      </c>
      <c r="D597" t="s">
        <v>29</v>
      </c>
      <c r="E597">
        <v>1</v>
      </c>
      <c r="F597" s="1">
        <v>42009</v>
      </c>
      <c r="G597" s="1" t="str">
        <f>TEXT(pizza_sales[[#This Row],[order_date]],"dddd")</f>
        <v>Monday</v>
      </c>
      <c r="H597" s="2">
        <v>36526.544432870367</v>
      </c>
      <c r="I597">
        <v>16</v>
      </c>
      <c r="J597">
        <v>16</v>
      </c>
      <c r="K597" t="s">
        <v>13</v>
      </c>
      <c r="L597" t="s">
        <v>22</v>
      </c>
      <c r="M597" t="s">
        <v>30</v>
      </c>
      <c r="N597" t="s">
        <v>31</v>
      </c>
    </row>
    <row r="598" spans="1:14" x14ac:dyDescent="0.3">
      <c r="A598">
        <v>597</v>
      </c>
      <c r="B598">
        <v>265</v>
      </c>
      <c r="C598">
        <f>1/COUNTIF(pizza_sales[[#All],[order_id]],pizza_sales[[#This Row],[order_id]])</f>
        <v>0.25</v>
      </c>
      <c r="D598" t="s">
        <v>134</v>
      </c>
      <c r="E598">
        <v>1</v>
      </c>
      <c r="F598" s="1">
        <v>42009</v>
      </c>
      <c r="G598" s="1" t="str">
        <f>TEXT(pizza_sales[[#This Row],[order_date]],"dddd")</f>
        <v>Monday</v>
      </c>
      <c r="H598" s="2">
        <v>36526.544930555552</v>
      </c>
      <c r="I598">
        <v>16.75</v>
      </c>
      <c r="J598">
        <v>16.75</v>
      </c>
      <c r="K598" t="s">
        <v>13</v>
      </c>
      <c r="L598" t="s">
        <v>33</v>
      </c>
      <c r="M598" t="s">
        <v>124</v>
      </c>
      <c r="N598" t="s">
        <v>125</v>
      </c>
    </row>
    <row r="599" spans="1:14" x14ac:dyDescent="0.3">
      <c r="A599">
        <v>598</v>
      </c>
      <c r="B599">
        <v>265</v>
      </c>
      <c r="C599">
        <f>1/COUNTIF(pizza_sales[[#All],[order_id]],pizza_sales[[#This Row],[order_id]])</f>
        <v>0.25</v>
      </c>
      <c r="D599" t="s">
        <v>68</v>
      </c>
      <c r="E599">
        <v>1</v>
      </c>
      <c r="F599" s="1">
        <v>42009</v>
      </c>
      <c r="G599" s="1" t="str">
        <f>TEXT(pizza_sales[[#This Row],[order_date]],"dddd")</f>
        <v>Monday</v>
      </c>
      <c r="H599" s="2">
        <v>36526.544930555552</v>
      </c>
      <c r="I599">
        <v>20.25</v>
      </c>
      <c r="J599">
        <v>20.25</v>
      </c>
      <c r="K599" t="s">
        <v>21</v>
      </c>
      <c r="L599" t="s">
        <v>22</v>
      </c>
      <c r="M599" t="s">
        <v>30</v>
      </c>
      <c r="N599" t="s">
        <v>31</v>
      </c>
    </row>
    <row r="600" spans="1:14" x14ac:dyDescent="0.3">
      <c r="A600">
        <v>599</v>
      </c>
      <c r="B600">
        <v>265</v>
      </c>
      <c r="C600">
        <f>1/COUNTIF(pizza_sales[[#All],[order_id]],pizza_sales[[#This Row],[order_id]])</f>
        <v>0.25</v>
      </c>
      <c r="D600" t="s">
        <v>121</v>
      </c>
      <c r="E600">
        <v>1</v>
      </c>
      <c r="F600" s="1">
        <v>42009</v>
      </c>
      <c r="G600" s="1" t="str">
        <f>TEXT(pizza_sales[[#This Row],[order_date]],"dddd")</f>
        <v>Monday</v>
      </c>
      <c r="H600" s="2">
        <v>36526.544930555552</v>
      </c>
      <c r="I600">
        <v>16.25</v>
      </c>
      <c r="J600">
        <v>16.25</v>
      </c>
      <c r="K600" t="s">
        <v>13</v>
      </c>
      <c r="L600" t="s">
        <v>26</v>
      </c>
      <c r="M600" t="s">
        <v>114</v>
      </c>
      <c r="N600" t="s">
        <v>115</v>
      </c>
    </row>
    <row r="601" spans="1:14" x14ac:dyDescent="0.3">
      <c r="A601">
        <v>600</v>
      </c>
      <c r="B601">
        <v>265</v>
      </c>
      <c r="C601">
        <f>1/COUNTIF(pizza_sales[[#All],[order_id]],pizza_sales[[#This Row],[order_id]])</f>
        <v>0.25</v>
      </c>
      <c r="D601" t="s">
        <v>59</v>
      </c>
      <c r="E601">
        <v>1</v>
      </c>
      <c r="F601" s="1">
        <v>42009</v>
      </c>
      <c r="G601" s="1" t="str">
        <f>TEXT(pizza_sales[[#This Row],[order_date]],"dddd")</f>
        <v>Monday</v>
      </c>
      <c r="H601" s="2">
        <v>36526.544930555552</v>
      </c>
      <c r="I601">
        <v>20.75</v>
      </c>
      <c r="J601">
        <v>20.75</v>
      </c>
      <c r="K601" t="s">
        <v>21</v>
      </c>
      <c r="L601" t="s">
        <v>26</v>
      </c>
      <c r="M601" t="s">
        <v>60</v>
      </c>
      <c r="N601" t="s">
        <v>61</v>
      </c>
    </row>
    <row r="602" spans="1:14" x14ac:dyDescent="0.3">
      <c r="A602">
        <v>601</v>
      </c>
      <c r="B602">
        <v>266</v>
      </c>
      <c r="C602">
        <f>1/COUNTIF(pizza_sales[[#All],[order_id]],pizza_sales[[#This Row],[order_id]])</f>
        <v>1</v>
      </c>
      <c r="D602" t="s">
        <v>133</v>
      </c>
      <c r="E602">
        <v>1</v>
      </c>
      <c r="F602" s="1">
        <v>42009</v>
      </c>
      <c r="G602" s="1" t="str">
        <f>TEXT(pizza_sales[[#This Row],[order_date]],"dddd")</f>
        <v>Monday</v>
      </c>
      <c r="H602" s="2">
        <v>36526.548252314817</v>
      </c>
      <c r="I602">
        <v>16.5</v>
      </c>
      <c r="J602">
        <v>16.5</v>
      </c>
      <c r="K602" t="s">
        <v>13</v>
      </c>
      <c r="L602" t="s">
        <v>26</v>
      </c>
      <c r="M602" t="s">
        <v>107</v>
      </c>
      <c r="N602" t="s">
        <v>108</v>
      </c>
    </row>
    <row r="603" spans="1:14" x14ac:dyDescent="0.3">
      <c r="A603">
        <v>602</v>
      </c>
      <c r="B603">
        <v>267</v>
      </c>
      <c r="C603">
        <f>1/COUNTIF(pizza_sales[[#All],[order_id]],pizza_sales[[#This Row],[order_id]])</f>
        <v>0.33333333333333331</v>
      </c>
      <c r="D603" t="s">
        <v>90</v>
      </c>
      <c r="E603">
        <v>1</v>
      </c>
      <c r="F603" s="1">
        <v>42009</v>
      </c>
      <c r="G603" s="1" t="str">
        <f>TEXT(pizza_sales[[#This Row],[order_date]],"dddd")</f>
        <v>Monday</v>
      </c>
      <c r="H603" s="2">
        <v>36526.567939814813</v>
      </c>
      <c r="I603">
        <v>17.95</v>
      </c>
      <c r="J603">
        <v>17.95</v>
      </c>
      <c r="K603" t="s">
        <v>21</v>
      </c>
      <c r="L603" t="s">
        <v>22</v>
      </c>
      <c r="M603" t="s">
        <v>91</v>
      </c>
      <c r="N603" t="s">
        <v>92</v>
      </c>
    </row>
    <row r="604" spans="1:14" x14ac:dyDescent="0.3">
      <c r="A604">
        <v>603</v>
      </c>
      <c r="B604">
        <v>267</v>
      </c>
      <c r="C604">
        <f>1/COUNTIF(pizza_sales[[#All],[order_id]],pizza_sales[[#This Row],[order_id]])</f>
        <v>0.33333333333333331</v>
      </c>
      <c r="D604" t="s">
        <v>146</v>
      </c>
      <c r="E604">
        <v>1</v>
      </c>
      <c r="F604" s="1">
        <v>42009</v>
      </c>
      <c r="G604" s="1" t="str">
        <f>TEXT(pizza_sales[[#This Row],[order_date]],"dddd")</f>
        <v>Monday</v>
      </c>
      <c r="H604" s="2">
        <v>36526.567939814813</v>
      </c>
      <c r="I604">
        <v>20.25</v>
      </c>
      <c r="J604">
        <v>20.25</v>
      </c>
      <c r="K604" t="s">
        <v>21</v>
      </c>
      <c r="L604" t="s">
        <v>22</v>
      </c>
      <c r="M604" t="s">
        <v>104</v>
      </c>
      <c r="N604" t="s">
        <v>105</v>
      </c>
    </row>
    <row r="605" spans="1:14" x14ac:dyDescent="0.3">
      <c r="A605">
        <v>604</v>
      </c>
      <c r="B605">
        <v>267</v>
      </c>
      <c r="C605">
        <f>1/COUNTIF(pizza_sales[[#All],[order_id]],pizza_sales[[#This Row],[order_id]])</f>
        <v>0.33333333333333331</v>
      </c>
      <c r="D605" t="s">
        <v>93</v>
      </c>
      <c r="E605">
        <v>1</v>
      </c>
      <c r="F605" s="1">
        <v>42009</v>
      </c>
      <c r="G605" s="1" t="str">
        <f>TEXT(pizza_sales[[#This Row],[order_date]],"dddd")</f>
        <v>Monday</v>
      </c>
      <c r="H605" s="2">
        <v>36526.567939814813</v>
      </c>
      <c r="I605">
        <v>12</v>
      </c>
      <c r="J605">
        <v>12</v>
      </c>
      <c r="K605" t="s">
        <v>41</v>
      </c>
      <c r="L605" t="s">
        <v>14</v>
      </c>
      <c r="M605" t="s">
        <v>94</v>
      </c>
      <c r="N605" t="s">
        <v>95</v>
      </c>
    </row>
    <row r="606" spans="1:14" x14ac:dyDescent="0.3">
      <c r="A606">
        <v>605</v>
      </c>
      <c r="B606">
        <v>268</v>
      </c>
      <c r="C606">
        <f>1/COUNTIF(pizza_sales[[#All],[order_id]],pizza_sales[[#This Row],[order_id]])</f>
        <v>0.5</v>
      </c>
      <c r="D606" t="s">
        <v>25</v>
      </c>
      <c r="E606">
        <v>1</v>
      </c>
      <c r="F606" s="1">
        <v>42009</v>
      </c>
      <c r="G606" s="1" t="str">
        <f>TEXT(pizza_sales[[#This Row],[order_date]],"dddd")</f>
        <v>Monday</v>
      </c>
      <c r="H606" s="2">
        <v>36526.569976851853</v>
      </c>
      <c r="I606">
        <v>20.75</v>
      </c>
      <c r="J606">
        <v>20.75</v>
      </c>
      <c r="K606" t="s">
        <v>21</v>
      </c>
      <c r="L606" t="s">
        <v>26</v>
      </c>
      <c r="M606" t="s">
        <v>27</v>
      </c>
      <c r="N606" t="s">
        <v>28</v>
      </c>
    </row>
    <row r="607" spans="1:14" x14ac:dyDescent="0.3">
      <c r="A607">
        <v>606</v>
      </c>
      <c r="B607">
        <v>268</v>
      </c>
      <c r="C607">
        <f>1/COUNTIF(pizza_sales[[#All],[order_id]],pizza_sales[[#This Row],[order_id]])</f>
        <v>0.5</v>
      </c>
      <c r="D607" t="s">
        <v>126</v>
      </c>
      <c r="E607">
        <v>1</v>
      </c>
      <c r="F607" s="1">
        <v>42009</v>
      </c>
      <c r="G607" s="1" t="str">
        <f>TEXT(pizza_sales[[#This Row],[order_date]],"dddd")</f>
        <v>Monday</v>
      </c>
      <c r="H607" s="2">
        <v>36526.569976851853</v>
      </c>
      <c r="I607">
        <v>9.75</v>
      </c>
      <c r="J607">
        <v>9.75</v>
      </c>
      <c r="K607" t="s">
        <v>41</v>
      </c>
      <c r="L607" t="s">
        <v>14</v>
      </c>
      <c r="M607" t="s">
        <v>78</v>
      </c>
      <c r="N607" t="s">
        <v>79</v>
      </c>
    </row>
    <row r="608" spans="1:14" x14ac:dyDescent="0.3">
      <c r="A608">
        <v>607</v>
      </c>
      <c r="B608">
        <v>269</v>
      </c>
      <c r="C608">
        <f>1/COUNTIF(pizza_sales[[#All],[order_id]],pizza_sales[[#This Row],[order_id]])</f>
        <v>1</v>
      </c>
      <c r="D608" t="s">
        <v>134</v>
      </c>
      <c r="E608">
        <v>1</v>
      </c>
      <c r="F608" s="1">
        <v>42009</v>
      </c>
      <c r="G608" s="1" t="str">
        <f>TEXT(pizza_sales[[#This Row],[order_date]],"dddd")</f>
        <v>Monday</v>
      </c>
      <c r="H608" s="2">
        <v>36526.57608796296</v>
      </c>
      <c r="I608">
        <v>16.75</v>
      </c>
      <c r="J608">
        <v>16.75</v>
      </c>
      <c r="K608" t="s">
        <v>13</v>
      </c>
      <c r="L608" t="s">
        <v>33</v>
      </c>
      <c r="M608" t="s">
        <v>124</v>
      </c>
      <c r="N608" t="s">
        <v>125</v>
      </c>
    </row>
    <row r="609" spans="1:14" x14ac:dyDescent="0.3">
      <c r="A609">
        <v>608</v>
      </c>
      <c r="B609">
        <v>270</v>
      </c>
      <c r="C609">
        <f>1/COUNTIF(pizza_sales[[#All],[order_id]],pizza_sales[[#This Row],[order_id]])</f>
        <v>0.33333333333333331</v>
      </c>
      <c r="D609" t="s">
        <v>69</v>
      </c>
      <c r="E609">
        <v>1</v>
      </c>
      <c r="F609" s="1">
        <v>42009</v>
      </c>
      <c r="G609" s="1" t="str">
        <f>TEXT(pizza_sales[[#This Row],[order_date]],"dddd")</f>
        <v>Monday</v>
      </c>
      <c r="H609" s="2">
        <v>36526.589606481481</v>
      </c>
      <c r="I609">
        <v>20.75</v>
      </c>
      <c r="J609">
        <v>20.75</v>
      </c>
      <c r="K609" t="s">
        <v>21</v>
      </c>
      <c r="L609" t="s">
        <v>33</v>
      </c>
      <c r="M609" t="s">
        <v>70</v>
      </c>
      <c r="N609" t="s">
        <v>71</v>
      </c>
    </row>
    <row r="610" spans="1:14" x14ac:dyDescent="0.3">
      <c r="A610">
        <v>609</v>
      </c>
      <c r="B610">
        <v>270</v>
      </c>
      <c r="C610">
        <f>1/COUNTIF(pizza_sales[[#All],[order_id]],pizza_sales[[#This Row],[order_id]])</f>
        <v>0.33333333333333331</v>
      </c>
      <c r="D610" t="s">
        <v>62</v>
      </c>
      <c r="E610">
        <v>1</v>
      </c>
      <c r="F610" s="1">
        <v>42009</v>
      </c>
      <c r="G610" s="1" t="str">
        <f>TEXT(pizza_sales[[#This Row],[order_date]],"dddd")</f>
        <v>Monday</v>
      </c>
      <c r="H610" s="2">
        <v>36526.589606481481</v>
      </c>
      <c r="I610">
        <v>20.75</v>
      </c>
      <c r="J610">
        <v>20.75</v>
      </c>
      <c r="K610" t="s">
        <v>21</v>
      </c>
      <c r="L610" t="s">
        <v>22</v>
      </c>
      <c r="M610" t="s">
        <v>63</v>
      </c>
      <c r="N610" t="s">
        <v>64</v>
      </c>
    </row>
    <row r="611" spans="1:14" x14ac:dyDescent="0.3">
      <c r="A611">
        <v>610</v>
      </c>
      <c r="B611">
        <v>270</v>
      </c>
      <c r="C611">
        <f>1/COUNTIF(pizza_sales[[#All],[order_id]],pizza_sales[[#This Row],[order_id]])</f>
        <v>0.33333333333333331</v>
      </c>
      <c r="D611" t="s">
        <v>32</v>
      </c>
      <c r="E611">
        <v>1</v>
      </c>
      <c r="F611" s="1">
        <v>42009</v>
      </c>
      <c r="G611" s="1" t="str">
        <f>TEXT(pizza_sales[[#This Row],[order_date]],"dddd")</f>
        <v>Monday</v>
      </c>
      <c r="H611" s="2">
        <v>36526.589606481481</v>
      </c>
      <c r="I611">
        <v>20.75</v>
      </c>
      <c r="J611">
        <v>20.75</v>
      </c>
      <c r="K611" t="s">
        <v>21</v>
      </c>
      <c r="L611" t="s">
        <v>33</v>
      </c>
      <c r="M611" t="s">
        <v>34</v>
      </c>
      <c r="N611" t="s">
        <v>35</v>
      </c>
    </row>
    <row r="612" spans="1:14" x14ac:dyDescent="0.3">
      <c r="A612">
        <v>611</v>
      </c>
      <c r="B612">
        <v>271</v>
      </c>
      <c r="C612">
        <f>1/COUNTIF(pizza_sales[[#All],[order_id]],pizza_sales[[#This Row],[order_id]])</f>
        <v>0.1</v>
      </c>
      <c r="D612" t="s">
        <v>84</v>
      </c>
      <c r="E612">
        <v>1</v>
      </c>
      <c r="F612" s="1">
        <v>42009</v>
      </c>
      <c r="G612" s="1" t="str">
        <f>TEXT(pizza_sales[[#This Row],[order_date]],"dddd")</f>
        <v>Monday</v>
      </c>
      <c r="H612" s="2">
        <v>36526.59883101852</v>
      </c>
      <c r="I612">
        <v>12</v>
      </c>
      <c r="J612">
        <v>12</v>
      </c>
      <c r="K612" t="s">
        <v>41</v>
      </c>
      <c r="L612" t="s">
        <v>14</v>
      </c>
      <c r="M612" t="s">
        <v>85</v>
      </c>
      <c r="N612" t="s">
        <v>86</v>
      </c>
    </row>
    <row r="613" spans="1:14" x14ac:dyDescent="0.3">
      <c r="A613">
        <v>612</v>
      </c>
      <c r="B613">
        <v>271</v>
      </c>
      <c r="C613">
        <f>1/COUNTIF(pizza_sales[[#All],[order_id]],pizza_sales[[#This Row],[order_id]])</f>
        <v>0.1</v>
      </c>
      <c r="D613" t="s">
        <v>76</v>
      </c>
      <c r="E613">
        <v>2</v>
      </c>
      <c r="F613" s="1">
        <v>42009</v>
      </c>
      <c r="G613" s="1" t="str">
        <f>TEXT(pizza_sales[[#This Row],[order_date]],"dddd")</f>
        <v>Monday</v>
      </c>
      <c r="H613" s="2">
        <v>36526.59883101852</v>
      </c>
      <c r="I613">
        <v>16.75</v>
      </c>
      <c r="J613">
        <v>33.5</v>
      </c>
      <c r="K613" t="s">
        <v>13</v>
      </c>
      <c r="L613" t="s">
        <v>33</v>
      </c>
      <c r="M613" t="s">
        <v>74</v>
      </c>
      <c r="N613" t="s">
        <v>75</v>
      </c>
    </row>
    <row r="614" spans="1:14" x14ac:dyDescent="0.3">
      <c r="A614">
        <v>613</v>
      </c>
      <c r="B614">
        <v>271</v>
      </c>
      <c r="C614">
        <f>1/COUNTIF(pizza_sales[[#All],[order_id]],pizza_sales[[#This Row],[order_id]])</f>
        <v>0.1</v>
      </c>
      <c r="D614" t="s">
        <v>134</v>
      </c>
      <c r="E614">
        <v>2</v>
      </c>
      <c r="F614" s="1">
        <v>42009</v>
      </c>
      <c r="G614" s="1" t="str">
        <f>TEXT(pizza_sales[[#This Row],[order_date]],"dddd")</f>
        <v>Monday</v>
      </c>
      <c r="H614" s="2">
        <v>36526.59883101852</v>
      </c>
      <c r="I614">
        <v>16.75</v>
      </c>
      <c r="J614">
        <v>33.5</v>
      </c>
      <c r="K614" t="s">
        <v>13</v>
      </c>
      <c r="L614" t="s">
        <v>33</v>
      </c>
      <c r="M614" t="s">
        <v>124</v>
      </c>
      <c r="N614" t="s">
        <v>125</v>
      </c>
    </row>
    <row r="615" spans="1:14" x14ac:dyDescent="0.3">
      <c r="A615">
        <v>614</v>
      </c>
      <c r="B615">
        <v>271</v>
      </c>
      <c r="C615">
        <f>1/COUNTIF(pizza_sales[[#All],[order_id]],pizza_sales[[#This Row],[order_id]])</f>
        <v>0.1</v>
      </c>
      <c r="D615" t="s">
        <v>81</v>
      </c>
      <c r="E615">
        <v>2</v>
      </c>
      <c r="F615" s="1">
        <v>42009</v>
      </c>
      <c r="G615" s="1" t="str">
        <f>TEXT(pizza_sales[[#This Row],[order_date]],"dddd")</f>
        <v>Monday</v>
      </c>
      <c r="H615" s="2">
        <v>36526.59883101852</v>
      </c>
      <c r="I615">
        <v>20.75</v>
      </c>
      <c r="J615">
        <v>41.5</v>
      </c>
      <c r="K615" t="s">
        <v>21</v>
      </c>
      <c r="L615" t="s">
        <v>33</v>
      </c>
      <c r="M615" t="s">
        <v>82</v>
      </c>
      <c r="N615" t="s">
        <v>83</v>
      </c>
    </row>
    <row r="616" spans="1:14" x14ac:dyDescent="0.3">
      <c r="A616">
        <v>615</v>
      </c>
      <c r="B616">
        <v>271</v>
      </c>
      <c r="C616">
        <f>1/COUNTIF(pizza_sales[[#All],[order_id]],pizza_sales[[#This Row],[order_id]])</f>
        <v>0.1</v>
      </c>
      <c r="D616" t="s">
        <v>17</v>
      </c>
      <c r="E616">
        <v>1</v>
      </c>
      <c r="F616" s="1">
        <v>42009</v>
      </c>
      <c r="G616" s="1" t="str">
        <f>TEXT(pizza_sales[[#This Row],[order_date]],"dddd")</f>
        <v>Monday</v>
      </c>
      <c r="H616" s="2">
        <v>36526.59883101852</v>
      </c>
      <c r="I616">
        <v>16</v>
      </c>
      <c r="J616">
        <v>16</v>
      </c>
      <c r="K616" t="s">
        <v>13</v>
      </c>
      <c r="L616" t="s">
        <v>14</v>
      </c>
      <c r="M616" t="s">
        <v>18</v>
      </c>
      <c r="N616" t="s">
        <v>19</v>
      </c>
    </row>
    <row r="617" spans="1:14" x14ac:dyDescent="0.3">
      <c r="A617">
        <v>616</v>
      </c>
      <c r="B617">
        <v>271</v>
      </c>
      <c r="C617">
        <f>1/COUNTIF(pizza_sales[[#All],[order_id]],pizza_sales[[#This Row],[order_id]])</f>
        <v>0.1</v>
      </c>
      <c r="D617" t="s">
        <v>36</v>
      </c>
      <c r="E617">
        <v>1</v>
      </c>
      <c r="F617" s="1">
        <v>42009</v>
      </c>
      <c r="G617" s="1" t="str">
        <f>TEXT(pizza_sales[[#This Row],[order_date]],"dddd")</f>
        <v>Monday</v>
      </c>
      <c r="H617" s="2">
        <v>36526.59883101852</v>
      </c>
      <c r="I617">
        <v>16.5</v>
      </c>
      <c r="J617">
        <v>16.5</v>
      </c>
      <c r="K617" t="s">
        <v>13</v>
      </c>
      <c r="L617" t="s">
        <v>26</v>
      </c>
      <c r="M617" t="s">
        <v>27</v>
      </c>
      <c r="N617" t="s">
        <v>28</v>
      </c>
    </row>
    <row r="618" spans="1:14" x14ac:dyDescent="0.3">
      <c r="A618">
        <v>617</v>
      </c>
      <c r="B618">
        <v>271</v>
      </c>
      <c r="C618">
        <f>1/COUNTIF(pizza_sales[[#All],[order_id]],pizza_sales[[#This Row],[order_id]])</f>
        <v>0.1</v>
      </c>
      <c r="D618" t="s">
        <v>149</v>
      </c>
      <c r="E618">
        <v>1</v>
      </c>
      <c r="F618" s="1">
        <v>42009</v>
      </c>
      <c r="G618" s="1" t="str">
        <f>TEXT(pizza_sales[[#This Row],[order_date]],"dddd")</f>
        <v>Monday</v>
      </c>
      <c r="H618" s="2">
        <v>36526.59883101852</v>
      </c>
      <c r="I618">
        <v>12.25</v>
      </c>
      <c r="J618">
        <v>12.25</v>
      </c>
      <c r="K618" t="s">
        <v>41</v>
      </c>
      <c r="L618" t="s">
        <v>26</v>
      </c>
      <c r="M618" t="s">
        <v>114</v>
      </c>
      <c r="N618" t="s">
        <v>115</v>
      </c>
    </row>
    <row r="619" spans="1:14" x14ac:dyDescent="0.3">
      <c r="A619">
        <v>618</v>
      </c>
      <c r="B619">
        <v>271</v>
      </c>
      <c r="C619">
        <f>1/COUNTIF(pizza_sales[[#All],[order_id]],pizza_sales[[#This Row],[order_id]])</f>
        <v>0.1</v>
      </c>
      <c r="D619" t="s">
        <v>171</v>
      </c>
      <c r="E619">
        <v>1</v>
      </c>
      <c r="F619" s="1">
        <v>42009</v>
      </c>
      <c r="G619" s="1" t="str">
        <f>TEXT(pizza_sales[[#This Row],[order_date]],"dddd")</f>
        <v>Monday</v>
      </c>
      <c r="H619" s="2">
        <v>36526.59883101852</v>
      </c>
      <c r="I619">
        <v>16.5</v>
      </c>
      <c r="J619">
        <v>16.5</v>
      </c>
      <c r="K619" t="s">
        <v>13</v>
      </c>
      <c r="L619" t="s">
        <v>26</v>
      </c>
      <c r="M619" t="s">
        <v>88</v>
      </c>
      <c r="N619" t="s">
        <v>89</v>
      </c>
    </row>
    <row r="620" spans="1:14" x14ac:dyDescent="0.3">
      <c r="A620">
        <v>619</v>
      </c>
      <c r="B620">
        <v>271</v>
      </c>
      <c r="C620">
        <f>1/COUNTIF(pizza_sales[[#All],[order_id]],pizza_sales[[#This Row],[order_id]])</f>
        <v>0.1</v>
      </c>
      <c r="D620" t="s">
        <v>147</v>
      </c>
      <c r="E620">
        <v>1</v>
      </c>
      <c r="F620" s="1">
        <v>42009</v>
      </c>
      <c r="G620" s="1" t="str">
        <f>TEXT(pizza_sales[[#This Row],[order_date]],"dddd")</f>
        <v>Monday</v>
      </c>
      <c r="H620" s="2">
        <v>36526.59883101852</v>
      </c>
      <c r="I620">
        <v>16.75</v>
      </c>
      <c r="J620">
        <v>16.75</v>
      </c>
      <c r="K620" t="s">
        <v>13</v>
      </c>
      <c r="L620" t="s">
        <v>33</v>
      </c>
      <c r="M620" t="s">
        <v>70</v>
      </c>
      <c r="N620" t="s">
        <v>71</v>
      </c>
    </row>
    <row r="621" spans="1:14" x14ac:dyDescent="0.3">
      <c r="A621">
        <v>620</v>
      </c>
      <c r="B621">
        <v>271</v>
      </c>
      <c r="C621">
        <f>1/COUNTIF(pizza_sales[[#All],[order_id]],pizza_sales[[#This Row],[order_id]])</f>
        <v>0.1</v>
      </c>
      <c r="D621" t="s">
        <v>44</v>
      </c>
      <c r="E621">
        <v>1</v>
      </c>
      <c r="F621" s="1">
        <v>42009</v>
      </c>
      <c r="G621" s="1" t="str">
        <f>TEXT(pizza_sales[[#This Row],[order_date]],"dddd")</f>
        <v>Monday</v>
      </c>
      <c r="H621" s="2">
        <v>36526.59883101852</v>
      </c>
      <c r="I621">
        <v>12</v>
      </c>
      <c r="J621">
        <v>12</v>
      </c>
      <c r="K621" t="s">
        <v>41</v>
      </c>
      <c r="L621" t="s">
        <v>14</v>
      </c>
      <c r="M621" t="s">
        <v>45</v>
      </c>
      <c r="N621" t="s">
        <v>46</v>
      </c>
    </row>
    <row r="622" spans="1:14" x14ac:dyDescent="0.3">
      <c r="A622">
        <v>621</v>
      </c>
      <c r="B622">
        <v>272</v>
      </c>
      <c r="C622">
        <f>1/COUNTIF(pizza_sales[[#All],[order_id]],pizza_sales[[#This Row],[order_id]])</f>
        <v>1</v>
      </c>
      <c r="D622" t="s">
        <v>36</v>
      </c>
      <c r="E622">
        <v>1</v>
      </c>
      <c r="F622" s="1">
        <v>42009</v>
      </c>
      <c r="G622" s="1" t="str">
        <f>TEXT(pizza_sales[[#This Row],[order_date]],"dddd")</f>
        <v>Monday</v>
      </c>
      <c r="H622" s="2">
        <v>36526.600057870368</v>
      </c>
      <c r="I622">
        <v>16.5</v>
      </c>
      <c r="J622">
        <v>16.5</v>
      </c>
      <c r="K622" t="s">
        <v>13</v>
      </c>
      <c r="L622" t="s">
        <v>26</v>
      </c>
      <c r="M622" t="s">
        <v>27</v>
      </c>
      <c r="N622" t="s">
        <v>28</v>
      </c>
    </row>
    <row r="623" spans="1:14" x14ac:dyDescent="0.3">
      <c r="A623">
        <v>622</v>
      </c>
      <c r="B623">
        <v>273</v>
      </c>
      <c r="C623">
        <f>1/COUNTIF(pizza_sales[[#All],[order_id]],pizza_sales[[#This Row],[order_id]])</f>
        <v>1</v>
      </c>
      <c r="D623" t="s">
        <v>172</v>
      </c>
      <c r="E623">
        <v>1</v>
      </c>
      <c r="F623" s="1">
        <v>42009</v>
      </c>
      <c r="G623" s="1" t="str">
        <f>TEXT(pizza_sales[[#This Row],[order_date]],"dddd")</f>
        <v>Monday</v>
      </c>
      <c r="H623" s="2">
        <v>36526.602777777778</v>
      </c>
      <c r="I623">
        <v>12.5</v>
      </c>
      <c r="J623">
        <v>12.5</v>
      </c>
      <c r="K623" t="s">
        <v>41</v>
      </c>
      <c r="L623" t="s">
        <v>26</v>
      </c>
      <c r="M623" t="s">
        <v>88</v>
      </c>
      <c r="N623" t="s">
        <v>89</v>
      </c>
    </row>
    <row r="624" spans="1:14" x14ac:dyDescent="0.3">
      <c r="A624">
        <v>623</v>
      </c>
      <c r="B624">
        <v>274</v>
      </c>
      <c r="C624">
        <f>1/COUNTIF(pizza_sales[[#All],[order_id]],pizza_sales[[#This Row],[order_id]])</f>
        <v>0.5</v>
      </c>
      <c r="D624" t="s">
        <v>90</v>
      </c>
      <c r="E624">
        <v>1</v>
      </c>
      <c r="F624" s="1">
        <v>42009</v>
      </c>
      <c r="G624" s="1" t="str">
        <f>TEXT(pizza_sales[[#This Row],[order_date]],"dddd")</f>
        <v>Monday</v>
      </c>
      <c r="H624" s="2">
        <v>36526.608715277776</v>
      </c>
      <c r="I624">
        <v>17.95</v>
      </c>
      <c r="J624">
        <v>17.95</v>
      </c>
      <c r="K624" t="s">
        <v>21</v>
      </c>
      <c r="L624" t="s">
        <v>22</v>
      </c>
      <c r="M624" t="s">
        <v>91</v>
      </c>
      <c r="N624" t="s">
        <v>92</v>
      </c>
    </row>
    <row r="625" spans="1:14" x14ac:dyDescent="0.3">
      <c r="A625">
        <v>624</v>
      </c>
      <c r="B625">
        <v>274</v>
      </c>
      <c r="C625">
        <f>1/COUNTIF(pizza_sales[[#All],[order_id]],pizza_sales[[#This Row],[order_id]])</f>
        <v>0.5</v>
      </c>
      <c r="D625" t="s">
        <v>32</v>
      </c>
      <c r="E625">
        <v>1</v>
      </c>
      <c r="F625" s="1">
        <v>42009</v>
      </c>
      <c r="G625" s="1" t="str">
        <f>TEXT(pizza_sales[[#This Row],[order_date]],"dddd")</f>
        <v>Monday</v>
      </c>
      <c r="H625" s="2">
        <v>36526.608715277776</v>
      </c>
      <c r="I625">
        <v>20.75</v>
      </c>
      <c r="J625">
        <v>20.75</v>
      </c>
      <c r="K625" t="s">
        <v>21</v>
      </c>
      <c r="L625" t="s">
        <v>33</v>
      </c>
      <c r="M625" t="s">
        <v>34</v>
      </c>
      <c r="N625" t="s">
        <v>35</v>
      </c>
    </row>
    <row r="626" spans="1:14" x14ac:dyDescent="0.3">
      <c r="A626">
        <v>625</v>
      </c>
      <c r="B626">
        <v>275</v>
      </c>
      <c r="C626">
        <f>1/COUNTIF(pizza_sales[[#All],[order_id]],pizza_sales[[#This Row],[order_id]])</f>
        <v>0.25</v>
      </c>
      <c r="D626" t="s">
        <v>138</v>
      </c>
      <c r="E626">
        <v>1</v>
      </c>
      <c r="F626" s="1">
        <v>42009</v>
      </c>
      <c r="G626" s="1" t="str">
        <f>TEXT(pizza_sales[[#This Row],[order_date]],"dddd")</f>
        <v>Monday</v>
      </c>
      <c r="H626" s="2">
        <v>36526.609884259262</v>
      </c>
      <c r="I626">
        <v>20.5</v>
      </c>
      <c r="J626">
        <v>20.5</v>
      </c>
      <c r="K626" t="s">
        <v>21</v>
      </c>
      <c r="L626" t="s">
        <v>14</v>
      </c>
      <c r="M626" t="s">
        <v>18</v>
      </c>
      <c r="N626" t="s">
        <v>19</v>
      </c>
    </row>
    <row r="627" spans="1:14" x14ac:dyDescent="0.3">
      <c r="A627">
        <v>626</v>
      </c>
      <c r="B627">
        <v>275</v>
      </c>
      <c r="C627">
        <f>1/COUNTIF(pizza_sales[[#All],[order_id]],pizza_sales[[#This Row],[order_id]])</f>
        <v>0.25</v>
      </c>
      <c r="D627" t="s">
        <v>20</v>
      </c>
      <c r="E627">
        <v>1</v>
      </c>
      <c r="F627" s="1">
        <v>42009</v>
      </c>
      <c r="G627" s="1" t="str">
        <f>TEXT(pizza_sales[[#This Row],[order_date]],"dddd")</f>
        <v>Monday</v>
      </c>
      <c r="H627" s="2">
        <v>36526.609884259262</v>
      </c>
      <c r="I627">
        <v>18.5</v>
      </c>
      <c r="J627">
        <v>18.5</v>
      </c>
      <c r="K627" t="s">
        <v>21</v>
      </c>
      <c r="L627" t="s">
        <v>22</v>
      </c>
      <c r="M627" t="s">
        <v>23</v>
      </c>
      <c r="N627" t="s">
        <v>24</v>
      </c>
    </row>
    <row r="628" spans="1:14" x14ac:dyDescent="0.3">
      <c r="A628">
        <v>627</v>
      </c>
      <c r="B628">
        <v>275</v>
      </c>
      <c r="C628">
        <f>1/COUNTIF(pizza_sales[[#All],[order_id]],pizza_sales[[#This Row],[order_id]])</f>
        <v>0.25</v>
      </c>
      <c r="D628" t="s">
        <v>126</v>
      </c>
      <c r="E628">
        <v>1</v>
      </c>
      <c r="F628" s="1">
        <v>42009</v>
      </c>
      <c r="G628" s="1" t="str">
        <f>TEXT(pizza_sales[[#This Row],[order_date]],"dddd")</f>
        <v>Monday</v>
      </c>
      <c r="H628" s="2">
        <v>36526.609884259262</v>
      </c>
      <c r="I628">
        <v>9.75</v>
      </c>
      <c r="J628">
        <v>9.75</v>
      </c>
      <c r="K628" t="s">
        <v>41</v>
      </c>
      <c r="L628" t="s">
        <v>14</v>
      </c>
      <c r="M628" t="s">
        <v>78</v>
      </c>
      <c r="N628" t="s">
        <v>79</v>
      </c>
    </row>
    <row r="629" spans="1:14" x14ac:dyDescent="0.3">
      <c r="A629">
        <v>628</v>
      </c>
      <c r="B629">
        <v>275</v>
      </c>
      <c r="C629">
        <f>1/COUNTIF(pizza_sales[[#All],[order_id]],pizza_sales[[#This Row],[order_id]])</f>
        <v>0.25</v>
      </c>
      <c r="D629" t="s">
        <v>121</v>
      </c>
      <c r="E629">
        <v>1</v>
      </c>
      <c r="F629" s="1">
        <v>42009</v>
      </c>
      <c r="G629" s="1" t="str">
        <f>TEXT(pizza_sales[[#This Row],[order_date]],"dddd")</f>
        <v>Monday</v>
      </c>
      <c r="H629" s="2">
        <v>36526.609884259262</v>
      </c>
      <c r="I629">
        <v>16.25</v>
      </c>
      <c r="J629">
        <v>16.25</v>
      </c>
      <c r="K629" t="s">
        <v>13</v>
      </c>
      <c r="L629" t="s">
        <v>26</v>
      </c>
      <c r="M629" t="s">
        <v>114</v>
      </c>
      <c r="N629" t="s">
        <v>115</v>
      </c>
    </row>
    <row r="630" spans="1:14" x14ac:dyDescent="0.3">
      <c r="A630">
        <v>629</v>
      </c>
      <c r="B630">
        <v>276</v>
      </c>
      <c r="C630">
        <f>1/COUNTIF(pizza_sales[[#All],[order_id]],pizza_sales[[#This Row],[order_id]])</f>
        <v>0.5</v>
      </c>
      <c r="D630" t="s">
        <v>20</v>
      </c>
      <c r="E630">
        <v>1</v>
      </c>
      <c r="F630" s="1">
        <v>42009</v>
      </c>
      <c r="G630" s="1" t="str">
        <f>TEXT(pizza_sales[[#This Row],[order_date]],"dddd")</f>
        <v>Monday</v>
      </c>
      <c r="H630" s="2">
        <v>36526.637708333335</v>
      </c>
      <c r="I630">
        <v>18.5</v>
      </c>
      <c r="J630">
        <v>18.5</v>
      </c>
      <c r="K630" t="s">
        <v>21</v>
      </c>
      <c r="L630" t="s">
        <v>22</v>
      </c>
      <c r="M630" t="s">
        <v>23</v>
      </c>
      <c r="N630" t="s">
        <v>24</v>
      </c>
    </row>
    <row r="631" spans="1:14" x14ac:dyDescent="0.3">
      <c r="A631">
        <v>630</v>
      </c>
      <c r="B631">
        <v>276</v>
      </c>
      <c r="C631">
        <f>1/COUNTIF(pizza_sales[[#All],[order_id]],pizza_sales[[#This Row],[order_id]])</f>
        <v>0.5</v>
      </c>
      <c r="D631" t="s">
        <v>59</v>
      </c>
      <c r="E631">
        <v>1</v>
      </c>
      <c r="F631" s="1">
        <v>42009</v>
      </c>
      <c r="G631" s="1" t="str">
        <f>TEXT(pizza_sales[[#This Row],[order_date]],"dddd")</f>
        <v>Monday</v>
      </c>
      <c r="H631" s="2">
        <v>36526.637708333335</v>
      </c>
      <c r="I631">
        <v>20.75</v>
      </c>
      <c r="J631">
        <v>20.75</v>
      </c>
      <c r="K631" t="s">
        <v>21</v>
      </c>
      <c r="L631" t="s">
        <v>26</v>
      </c>
      <c r="M631" t="s">
        <v>60</v>
      </c>
      <c r="N631" t="s">
        <v>61</v>
      </c>
    </row>
    <row r="632" spans="1:14" x14ac:dyDescent="0.3">
      <c r="A632">
        <v>631</v>
      </c>
      <c r="B632">
        <v>277</v>
      </c>
      <c r="C632">
        <f>1/COUNTIF(pizza_sales[[#All],[order_id]],pizza_sales[[#This Row],[order_id]])</f>
        <v>1</v>
      </c>
      <c r="D632" t="s">
        <v>99</v>
      </c>
      <c r="E632">
        <v>1</v>
      </c>
      <c r="F632" s="1">
        <v>42009</v>
      </c>
      <c r="G632" s="1" t="str">
        <f>TEXT(pizza_sales[[#This Row],[order_date]],"dddd")</f>
        <v>Monday</v>
      </c>
      <c r="H632" s="2">
        <v>36526.654050925928</v>
      </c>
      <c r="I632">
        <v>14.75</v>
      </c>
      <c r="J632">
        <v>14.75</v>
      </c>
      <c r="K632" t="s">
        <v>13</v>
      </c>
      <c r="L632" t="s">
        <v>22</v>
      </c>
      <c r="M632" t="s">
        <v>91</v>
      </c>
      <c r="N632" t="s">
        <v>92</v>
      </c>
    </row>
    <row r="633" spans="1:14" x14ac:dyDescent="0.3">
      <c r="A633">
        <v>632</v>
      </c>
      <c r="B633">
        <v>278</v>
      </c>
      <c r="C633">
        <f>1/COUNTIF(pizza_sales[[#All],[order_id]],pizza_sales[[#This Row],[order_id]])</f>
        <v>0.5</v>
      </c>
      <c r="D633" t="s">
        <v>159</v>
      </c>
      <c r="E633">
        <v>1</v>
      </c>
      <c r="F633" s="1">
        <v>42009</v>
      </c>
      <c r="G633" s="1" t="str">
        <f>TEXT(pizza_sales[[#This Row],[order_date]],"dddd")</f>
        <v>Monday</v>
      </c>
      <c r="H633" s="2">
        <v>36526.659270833334</v>
      </c>
      <c r="I633">
        <v>16.75</v>
      </c>
      <c r="J633">
        <v>16.75</v>
      </c>
      <c r="K633" t="s">
        <v>13</v>
      </c>
      <c r="L633" t="s">
        <v>22</v>
      </c>
      <c r="M633" t="s">
        <v>101</v>
      </c>
      <c r="N633" t="s">
        <v>102</v>
      </c>
    </row>
    <row r="634" spans="1:14" x14ac:dyDescent="0.3">
      <c r="A634">
        <v>633</v>
      </c>
      <c r="B634">
        <v>278</v>
      </c>
      <c r="C634">
        <f>1/COUNTIF(pizza_sales[[#All],[order_id]],pizza_sales[[#This Row],[order_id]])</f>
        <v>0.5</v>
      </c>
      <c r="D634" t="s">
        <v>69</v>
      </c>
      <c r="E634">
        <v>1</v>
      </c>
      <c r="F634" s="1">
        <v>42009</v>
      </c>
      <c r="G634" s="1" t="str">
        <f>TEXT(pizza_sales[[#This Row],[order_date]],"dddd")</f>
        <v>Monday</v>
      </c>
      <c r="H634" s="2">
        <v>36526.659270833334</v>
      </c>
      <c r="I634">
        <v>20.75</v>
      </c>
      <c r="J634">
        <v>20.75</v>
      </c>
      <c r="K634" t="s">
        <v>21</v>
      </c>
      <c r="L634" t="s">
        <v>33</v>
      </c>
      <c r="M634" t="s">
        <v>70</v>
      </c>
      <c r="N634" t="s">
        <v>71</v>
      </c>
    </row>
    <row r="635" spans="1:14" x14ac:dyDescent="0.3">
      <c r="A635">
        <v>634</v>
      </c>
      <c r="B635">
        <v>279</v>
      </c>
      <c r="C635">
        <f>1/COUNTIF(pizza_sales[[#All],[order_id]],pizza_sales[[#This Row],[order_id]])</f>
        <v>0.5</v>
      </c>
      <c r="D635" t="s">
        <v>76</v>
      </c>
      <c r="E635">
        <v>1</v>
      </c>
      <c r="F635" s="1">
        <v>42009</v>
      </c>
      <c r="G635" s="1" t="str">
        <f>TEXT(pizza_sales[[#This Row],[order_date]],"dddd")</f>
        <v>Monday</v>
      </c>
      <c r="H635" s="2">
        <v>36526.6715625</v>
      </c>
      <c r="I635">
        <v>16.75</v>
      </c>
      <c r="J635">
        <v>16.75</v>
      </c>
      <c r="K635" t="s">
        <v>13</v>
      </c>
      <c r="L635" t="s">
        <v>33</v>
      </c>
      <c r="M635" t="s">
        <v>74</v>
      </c>
      <c r="N635" t="s">
        <v>75</v>
      </c>
    </row>
    <row r="636" spans="1:14" x14ac:dyDescent="0.3">
      <c r="A636">
        <v>635</v>
      </c>
      <c r="B636">
        <v>279</v>
      </c>
      <c r="C636">
        <f>1/COUNTIF(pizza_sales[[#All],[order_id]],pizza_sales[[#This Row],[order_id]])</f>
        <v>0.5</v>
      </c>
      <c r="D636" t="s">
        <v>134</v>
      </c>
      <c r="E636">
        <v>1</v>
      </c>
      <c r="F636" s="1">
        <v>42009</v>
      </c>
      <c r="G636" s="1" t="str">
        <f>TEXT(pizza_sales[[#This Row],[order_date]],"dddd")</f>
        <v>Monday</v>
      </c>
      <c r="H636" s="2">
        <v>36526.6715625</v>
      </c>
      <c r="I636">
        <v>16.75</v>
      </c>
      <c r="J636">
        <v>16.75</v>
      </c>
      <c r="K636" t="s">
        <v>13</v>
      </c>
      <c r="L636" t="s">
        <v>33</v>
      </c>
      <c r="M636" t="s">
        <v>124</v>
      </c>
      <c r="N636" t="s">
        <v>125</v>
      </c>
    </row>
    <row r="637" spans="1:14" x14ac:dyDescent="0.3">
      <c r="A637">
        <v>636</v>
      </c>
      <c r="B637">
        <v>280</v>
      </c>
      <c r="C637">
        <f>1/COUNTIF(pizza_sales[[#All],[order_id]],pizza_sales[[#This Row],[order_id]])</f>
        <v>0.5</v>
      </c>
      <c r="D637" t="s">
        <v>145</v>
      </c>
      <c r="E637">
        <v>1</v>
      </c>
      <c r="F637" s="1">
        <v>42009</v>
      </c>
      <c r="G637" s="1" t="str">
        <f>TEXT(pizza_sales[[#This Row],[order_date]],"dddd")</f>
        <v>Monday</v>
      </c>
      <c r="H637" s="2">
        <v>36526.680821759262</v>
      </c>
      <c r="I637">
        <v>16.5</v>
      </c>
      <c r="J637">
        <v>16.5</v>
      </c>
      <c r="K637" t="s">
        <v>13</v>
      </c>
      <c r="L637" t="s">
        <v>26</v>
      </c>
      <c r="M637" t="s">
        <v>38</v>
      </c>
      <c r="N637" t="s">
        <v>39</v>
      </c>
    </row>
    <row r="638" spans="1:14" x14ac:dyDescent="0.3">
      <c r="A638">
        <v>637</v>
      </c>
      <c r="B638">
        <v>280</v>
      </c>
      <c r="C638">
        <f>1/COUNTIF(pizza_sales[[#All],[order_id]],pizza_sales[[#This Row],[order_id]])</f>
        <v>0.5</v>
      </c>
      <c r="D638" t="s">
        <v>154</v>
      </c>
      <c r="E638">
        <v>1</v>
      </c>
      <c r="F638" s="1">
        <v>42009</v>
      </c>
      <c r="G638" s="1" t="str">
        <f>TEXT(pizza_sales[[#This Row],[order_date]],"dddd")</f>
        <v>Monday</v>
      </c>
      <c r="H638" s="2">
        <v>36526.680821759262</v>
      </c>
      <c r="I638">
        <v>16</v>
      </c>
      <c r="J638">
        <v>16</v>
      </c>
      <c r="K638" t="s">
        <v>13</v>
      </c>
      <c r="L638" t="s">
        <v>22</v>
      </c>
      <c r="M638" t="s">
        <v>66</v>
      </c>
      <c r="N638" t="s">
        <v>67</v>
      </c>
    </row>
    <row r="639" spans="1:14" x14ac:dyDescent="0.3">
      <c r="A639">
        <v>638</v>
      </c>
      <c r="B639">
        <v>281</v>
      </c>
      <c r="C639">
        <f>1/COUNTIF(pizza_sales[[#All],[order_id]],pizza_sales[[#This Row],[order_id]])</f>
        <v>1</v>
      </c>
      <c r="D639" t="s">
        <v>149</v>
      </c>
      <c r="E639">
        <v>1</v>
      </c>
      <c r="F639" s="1">
        <v>42009</v>
      </c>
      <c r="G639" s="1" t="str">
        <f>TEXT(pizza_sales[[#This Row],[order_date]],"dddd")</f>
        <v>Monday</v>
      </c>
      <c r="H639" s="2">
        <v>36526.690138888887</v>
      </c>
      <c r="I639">
        <v>12.25</v>
      </c>
      <c r="J639">
        <v>12.25</v>
      </c>
      <c r="K639" t="s">
        <v>41</v>
      </c>
      <c r="L639" t="s">
        <v>26</v>
      </c>
      <c r="M639" t="s">
        <v>114</v>
      </c>
      <c r="N639" t="s">
        <v>115</v>
      </c>
    </row>
    <row r="640" spans="1:14" x14ac:dyDescent="0.3">
      <c r="A640">
        <v>639</v>
      </c>
      <c r="B640">
        <v>282</v>
      </c>
      <c r="C640">
        <f>1/COUNTIF(pizza_sales[[#All],[order_id]],pizza_sales[[#This Row],[order_id]])</f>
        <v>0.25</v>
      </c>
      <c r="D640" t="s">
        <v>50</v>
      </c>
      <c r="E640">
        <v>1</v>
      </c>
      <c r="F640" s="1">
        <v>42009</v>
      </c>
      <c r="G640" s="1" t="str">
        <f>TEXT(pizza_sales[[#This Row],[order_date]],"dddd")</f>
        <v>Monday</v>
      </c>
      <c r="H640" s="2">
        <v>36526.70113425926</v>
      </c>
      <c r="I640">
        <v>12</v>
      </c>
      <c r="J640">
        <v>12</v>
      </c>
      <c r="K640" t="s">
        <v>41</v>
      </c>
      <c r="L640" t="s">
        <v>14</v>
      </c>
      <c r="M640" t="s">
        <v>18</v>
      </c>
      <c r="N640" t="s">
        <v>19</v>
      </c>
    </row>
    <row r="641" spans="1:14" x14ac:dyDescent="0.3">
      <c r="A641">
        <v>640</v>
      </c>
      <c r="B641">
        <v>282</v>
      </c>
      <c r="C641">
        <f>1/COUNTIF(pizza_sales[[#All],[order_id]],pizza_sales[[#This Row],[order_id]])</f>
        <v>0.25</v>
      </c>
      <c r="D641" t="s">
        <v>20</v>
      </c>
      <c r="E641">
        <v>1</v>
      </c>
      <c r="F641" s="1">
        <v>42009</v>
      </c>
      <c r="G641" s="1" t="str">
        <f>TEXT(pizza_sales[[#This Row],[order_date]],"dddd")</f>
        <v>Monday</v>
      </c>
      <c r="H641" s="2">
        <v>36526.70113425926</v>
      </c>
      <c r="I641">
        <v>18.5</v>
      </c>
      <c r="J641">
        <v>18.5</v>
      </c>
      <c r="K641" t="s">
        <v>21</v>
      </c>
      <c r="L641" t="s">
        <v>22</v>
      </c>
      <c r="M641" t="s">
        <v>23</v>
      </c>
      <c r="N641" t="s">
        <v>24</v>
      </c>
    </row>
    <row r="642" spans="1:14" x14ac:dyDescent="0.3">
      <c r="A642">
        <v>641</v>
      </c>
      <c r="B642">
        <v>282</v>
      </c>
      <c r="C642">
        <f>1/COUNTIF(pizza_sales[[#All],[order_id]],pizza_sales[[#This Row],[order_id]])</f>
        <v>0.25</v>
      </c>
      <c r="D642" t="s">
        <v>135</v>
      </c>
      <c r="E642">
        <v>1</v>
      </c>
      <c r="F642" s="1">
        <v>42009</v>
      </c>
      <c r="G642" s="1" t="str">
        <f>TEXT(pizza_sales[[#This Row],[order_date]],"dddd")</f>
        <v>Monday</v>
      </c>
      <c r="H642" s="2">
        <v>36526.70113425926</v>
      </c>
      <c r="I642">
        <v>20.75</v>
      </c>
      <c r="J642">
        <v>20.75</v>
      </c>
      <c r="K642" t="s">
        <v>21</v>
      </c>
      <c r="L642" t="s">
        <v>26</v>
      </c>
      <c r="M642" t="s">
        <v>107</v>
      </c>
      <c r="N642" t="s">
        <v>108</v>
      </c>
    </row>
    <row r="643" spans="1:14" x14ac:dyDescent="0.3">
      <c r="A643">
        <v>642</v>
      </c>
      <c r="B643">
        <v>282</v>
      </c>
      <c r="C643">
        <f>1/COUNTIF(pizza_sales[[#All],[order_id]],pizza_sales[[#This Row],[order_id]])</f>
        <v>0.25</v>
      </c>
      <c r="D643" t="s">
        <v>62</v>
      </c>
      <c r="E643">
        <v>1</v>
      </c>
      <c r="F643" s="1">
        <v>42009</v>
      </c>
      <c r="G643" s="1" t="str">
        <f>TEXT(pizza_sales[[#This Row],[order_date]],"dddd")</f>
        <v>Monday</v>
      </c>
      <c r="H643" s="2">
        <v>36526.70113425926</v>
      </c>
      <c r="I643">
        <v>20.75</v>
      </c>
      <c r="J643">
        <v>20.75</v>
      </c>
      <c r="K643" t="s">
        <v>21</v>
      </c>
      <c r="L643" t="s">
        <v>22</v>
      </c>
      <c r="M643" t="s">
        <v>63</v>
      </c>
      <c r="N643" t="s">
        <v>64</v>
      </c>
    </row>
    <row r="644" spans="1:14" x14ac:dyDescent="0.3">
      <c r="A644">
        <v>643</v>
      </c>
      <c r="B644">
        <v>283</v>
      </c>
      <c r="C644">
        <f>1/COUNTIF(pizza_sales[[#All],[order_id]],pizza_sales[[#This Row],[order_id]])</f>
        <v>1</v>
      </c>
      <c r="D644" t="s">
        <v>163</v>
      </c>
      <c r="E644">
        <v>1</v>
      </c>
      <c r="F644" s="1">
        <v>42009</v>
      </c>
      <c r="G644" s="1" t="str">
        <f>TEXT(pizza_sales[[#This Row],[order_date]],"dddd")</f>
        <v>Monday</v>
      </c>
      <c r="H644" s="2">
        <v>36526.702581018515</v>
      </c>
      <c r="I644">
        <v>16</v>
      </c>
      <c r="J644">
        <v>16</v>
      </c>
      <c r="K644" t="s">
        <v>13</v>
      </c>
      <c r="L644" t="s">
        <v>14</v>
      </c>
      <c r="M644" t="s">
        <v>94</v>
      </c>
      <c r="N644" t="s">
        <v>95</v>
      </c>
    </row>
    <row r="645" spans="1:14" x14ac:dyDescent="0.3">
      <c r="A645">
        <v>644</v>
      </c>
      <c r="B645">
        <v>284</v>
      </c>
      <c r="C645">
        <f>1/COUNTIF(pizza_sales[[#All],[order_id]],pizza_sales[[#This Row],[order_id]])</f>
        <v>0.33333333333333331</v>
      </c>
      <c r="D645" t="s">
        <v>99</v>
      </c>
      <c r="E645">
        <v>1</v>
      </c>
      <c r="F645" s="1">
        <v>42009</v>
      </c>
      <c r="G645" s="1" t="str">
        <f>TEXT(pizza_sales[[#This Row],[order_date]],"dddd")</f>
        <v>Monday</v>
      </c>
      <c r="H645" s="2">
        <v>36526.707129629627</v>
      </c>
      <c r="I645">
        <v>14.75</v>
      </c>
      <c r="J645">
        <v>14.75</v>
      </c>
      <c r="K645" t="s">
        <v>13</v>
      </c>
      <c r="L645" t="s">
        <v>22</v>
      </c>
      <c r="M645" t="s">
        <v>91</v>
      </c>
      <c r="N645" t="s">
        <v>92</v>
      </c>
    </row>
    <row r="646" spans="1:14" x14ac:dyDescent="0.3">
      <c r="A646">
        <v>645</v>
      </c>
      <c r="B646">
        <v>284</v>
      </c>
      <c r="C646">
        <f>1/COUNTIF(pizza_sales[[#All],[order_id]],pizza_sales[[#This Row],[order_id]])</f>
        <v>0.33333333333333331</v>
      </c>
      <c r="D646" t="s">
        <v>132</v>
      </c>
      <c r="E646">
        <v>1</v>
      </c>
      <c r="F646" s="1">
        <v>42009</v>
      </c>
      <c r="G646" s="1" t="str">
        <f>TEXT(pizza_sales[[#This Row],[order_date]],"dddd")</f>
        <v>Monday</v>
      </c>
      <c r="H646" s="2">
        <v>36526.707129629627</v>
      </c>
      <c r="I646">
        <v>10.5</v>
      </c>
      <c r="J646">
        <v>10.5</v>
      </c>
      <c r="K646" t="s">
        <v>41</v>
      </c>
      <c r="L646" t="s">
        <v>14</v>
      </c>
      <c r="M646" t="s">
        <v>15</v>
      </c>
      <c r="N646" t="s">
        <v>16</v>
      </c>
    </row>
    <row r="647" spans="1:14" x14ac:dyDescent="0.3">
      <c r="A647">
        <v>646</v>
      </c>
      <c r="B647">
        <v>284</v>
      </c>
      <c r="C647">
        <f>1/COUNTIF(pizza_sales[[#All],[order_id]],pizza_sales[[#This Row],[order_id]])</f>
        <v>0.33333333333333331</v>
      </c>
      <c r="D647" t="s">
        <v>163</v>
      </c>
      <c r="E647">
        <v>1</v>
      </c>
      <c r="F647" s="1">
        <v>42009</v>
      </c>
      <c r="G647" s="1" t="str">
        <f>TEXT(pizza_sales[[#This Row],[order_date]],"dddd")</f>
        <v>Monday</v>
      </c>
      <c r="H647" s="2">
        <v>36526.707129629627</v>
      </c>
      <c r="I647">
        <v>16</v>
      </c>
      <c r="J647">
        <v>16</v>
      </c>
      <c r="K647" t="s">
        <v>13</v>
      </c>
      <c r="L647" t="s">
        <v>14</v>
      </c>
      <c r="M647" t="s">
        <v>94</v>
      </c>
      <c r="N647" t="s">
        <v>95</v>
      </c>
    </row>
    <row r="648" spans="1:14" x14ac:dyDescent="0.3">
      <c r="A648">
        <v>647</v>
      </c>
      <c r="B648">
        <v>285</v>
      </c>
      <c r="C648">
        <f>1/COUNTIF(pizza_sales[[#All],[order_id]],pizza_sales[[#This Row],[order_id]])</f>
        <v>1</v>
      </c>
      <c r="D648" t="s">
        <v>37</v>
      </c>
      <c r="E648">
        <v>1</v>
      </c>
      <c r="F648" s="1">
        <v>42009</v>
      </c>
      <c r="G648" s="1" t="str">
        <f>TEXT(pizza_sales[[#This Row],[order_date]],"dddd")</f>
        <v>Monday</v>
      </c>
      <c r="H648" s="2">
        <v>36526.707384259258</v>
      </c>
      <c r="I648">
        <v>20.75</v>
      </c>
      <c r="J648">
        <v>20.75</v>
      </c>
      <c r="K648" t="s">
        <v>21</v>
      </c>
      <c r="L648" t="s">
        <v>26</v>
      </c>
      <c r="M648" t="s">
        <v>38</v>
      </c>
      <c r="N648" t="s">
        <v>39</v>
      </c>
    </row>
    <row r="649" spans="1:14" x14ac:dyDescent="0.3">
      <c r="A649">
        <v>648</v>
      </c>
      <c r="B649">
        <v>286</v>
      </c>
      <c r="C649">
        <f>1/COUNTIF(pizza_sales[[#All],[order_id]],pizza_sales[[#This Row],[order_id]])</f>
        <v>0.5</v>
      </c>
      <c r="D649" t="s">
        <v>36</v>
      </c>
      <c r="E649">
        <v>1</v>
      </c>
      <c r="F649" s="1">
        <v>42009</v>
      </c>
      <c r="G649" s="1" t="str">
        <f>TEXT(pizza_sales[[#This Row],[order_date]],"dddd")</f>
        <v>Monday</v>
      </c>
      <c r="H649" s="2">
        <v>36526.709293981483</v>
      </c>
      <c r="I649">
        <v>16.5</v>
      </c>
      <c r="J649">
        <v>16.5</v>
      </c>
      <c r="K649" t="s">
        <v>13</v>
      </c>
      <c r="L649" t="s">
        <v>26</v>
      </c>
      <c r="M649" t="s">
        <v>27</v>
      </c>
      <c r="N649" t="s">
        <v>28</v>
      </c>
    </row>
    <row r="650" spans="1:14" x14ac:dyDescent="0.3">
      <c r="A650">
        <v>649</v>
      </c>
      <c r="B650">
        <v>286</v>
      </c>
      <c r="C650">
        <f>1/COUNTIF(pizza_sales[[#All],[order_id]],pizza_sales[[#This Row],[order_id]])</f>
        <v>0.5</v>
      </c>
      <c r="D650" t="s">
        <v>135</v>
      </c>
      <c r="E650">
        <v>1</v>
      </c>
      <c r="F650" s="1">
        <v>42009</v>
      </c>
      <c r="G650" s="1" t="str">
        <f>TEXT(pizza_sales[[#This Row],[order_date]],"dddd")</f>
        <v>Monday</v>
      </c>
      <c r="H650" s="2">
        <v>36526.709293981483</v>
      </c>
      <c r="I650">
        <v>20.75</v>
      </c>
      <c r="J650">
        <v>20.75</v>
      </c>
      <c r="K650" t="s">
        <v>21</v>
      </c>
      <c r="L650" t="s">
        <v>26</v>
      </c>
      <c r="M650" t="s">
        <v>107</v>
      </c>
      <c r="N650" t="s">
        <v>108</v>
      </c>
    </row>
    <row r="651" spans="1:14" x14ac:dyDescent="0.3">
      <c r="A651">
        <v>650</v>
      </c>
      <c r="B651">
        <v>287</v>
      </c>
      <c r="C651">
        <f>1/COUNTIF(pizza_sales[[#All],[order_id]],pizza_sales[[#This Row],[order_id]])</f>
        <v>0.25</v>
      </c>
      <c r="D651" t="s">
        <v>36</v>
      </c>
      <c r="E651">
        <v>1</v>
      </c>
      <c r="F651" s="1">
        <v>42009</v>
      </c>
      <c r="G651" s="1" t="str">
        <f>TEXT(pizza_sales[[#This Row],[order_date]],"dddd")</f>
        <v>Monday</v>
      </c>
      <c r="H651" s="2">
        <v>36526.729270833333</v>
      </c>
      <c r="I651">
        <v>16.5</v>
      </c>
      <c r="J651">
        <v>16.5</v>
      </c>
      <c r="K651" t="s">
        <v>13</v>
      </c>
      <c r="L651" t="s">
        <v>26</v>
      </c>
      <c r="M651" t="s">
        <v>27</v>
      </c>
      <c r="N651" t="s">
        <v>28</v>
      </c>
    </row>
    <row r="652" spans="1:14" x14ac:dyDescent="0.3">
      <c r="A652">
        <v>651</v>
      </c>
      <c r="B652">
        <v>287</v>
      </c>
      <c r="C652">
        <f>1/COUNTIF(pizza_sales[[#All],[order_id]],pizza_sales[[#This Row],[order_id]])</f>
        <v>0.25</v>
      </c>
      <c r="D652" t="s">
        <v>148</v>
      </c>
      <c r="E652">
        <v>1</v>
      </c>
      <c r="F652" s="1">
        <v>42009</v>
      </c>
      <c r="G652" s="1" t="str">
        <f>TEXT(pizza_sales[[#This Row],[order_date]],"dddd")</f>
        <v>Monday</v>
      </c>
      <c r="H652" s="2">
        <v>36526.729270833333</v>
      </c>
      <c r="I652">
        <v>14.5</v>
      </c>
      <c r="J652">
        <v>14.5</v>
      </c>
      <c r="K652" t="s">
        <v>13</v>
      </c>
      <c r="L652" t="s">
        <v>14</v>
      </c>
      <c r="M652" t="s">
        <v>130</v>
      </c>
      <c r="N652" t="s">
        <v>131</v>
      </c>
    </row>
    <row r="653" spans="1:14" x14ac:dyDescent="0.3">
      <c r="A653">
        <v>652</v>
      </c>
      <c r="B653">
        <v>287</v>
      </c>
      <c r="C653">
        <f>1/COUNTIF(pizza_sales[[#All],[order_id]],pizza_sales[[#This Row],[order_id]])</f>
        <v>0.25</v>
      </c>
      <c r="D653" t="s">
        <v>119</v>
      </c>
      <c r="E653">
        <v>1</v>
      </c>
      <c r="F653" s="1">
        <v>42009</v>
      </c>
      <c r="G653" s="1" t="str">
        <f>TEXT(pizza_sales[[#This Row],[order_date]],"dddd")</f>
        <v>Monday</v>
      </c>
      <c r="H653" s="2">
        <v>36526.729270833333</v>
      </c>
      <c r="I653">
        <v>12.5</v>
      </c>
      <c r="J653">
        <v>12.5</v>
      </c>
      <c r="K653" t="s">
        <v>13</v>
      </c>
      <c r="L653" t="s">
        <v>14</v>
      </c>
      <c r="M653" t="s">
        <v>78</v>
      </c>
      <c r="N653" t="s">
        <v>79</v>
      </c>
    </row>
    <row r="654" spans="1:14" x14ac:dyDescent="0.3">
      <c r="A654">
        <v>653</v>
      </c>
      <c r="B654">
        <v>287</v>
      </c>
      <c r="C654">
        <f>1/COUNTIF(pizza_sales[[#All],[order_id]],pizza_sales[[#This Row],[order_id]])</f>
        <v>0.25</v>
      </c>
      <c r="D654" t="s">
        <v>149</v>
      </c>
      <c r="E654">
        <v>1</v>
      </c>
      <c r="F654" s="1">
        <v>42009</v>
      </c>
      <c r="G654" s="1" t="str">
        <f>TEXT(pizza_sales[[#This Row],[order_date]],"dddd")</f>
        <v>Monday</v>
      </c>
      <c r="H654" s="2">
        <v>36526.729270833333</v>
      </c>
      <c r="I654">
        <v>12.25</v>
      </c>
      <c r="J654">
        <v>12.25</v>
      </c>
      <c r="K654" t="s">
        <v>41</v>
      </c>
      <c r="L654" t="s">
        <v>26</v>
      </c>
      <c r="M654" t="s">
        <v>114</v>
      </c>
      <c r="N654" t="s">
        <v>115</v>
      </c>
    </row>
    <row r="655" spans="1:14" x14ac:dyDescent="0.3">
      <c r="A655">
        <v>654</v>
      </c>
      <c r="B655">
        <v>288</v>
      </c>
      <c r="C655">
        <f>1/COUNTIF(pizza_sales[[#All],[order_id]],pizza_sales[[#This Row],[order_id]])</f>
        <v>0.33333333333333331</v>
      </c>
      <c r="D655" t="s">
        <v>165</v>
      </c>
      <c r="E655">
        <v>1</v>
      </c>
      <c r="F655" s="1">
        <v>42009</v>
      </c>
      <c r="G655" s="1" t="str">
        <f>TEXT(pizza_sales[[#This Row],[order_date]],"dddd")</f>
        <v>Monday</v>
      </c>
      <c r="H655" s="2">
        <v>36526.731064814812</v>
      </c>
      <c r="I655">
        <v>23.65</v>
      </c>
      <c r="J655">
        <v>23.65</v>
      </c>
      <c r="K655" t="s">
        <v>41</v>
      </c>
      <c r="L655" t="s">
        <v>26</v>
      </c>
      <c r="M655" t="s">
        <v>166</v>
      </c>
      <c r="N655" t="s">
        <v>167</v>
      </c>
    </row>
    <row r="656" spans="1:14" x14ac:dyDescent="0.3">
      <c r="A656">
        <v>655</v>
      </c>
      <c r="B656">
        <v>288</v>
      </c>
      <c r="C656">
        <f>1/COUNTIF(pizza_sales[[#All],[order_id]],pizza_sales[[#This Row],[order_id]])</f>
        <v>0.33333333333333331</v>
      </c>
      <c r="D656" t="s">
        <v>37</v>
      </c>
      <c r="E656">
        <v>1</v>
      </c>
      <c r="F656" s="1">
        <v>42009</v>
      </c>
      <c r="G656" s="1" t="str">
        <f>TEXT(pizza_sales[[#This Row],[order_date]],"dddd")</f>
        <v>Monday</v>
      </c>
      <c r="H656" s="2">
        <v>36526.731064814812</v>
      </c>
      <c r="I656">
        <v>20.75</v>
      </c>
      <c r="J656">
        <v>20.75</v>
      </c>
      <c r="K656" t="s">
        <v>21</v>
      </c>
      <c r="L656" t="s">
        <v>26</v>
      </c>
      <c r="M656" t="s">
        <v>38</v>
      </c>
      <c r="N656" t="s">
        <v>39</v>
      </c>
    </row>
    <row r="657" spans="1:14" x14ac:dyDescent="0.3">
      <c r="A657">
        <v>656</v>
      </c>
      <c r="B657">
        <v>288</v>
      </c>
      <c r="C657">
        <f>1/COUNTIF(pizza_sales[[#All],[order_id]],pizza_sales[[#This Row],[order_id]])</f>
        <v>0.33333333333333331</v>
      </c>
      <c r="D657" t="s">
        <v>152</v>
      </c>
      <c r="E657">
        <v>1</v>
      </c>
      <c r="F657" s="1">
        <v>42009</v>
      </c>
      <c r="G657" s="1" t="str">
        <f>TEXT(pizza_sales[[#This Row],[order_date]],"dddd")</f>
        <v>Monday</v>
      </c>
      <c r="H657" s="2">
        <v>36526.731064814812</v>
      </c>
      <c r="I657">
        <v>20.75</v>
      </c>
      <c r="J657">
        <v>20.75</v>
      </c>
      <c r="K657" t="s">
        <v>21</v>
      </c>
      <c r="L657" t="s">
        <v>26</v>
      </c>
      <c r="M657" t="s">
        <v>48</v>
      </c>
      <c r="N657" t="s">
        <v>49</v>
      </c>
    </row>
    <row r="658" spans="1:14" x14ac:dyDescent="0.3">
      <c r="A658">
        <v>657</v>
      </c>
      <c r="B658">
        <v>289</v>
      </c>
      <c r="C658">
        <f>1/COUNTIF(pizza_sales[[#All],[order_id]],pizza_sales[[#This Row],[order_id]])</f>
        <v>1</v>
      </c>
      <c r="D658" t="s">
        <v>20</v>
      </c>
      <c r="E658">
        <v>1</v>
      </c>
      <c r="F658" s="1">
        <v>42009</v>
      </c>
      <c r="G658" s="1" t="str">
        <f>TEXT(pizza_sales[[#This Row],[order_date]],"dddd")</f>
        <v>Monday</v>
      </c>
      <c r="H658" s="2">
        <v>36526.733599537038</v>
      </c>
      <c r="I658">
        <v>18.5</v>
      </c>
      <c r="J658">
        <v>18.5</v>
      </c>
      <c r="K658" t="s">
        <v>21</v>
      </c>
      <c r="L658" t="s">
        <v>22</v>
      </c>
      <c r="M658" t="s">
        <v>23</v>
      </c>
      <c r="N658" t="s">
        <v>24</v>
      </c>
    </row>
    <row r="659" spans="1:14" x14ac:dyDescent="0.3">
      <c r="A659">
        <v>658</v>
      </c>
      <c r="B659">
        <v>290</v>
      </c>
      <c r="C659">
        <f>1/COUNTIF(pizza_sales[[#All],[order_id]],pizza_sales[[#This Row],[order_id]])</f>
        <v>0.5</v>
      </c>
      <c r="D659" t="s">
        <v>50</v>
      </c>
      <c r="E659">
        <v>1</v>
      </c>
      <c r="F659" s="1">
        <v>42009</v>
      </c>
      <c r="G659" s="1" t="str">
        <f>TEXT(pizza_sales[[#This Row],[order_date]],"dddd")</f>
        <v>Monday</v>
      </c>
      <c r="H659" s="2">
        <v>36526.736990740741</v>
      </c>
      <c r="I659">
        <v>12</v>
      </c>
      <c r="J659">
        <v>12</v>
      </c>
      <c r="K659" t="s">
        <v>41</v>
      </c>
      <c r="L659" t="s">
        <v>14</v>
      </c>
      <c r="M659" t="s">
        <v>18</v>
      </c>
      <c r="N659" t="s">
        <v>19</v>
      </c>
    </row>
    <row r="660" spans="1:14" x14ac:dyDescent="0.3">
      <c r="A660">
        <v>659</v>
      </c>
      <c r="B660">
        <v>290</v>
      </c>
      <c r="C660">
        <f>1/COUNTIF(pizza_sales[[#All],[order_id]],pizza_sales[[#This Row],[order_id]])</f>
        <v>0.5</v>
      </c>
      <c r="D660" t="s">
        <v>154</v>
      </c>
      <c r="E660">
        <v>1</v>
      </c>
      <c r="F660" s="1">
        <v>42009</v>
      </c>
      <c r="G660" s="1" t="str">
        <f>TEXT(pizza_sales[[#This Row],[order_date]],"dddd")</f>
        <v>Monday</v>
      </c>
      <c r="H660" s="2">
        <v>36526.736990740741</v>
      </c>
      <c r="I660">
        <v>16</v>
      </c>
      <c r="J660">
        <v>16</v>
      </c>
      <c r="K660" t="s">
        <v>13</v>
      </c>
      <c r="L660" t="s">
        <v>22</v>
      </c>
      <c r="M660" t="s">
        <v>66</v>
      </c>
      <c r="N660" t="s">
        <v>67</v>
      </c>
    </row>
    <row r="661" spans="1:14" x14ac:dyDescent="0.3">
      <c r="A661">
        <v>660</v>
      </c>
      <c r="B661">
        <v>291</v>
      </c>
      <c r="C661">
        <f>1/COUNTIF(pizza_sales[[#All],[order_id]],pizza_sales[[#This Row],[order_id]])</f>
        <v>0.33333333333333331</v>
      </c>
      <c r="D661" t="s">
        <v>72</v>
      </c>
      <c r="E661">
        <v>1</v>
      </c>
      <c r="F661" s="1">
        <v>42009</v>
      </c>
      <c r="G661" s="1" t="str">
        <f>TEXT(pizza_sales[[#This Row],[order_date]],"dddd")</f>
        <v>Monday</v>
      </c>
      <c r="H661" s="2">
        <v>36526.739340277774</v>
      </c>
      <c r="I661">
        <v>20.75</v>
      </c>
      <c r="J661">
        <v>20.75</v>
      </c>
      <c r="K661" t="s">
        <v>21</v>
      </c>
      <c r="L661" t="s">
        <v>33</v>
      </c>
      <c r="M661" t="s">
        <v>42</v>
      </c>
      <c r="N661" t="s">
        <v>43</v>
      </c>
    </row>
    <row r="662" spans="1:14" x14ac:dyDescent="0.3">
      <c r="A662">
        <v>661</v>
      </c>
      <c r="B662">
        <v>291</v>
      </c>
      <c r="C662">
        <f>1/COUNTIF(pizza_sales[[#All],[order_id]],pizza_sales[[#This Row],[order_id]])</f>
        <v>0.33333333333333331</v>
      </c>
      <c r="D662" t="s">
        <v>134</v>
      </c>
      <c r="E662">
        <v>2</v>
      </c>
      <c r="F662" s="1">
        <v>42009</v>
      </c>
      <c r="G662" s="1" t="str">
        <f>TEXT(pizza_sales[[#This Row],[order_date]],"dddd")</f>
        <v>Monday</v>
      </c>
      <c r="H662" s="2">
        <v>36526.739340277774</v>
      </c>
      <c r="I662">
        <v>16.75</v>
      </c>
      <c r="J662">
        <v>33.5</v>
      </c>
      <c r="K662" t="s">
        <v>13</v>
      </c>
      <c r="L662" t="s">
        <v>33</v>
      </c>
      <c r="M662" t="s">
        <v>124</v>
      </c>
      <c r="N662" t="s">
        <v>125</v>
      </c>
    </row>
    <row r="663" spans="1:14" x14ac:dyDescent="0.3">
      <c r="A663">
        <v>662</v>
      </c>
      <c r="B663">
        <v>291</v>
      </c>
      <c r="C663">
        <f>1/COUNTIF(pizza_sales[[#All],[order_id]],pizza_sales[[#This Row],[order_id]])</f>
        <v>0.33333333333333331</v>
      </c>
      <c r="D663" t="s">
        <v>99</v>
      </c>
      <c r="E663">
        <v>1</v>
      </c>
      <c r="F663" s="1">
        <v>42009</v>
      </c>
      <c r="G663" s="1" t="str">
        <f>TEXT(pizza_sales[[#This Row],[order_date]],"dddd")</f>
        <v>Monday</v>
      </c>
      <c r="H663" s="2">
        <v>36526.739340277774</v>
      </c>
      <c r="I663">
        <v>14.75</v>
      </c>
      <c r="J663">
        <v>14.75</v>
      </c>
      <c r="K663" t="s">
        <v>13</v>
      </c>
      <c r="L663" t="s">
        <v>22</v>
      </c>
      <c r="M663" t="s">
        <v>91</v>
      </c>
      <c r="N663" t="s">
        <v>92</v>
      </c>
    </row>
    <row r="664" spans="1:14" x14ac:dyDescent="0.3">
      <c r="A664">
        <v>663</v>
      </c>
      <c r="B664">
        <v>292</v>
      </c>
      <c r="C664">
        <f>1/COUNTIF(pizza_sales[[#All],[order_id]],pizza_sales[[#This Row],[order_id]])</f>
        <v>0.5</v>
      </c>
      <c r="D664" t="s">
        <v>164</v>
      </c>
      <c r="E664">
        <v>1</v>
      </c>
      <c r="F664" s="1">
        <v>42009</v>
      </c>
      <c r="G664" s="1" t="str">
        <f>TEXT(pizza_sales[[#This Row],[order_date]],"dddd")</f>
        <v>Monday</v>
      </c>
      <c r="H664" s="2">
        <v>36526.742349537039</v>
      </c>
      <c r="I664">
        <v>16.5</v>
      </c>
      <c r="J664">
        <v>16.5</v>
      </c>
      <c r="K664" t="s">
        <v>13</v>
      </c>
      <c r="L664" t="s">
        <v>22</v>
      </c>
      <c r="M664" t="s">
        <v>63</v>
      </c>
      <c r="N664" t="s">
        <v>64</v>
      </c>
    </row>
    <row r="665" spans="1:14" x14ac:dyDescent="0.3">
      <c r="A665">
        <v>664</v>
      </c>
      <c r="B665">
        <v>292</v>
      </c>
      <c r="C665">
        <f>1/COUNTIF(pizza_sales[[#All],[order_id]],pizza_sales[[#This Row],[order_id]])</f>
        <v>0.5</v>
      </c>
      <c r="D665" t="s">
        <v>109</v>
      </c>
      <c r="E665">
        <v>1</v>
      </c>
      <c r="F665" s="1">
        <v>42009</v>
      </c>
      <c r="G665" s="1" t="str">
        <f>TEXT(pizza_sales[[#This Row],[order_date]],"dddd")</f>
        <v>Monday</v>
      </c>
      <c r="H665" s="2">
        <v>36526.742349537039</v>
      </c>
      <c r="I665">
        <v>20.25</v>
      </c>
      <c r="J665">
        <v>20.25</v>
      </c>
      <c r="K665" t="s">
        <v>21</v>
      </c>
      <c r="L665" t="s">
        <v>22</v>
      </c>
      <c r="M665" t="s">
        <v>110</v>
      </c>
      <c r="N665" t="s">
        <v>111</v>
      </c>
    </row>
    <row r="666" spans="1:14" x14ac:dyDescent="0.3">
      <c r="A666">
        <v>665</v>
      </c>
      <c r="B666">
        <v>293</v>
      </c>
      <c r="C666">
        <f>1/COUNTIF(pizza_sales[[#All],[order_id]],pizza_sales[[#This Row],[order_id]])</f>
        <v>0.5</v>
      </c>
      <c r="D666" t="s">
        <v>50</v>
      </c>
      <c r="E666">
        <v>1</v>
      </c>
      <c r="F666" s="1">
        <v>42009</v>
      </c>
      <c r="G666" s="1" t="str">
        <f>TEXT(pizza_sales[[#This Row],[order_date]],"dddd")</f>
        <v>Monday</v>
      </c>
      <c r="H666" s="2">
        <v>36526.749050925922</v>
      </c>
      <c r="I666">
        <v>12</v>
      </c>
      <c r="J666">
        <v>12</v>
      </c>
      <c r="K666" t="s">
        <v>41</v>
      </c>
      <c r="L666" t="s">
        <v>14</v>
      </c>
      <c r="M666" t="s">
        <v>18</v>
      </c>
      <c r="N666" t="s">
        <v>19</v>
      </c>
    </row>
    <row r="667" spans="1:14" x14ac:dyDescent="0.3">
      <c r="A667">
        <v>666</v>
      </c>
      <c r="B667">
        <v>293</v>
      </c>
      <c r="C667">
        <f>1/COUNTIF(pizza_sales[[#All],[order_id]],pizza_sales[[#This Row],[order_id]])</f>
        <v>0.5</v>
      </c>
      <c r="D667" t="s">
        <v>100</v>
      </c>
      <c r="E667">
        <v>1</v>
      </c>
      <c r="F667" s="1">
        <v>42009</v>
      </c>
      <c r="G667" s="1" t="str">
        <f>TEXT(pizza_sales[[#This Row],[order_date]],"dddd")</f>
        <v>Monday</v>
      </c>
      <c r="H667" s="2">
        <v>36526.749050925922</v>
      </c>
      <c r="I667">
        <v>12.75</v>
      </c>
      <c r="J667">
        <v>12.75</v>
      </c>
      <c r="K667" t="s">
        <v>41</v>
      </c>
      <c r="L667" t="s">
        <v>22</v>
      </c>
      <c r="M667" t="s">
        <v>101</v>
      </c>
      <c r="N667" t="s">
        <v>102</v>
      </c>
    </row>
    <row r="668" spans="1:14" x14ac:dyDescent="0.3">
      <c r="A668">
        <v>667</v>
      </c>
      <c r="B668">
        <v>294</v>
      </c>
      <c r="C668">
        <f>1/COUNTIF(pizza_sales[[#All],[order_id]],pizza_sales[[#This Row],[order_id]])</f>
        <v>0.33333333333333331</v>
      </c>
      <c r="D668" t="s">
        <v>118</v>
      </c>
      <c r="E668">
        <v>1</v>
      </c>
      <c r="F668" s="1">
        <v>42009</v>
      </c>
      <c r="G668" s="1" t="str">
        <f>TEXT(pizza_sales[[#This Row],[order_date]],"dddd")</f>
        <v>Monday</v>
      </c>
      <c r="H668" s="2">
        <v>36526.761516203704</v>
      </c>
      <c r="I668">
        <v>16.75</v>
      </c>
      <c r="J668">
        <v>16.75</v>
      </c>
      <c r="K668" t="s">
        <v>13</v>
      </c>
      <c r="L668" t="s">
        <v>33</v>
      </c>
      <c r="M668" t="s">
        <v>42</v>
      </c>
      <c r="N668" t="s">
        <v>43</v>
      </c>
    </row>
    <row r="669" spans="1:14" x14ac:dyDescent="0.3">
      <c r="A669">
        <v>668</v>
      </c>
      <c r="B669">
        <v>294</v>
      </c>
      <c r="C669">
        <f>1/COUNTIF(pizza_sales[[#All],[order_id]],pizza_sales[[#This Row],[order_id]])</f>
        <v>0.33333333333333331</v>
      </c>
      <c r="D669" t="s">
        <v>25</v>
      </c>
      <c r="E669">
        <v>1</v>
      </c>
      <c r="F669" s="1">
        <v>42009</v>
      </c>
      <c r="G669" s="1" t="str">
        <f>TEXT(pizza_sales[[#This Row],[order_date]],"dddd")</f>
        <v>Monday</v>
      </c>
      <c r="H669" s="2">
        <v>36526.761516203704</v>
      </c>
      <c r="I669">
        <v>20.75</v>
      </c>
      <c r="J669">
        <v>20.75</v>
      </c>
      <c r="K669" t="s">
        <v>21</v>
      </c>
      <c r="L669" t="s">
        <v>26</v>
      </c>
      <c r="M669" t="s">
        <v>27</v>
      </c>
      <c r="N669" t="s">
        <v>28</v>
      </c>
    </row>
    <row r="670" spans="1:14" x14ac:dyDescent="0.3">
      <c r="A670">
        <v>669</v>
      </c>
      <c r="B670">
        <v>294</v>
      </c>
      <c r="C670">
        <f>1/COUNTIF(pizza_sales[[#All],[order_id]],pizza_sales[[#This Row],[order_id]])</f>
        <v>0.33333333333333331</v>
      </c>
      <c r="D670" t="s">
        <v>32</v>
      </c>
      <c r="E670">
        <v>1</v>
      </c>
      <c r="F670" s="1">
        <v>42009</v>
      </c>
      <c r="G670" s="1" t="str">
        <f>TEXT(pizza_sales[[#This Row],[order_date]],"dddd")</f>
        <v>Monday</v>
      </c>
      <c r="H670" s="2">
        <v>36526.761516203704</v>
      </c>
      <c r="I670">
        <v>20.75</v>
      </c>
      <c r="J670">
        <v>20.75</v>
      </c>
      <c r="K670" t="s">
        <v>21</v>
      </c>
      <c r="L670" t="s">
        <v>33</v>
      </c>
      <c r="M670" t="s">
        <v>34</v>
      </c>
      <c r="N670" t="s">
        <v>35</v>
      </c>
    </row>
    <row r="671" spans="1:14" x14ac:dyDescent="0.3">
      <c r="A671">
        <v>670</v>
      </c>
      <c r="B671">
        <v>295</v>
      </c>
      <c r="C671">
        <f>1/COUNTIF(pizza_sales[[#All],[order_id]],pizza_sales[[#This Row],[order_id]])</f>
        <v>1</v>
      </c>
      <c r="D671" t="s">
        <v>76</v>
      </c>
      <c r="E671">
        <v>1</v>
      </c>
      <c r="F671" s="1">
        <v>42009</v>
      </c>
      <c r="G671" s="1" t="str">
        <f>TEXT(pizza_sales[[#This Row],[order_date]],"dddd")</f>
        <v>Monday</v>
      </c>
      <c r="H671" s="2">
        <v>36526.764027777775</v>
      </c>
      <c r="I671">
        <v>16.75</v>
      </c>
      <c r="J671">
        <v>16.75</v>
      </c>
      <c r="K671" t="s">
        <v>13</v>
      </c>
      <c r="L671" t="s">
        <v>33</v>
      </c>
      <c r="M671" t="s">
        <v>74</v>
      </c>
      <c r="N671" t="s">
        <v>75</v>
      </c>
    </row>
    <row r="672" spans="1:14" x14ac:dyDescent="0.3">
      <c r="A672">
        <v>671</v>
      </c>
      <c r="B672">
        <v>296</v>
      </c>
      <c r="C672">
        <f>1/COUNTIF(pizza_sales[[#All],[order_id]],pizza_sales[[#This Row],[order_id]])</f>
        <v>0.33333333333333331</v>
      </c>
      <c r="D672" t="s">
        <v>51</v>
      </c>
      <c r="E672">
        <v>1</v>
      </c>
      <c r="F672" s="1">
        <v>42009</v>
      </c>
      <c r="G672" s="1" t="str">
        <f>TEXT(pizza_sales[[#This Row],[order_date]],"dddd")</f>
        <v>Monday</v>
      </c>
      <c r="H672" s="2">
        <v>36526.782569444447</v>
      </c>
      <c r="I672">
        <v>12</v>
      </c>
      <c r="J672">
        <v>12</v>
      </c>
      <c r="K672" t="s">
        <v>41</v>
      </c>
      <c r="L672" t="s">
        <v>22</v>
      </c>
      <c r="M672" t="s">
        <v>52</v>
      </c>
      <c r="N672" t="s">
        <v>53</v>
      </c>
    </row>
    <row r="673" spans="1:14" x14ac:dyDescent="0.3">
      <c r="A673">
        <v>672</v>
      </c>
      <c r="B673">
        <v>296</v>
      </c>
      <c r="C673">
        <f>1/COUNTIF(pizza_sales[[#All],[order_id]],pizza_sales[[#This Row],[order_id]])</f>
        <v>0.33333333333333331</v>
      </c>
      <c r="D673" t="s">
        <v>160</v>
      </c>
      <c r="E673">
        <v>1</v>
      </c>
      <c r="F673" s="1">
        <v>42009</v>
      </c>
      <c r="G673" s="1" t="str">
        <f>TEXT(pizza_sales[[#This Row],[order_date]],"dddd")</f>
        <v>Monday</v>
      </c>
      <c r="H673" s="2">
        <v>36526.782569444447</v>
      </c>
      <c r="I673">
        <v>12</v>
      </c>
      <c r="J673">
        <v>12</v>
      </c>
      <c r="K673" t="s">
        <v>41</v>
      </c>
      <c r="L673" t="s">
        <v>14</v>
      </c>
      <c r="M673" t="s">
        <v>55</v>
      </c>
      <c r="N673" t="s">
        <v>56</v>
      </c>
    </row>
    <row r="674" spans="1:14" x14ac:dyDescent="0.3">
      <c r="A674">
        <v>673</v>
      </c>
      <c r="B674">
        <v>296</v>
      </c>
      <c r="C674">
        <f>1/COUNTIF(pizza_sales[[#All],[order_id]],pizza_sales[[#This Row],[order_id]])</f>
        <v>0.33333333333333331</v>
      </c>
      <c r="D674" t="s">
        <v>137</v>
      </c>
      <c r="E674">
        <v>1</v>
      </c>
      <c r="F674" s="1">
        <v>42009</v>
      </c>
      <c r="G674" s="1" t="str">
        <f>TEXT(pizza_sales[[#This Row],[order_date]],"dddd")</f>
        <v>Monday</v>
      </c>
      <c r="H674" s="2">
        <v>36526.782569444447</v>
      </c>
      <c r="I674">
        <v>16.75</v>
      </c>
      <c r="J674">
        <v>16.75</v>
      </c>
      <c r="K674" t="s">
        <v>13</v>
      </c>
      <c r="L674" t="s">
        <v>33</v>
      </c>
      <c r="M674" t="s">
        <v>34</v>
      </c>
      <c r="N674" t="s">
        <v>35</v>
      </c>
    </row>
    <row r="675" spans="1:14" x14ac:dyDescent="0.3">
      <c r="A675">
        <v>674</v>
      </c>
      <c r="B675">
        <v>297</v>
      </c>
      <c r="C675">
        <f>1/COUNTIF(pizza_sales[[#All],[order_id]],pizza_sales[[#This Row],[order_id]])</f>
        <v>1</v>
      </c>
      <c r="D675" t="s">
        <v>147</v>
      </c>
      <c r="E675">
        <v>1</v>
      </c>
      <c r="F675" s="1">
        <v>42009</v>
      </c>
      <c r="G675" s="1" t="str">
        <f>TEXT(pizza_sales[[#This Row],[order_date]],"dddd")</f>
        <v>Monday</v>
      </c>
      <c r="H675" s="2">
        <v>36526.793263888889</v>
      </c>
      <c r="I675">
        <v>16.75</v>
      </c>
      <c r="J675">
        <v>16.75</v>
      </c>
      <c r="K675" t="s">
        <v>13</v>
      </c>
      <c r="L675" t="s">
        <v>33</v>
      </c>
      <c r="M675" t="s">
        <v>70</v>
      </c>
      <c r="N675" t="s">
        <v>71</v>
      </c>
    </row>
    <row r="676" spans="1:14" x14ac:dyDescent="0.3">
      <c r="A676">
        <v>675</v>
      </c>
      <c r="B676">
        <v>298</v>
      </c>
      <c r="C676">
        <f>1/COUNTIF(pizza_sales[[#All],[order_id]],pizza_sales[[#This Row],[order_id]])</f>
        <v>0.25</v>
      </c>
      <c r="D676" t="s">
        <v>76</v>
      </c>
      <c r="E676">
        <v>1</v>
      </c>
      <c r="F676" s="1">
        <v>42009</v>
      </c>
      <c r="G676" s="1" t="str">
        <f>TEXT(pizza_sales[[#This Row],[order_date]],"dddd")</f>
        <v>Monday</v>
      </c>
      <c r="H676" s="2">
        <v>36526.799027777779</v>
      </c>
      <c r="I676">
        <v>16.75</v>
      </c>
      <c r="J676">
        <v>16.75</v>
      </c>
      <c r="K676" t="s">
        <v>13</v>
      </c>
      <c r="L676" t="s">
        <v>33</v>
      </c>
      <c r="M676" t="s">
        <v>74</v>
      </c>
      <c r="N676" t="s">
        <v>75</v>
      </c>
    </row>
    <row r="677" spans="1:14" x14ac:dyDescent="0.3">
      <c r="A677">
        <v>676</v>
      </c>
      <c r="B677">
        <v>298</v>
      </c>
      <c r="C677">
        <f>1/COUNTIF(pizza_sales[[#All],[order_id]],pizza_sales[[#This Row],[order_id]])</f>
        <v>0.25</v>
      </c>
      <c r="D677" t="s">
        <v>80</v>
      </c>
      <c r="E677">
        <v>1</v>
      </c>
      <c r="F677" s="1">
        <v>42009</v>
      </c>
      <c r="G677" s="1" t="str">
        <f>TEXT(pizza_sales[[#This Row],[order_date]],"dddd")</f>
        <v>Monday</v>
      </c>
      <c r="H677" s="2">
        <v>36526.799027777779</v>
      </c>
      <c r="I677">
        <v>12.75</v>
      </c>
      <c r="J677">
        <v>12.75</v>
      </c>
      <c r="K677" t="s">
        <v>41</v>
      </c>
      <c r="L677" t="s">
        <v>33</v>
      </c>
      <c r="M677" t="s">
        <v>74</v>
      </c>
      <c r="N677" t="s">
        <v>75</v>
      </c>
    </row>
    <row r="678" spans="1:14" x14ac:dyDescent="0.3">
      <c r="A678">
        <v>677</v>
      </c>
      <c r="B678">
        <v>298</v>
      </c>
      <c r="C678">
        <f>1/COUNTIF(pizza_sales[[#All],[order_id]],pizza_sales[[#This Row],[order_id]])</f>
        <v>0.25</v>
      </c>
      <c r="D678" t="s">
        <v>134</v>
      </c>
      <c r="E678">
        <v>1</v>
      </c>
      <c r="F678" s="1">
        <v>42009</v>
      </c>
      <c r="G678" s="1" t="str">
        <f>TEXT(pizza_sales[[#This Row],[order_date]],"dddd")</f>
        <v>Monday</v>
      </c>
      <c r="H678" s="2">
        <v>36526.799027777779</v>
      </c>
      <c r="I678">
        <v>16.75</v>
      </c>
      <c r="J678">
        <v>16.75</v>
      </c>
      <c r="K678" t="s">
        <v>13</v>
      </c>
      <c r="L678" t="s">
        <v>33</v>
      </c>
      <c r="M678" t="s">
        <v>124</v>
      </c>
      <c r="N678" t="s">
        <v>125</v>
      </c>
    </row>
    <row r="679" spans="1:14" x14ac:dyDescent="0.3">
      <c r="A679">
        <v>678</v>
      </c>
      <c r="B679">
        <v>298</v>
      </c>
      <c r="C679">
        <f>1/COUNTIF(pizza_sales[[#All],[order_id]],pizza_sales[[#This Row],[order_id]])</f>
        <v>0.25</v>
      </c>
      <c r="D679" t="s">
        <v>50</v>
      </c>
      <c r="E679">
        <v>1</v>
      </c>
      <c r="F679" s="1">
        <v>42009</v>
      </c>
      <c r="G679" s="1" t="str">
        <f>TEXT(pizza_sales[[#This Row],[order_date]],"dddd")</f>
        <v>Monday</v>
      </c>
      <c r="H679" s="2">
        <v>36526.799027777779</v>
      </c>
      <c r="I679">
        <v>12</v>
      </c>
      <c r="J679">
        <v>12</v>
      </c>
      <c r="K679" t="s">
        <v>41</v>
      </c>
      <c r="L679" t="s">
        <v>14</v>
      </c>
      <c r="M679" t="s">
        <v>18</v>
      </c>
      <c r="N679" t="s">
        <v>19</v>
      </c>
    </row>
    <row r="680" spans="1:14" x14ac:dyDescent="0.3">
      <c r="A680">
        <v>679</v>
      </c>
      <c r="B680">
        <v>299</v>
      </c>
      <c r="C680">
        <f>1/COUNTIF(pizza_sales[[#All],[order_id]],pizza_sales[[#This Row],[order_id]])</f>
        <v>0.5</v>
      </c>
      <c r="D680" t="s">
        <v>50</v>
      </c>
      <c r="E680">
        <v>1</v>
      </c>
      <c r="F680" s="1">
        <v>42009</v>
      </c>
      <c r="G680" s="1" t="str">
        <f>TEXT(pizza_sales[[#This Row],[order_date]],"dddd")</f>
        <v>Monday</v>
      </c>
      <c r="H680" s="2">
        <v>36526.815636574072</v>
      </c>
      <c r="I680">
        <v>12</v>
      </c>
      <c r="J680">
        <v>12</v>
      </c>
      <c r="K680" t="s">
        <v>41</v>
      </c>
      <c r="L680" t="s">
        <v>14</v>
      </c>
      <c r="M680" t="s">
        <v>18</v>
      </c>
      <c r="N680" t="s">
        <v>19</v>
      </c>
    </row>
    <row r="681" spans="1:14" x14ac:dyDescent="0.3">
      <c r="A681">
        <v>680</v>
      </c>
      <c r="B681">
        <v>299</v>
      </c>
      <c r="C681">
        <f>1/COUNTIF(pizza_sales[[#All],[order_id]],pizza_sales[[#This Row],[order_id]])</f>
        <v>0.5</v>
      </c>
      <c r="D681" t="s">
        <v>162</v>
      </c>
      <c r="E681">
        <v>1</v>
      </c>
      <c r="F681" s="1">
        <v>42009</v>
      </c>
      <c r="G681" s="1" t="str">
        <f>TEXT(pizza_sales[[#This Row],[order_date]],"dddd")</f>
        <v>Monday</v>
      </c>
      <c r="H681" s="2">
        <v>36526.815636574072</v>
      </c>
      <c r="I681">
        <v>16</v>
      </c>
      <c r="J681">
        <v>16</v>
      </c>
      <c r="K681" t="s">
        <v>13</v>
      </c>
      <c r="L681" t="s">
        <v>22</v>
      </c>
      <c r="M681" t="s">
        <v>110</v>
      </c>
      <c r="N681" t="s">
        <v>111</v>
      </c>
    </row>
    <row r="682" spans="1:14" x14ac:dyDescent="0.3">
      <c r="A682">
        <v>681</v>
      </c>
      <c r="B682">
        <v>300</v>
      </c>
      <c r="C682">
        <f>1/COUNTIF(pizza_sales[[#All],[order_id]],pizza_sales[[#This Row],[order_id]])</f>
        <v>0.25</v>
      </c>
      <c r="D682" t="s">
        <v>84</v>
      </c>
      <c r="E682">
        <v>1</v>
      </c>
      <c r="F682" s="1">
        <v>42009</v>
      </c>
      <c r="G682" s="1" t="str">
        <f>TEXT(pizza_sales[[#This Row],[order_date]],"dddd")</f>
        <v>Monday</v>
      </c>
      <c r="H682" s="2">
        <v>36526.821458333332</v>
      </c>
      <c r="I682">
        <v>12</v>
      </c>
      <c r="J682">
        <v>12</v>
      </c>
      <c r="K682" t="s">
        <v>41</v>
      </c>
      <c r="L682" t="s">
        <v>14</v>
      </c>
      <c r="M682" t="s">
        <v>85</v>
      </c>
      <c r="N682" t="s">
        <v>86</v>
      </c>
    </row>
    <row r="683" spans="1:14" x14ac:dyDescent="0.3">
      <c r="A683">
        <v>682</v>
      </c>
      <c r="B683">
        <v>300</v>
      </c>
      <c r="C683">
        <f>1/COUNTIF(pizza_sales[[#All],[order_id]],pizza_sales[[#This Row],[order_id]])</f>
        <v>0.25</v>
      </c>
      <c r="D683" t="s">
        <v>160</v>
      </c>
      <c r="E683">
        <v>1</v>
      </c>
      <c r="F683" s="1">
        <v>42009</v>
      </c>
      <c r="G683" s="1" t="str">
        <f>TEXT(pizza_sales[[#This Row],[order_date]],"dddd")</f>
        <v>Monday</v>
      </c>
      <c r="H683" s="2">
        <v>36526.821458333332</v>
      </c>
      <c r="I683">
        <v>12</v>
      </c>
      <c r="J683">
        <v>12</v>
      </c>
      <c r="K683" t="s">
        <v>41</v>
      </c>
      <c r="L683" t="s">
        <v>14</v>
      </c>
      <c r="M683" t="s">
        <v>55</v>
      </c>
      <c r="N683" t="s">
        <v>56</v>
      </c>
    </row>
    <row r="684" spans="1:14" x14ac:dyDescent="0.3">
      <c r="A684">
        <v>683</v>
      </c>
      <c r="B684">
        <v>300</v>
      </c>
      <c r="C684">
        <f>1/COUNTIF(pizza_sales[[#All],[order_id]],pizza_sales[[#This Row],[order_id]])</f>
        <v>0.25</v>
      </c>
      <c r="D684" t="s">
        <v>100</v>
      </c>
      <c r="E684">
        <v>1</v>
      </c>
      <c r="F684" s="1">
        <v>42009</v>
      </c>
      <c r="G684" s="1" t="str">
        <f>TEXT(pizza_sales[[#This Row],[order_date]],"dddd")</f>
        <v>Monday</v>
      </c>
      <c r="H684" s="2">
        <v>36526.821458333332</v>
      </c>
      <c r="I684">
        <v>12.75</v>
      </c>
      <c r="J684">
        <v>12.75</v>
      </c>
      <c r="K684" t="s">
        <v>41</v>
      </c>
      <c r="L684" t="s">
        <v>22</v>
      </c>
      <c r="M684" t="s">
        <v>101</v>
      </c>
      <c r="N684" t="s">
        <v>102</v>
      </c>
    </row>
    <row r="685" spans="1:14" x14ac:dyDescent="0.3">
      <c r="A685">
        <v>684</v>
      </c>
      <c r="B685">
        <v>300</v>
      </c>
      <c r="C685">
        <f>1/COUNTIF(pizza_sales[[#All],[order_id]],pizza_sales[[#This Row],[order_id]])</f>
        <v>0.25</v>
      </c>
      <c r="D685" t="s">
        <v>47</v>
      </c>
      <c r="E685">
        <v>1</v>
      </c>
      <c r="F685" s="1">
        <v>42009</v>
      </c>
      <c r="G685" s="1" t="str">
        <f>TEXT(pizza_sales[[#This Row],[order_date]],"dddd")</f>
        <v>Monday</v>
      </c>
      <c r="H685" s="2">
        <v>36526.821458333332</v>
      </c>
      <c r="I685">
        <v>12.5</v>
      </c>
      <c r="J685">
        <v>12.5</v>
      </c>
      <c r="K685" t="s">
        <v>41</v>
      </c>
      <c r="L685" t="s">
        <v>26</v>
      </c>
      <c r="M685" t="s">
        <v>48</v>
      </c>
      <c r="N685" t="s">
        <v>49</v>
      </c>
    </row>
    <row r="686" spans="1:14" x14ac:dyDescent="0.3">
      <c r="A686">
        <v>685</v>
      </c>
      <c r="B686">
        <v>301</v>
      </c>
      <c r="C686">
        <f>1/COUNTIF(pizza_sales[[#All],[order_id]],pizza_sales[[#This Row],[order_id]])</f>
        <v>1</v>
      </c>
      <c r="D686" t="s">
        <v>112</v>
      </c>
      <c r="E686">
        <v>1</v>
      </c>
      <c r="F686" s="1">
        <v>42009</v>
      </c>
      <c r="G686" s="1" t="str">
        <f>TEXT(pizza_sales[[#This Row],[order_date]],"dddd")</f>
        <v>Monday</v>
      </c>
      <c r="H686" s="2">
        <v>36526.823587962965</v>
      </c>
      <c r="I686">
        <v>20.5</v>
      </c>
      <c r="J686">
        <v>20.5</v>
      </c>
      <c r="K686" t="s">
        <v>21</v>
      </c>
      <c r="L686" t="s">
        <v>14</v>
      </c>
      <c r="M686" t="s">
        <v>94</v>
      </c>
      <c r="N686" t="s">
        <v>95</v>
      </c>
    </row>
    <row r="687" spans="1:14" x14ac:dyDescent="0.3">
      <c r="A687">
        <v>686</v>
      </c>
      <c r="B687">
        <v>302</v>
      </c>
      <c r="C687">
        <f>1/COUNTIF(pizza_sales[[#All],[order_id]],pizza_sales[[#This Row],[order_id]])</f>
        <v>1</v>
      </c>
      <c r="D687" t="s">
        <v>135</v>
      </c>
      <c r="E687">
        <v>1</v>
      </c>
      <c r="F687" s="1">
        <v>42009</v>
      </c>
      <c r="G687" s="1" t="str">
        <f>TEXT(pizza_sales[[#This Row],[order_date]],"dddd")</f>
        <v>Monday</v>
      </c>
      <c r="H687" s="2">
        <v>36526.831678240742</v>
      </c>
      <c r="I687">
        <v>20.75</v>
      </c>
      <c r="J687">
        <v>20.75</v>
      </c>
      <c r="K687" t="s">
        <v>21</v>
      </c>
      <c r="L687" t="s">
        <v>26</v>
      </c>
      <c r="M687" t="s">
        <v>107</v>
      </c>
      <c r="N687" t="s">
        <v>108</v>
      </c>
    </row>
    <row r="688" spans="1:14" x14ac:dyDescent="0.3">
      <c r="A688">
        <v>687</v>
      </c>
      <c r="B688">
        <v>303</v>
      </c>
      <c r="C688">
        <f>1/COUNTIF(pizza_sales[[#All],[order_id]],pizza_sales[[#This Row],[order_id]])</f>
        <v>0.33333333333333331</v>
      </c>
      <c r="D688" t="s">
        <v>84</v>
      </c>
      <c r="E688">
        <v>1</v>
      </c>
      <c r="F688" s="1">
        <v>42009</v>
      </c>
      <c r="G688" s="1" t="str">
        <f>TEXT(pizza_sales[[#This Row],[order_date]],"dddd")</f>
        <v>Monday</v>
      </c>
      <c r="H688" s="2">
        <v>36526.835312499999</v>
      </c>
      <c r="I688">
        <v>12</v>
      </c>
      <c r="J688">
        <v>12</v>
      </c>
      <c r="K688" t="s">
        <v>41</v>
      </c>
      <c r="L688" t="s">
        <v>14</v>
      </c>
      <c r="M688" t="s">
        <v>85</v>
      </c>
      <c r="N688" t="s">
        <v>86</v>
      </c>
    </row>
    <row r="689" spans="1:14" x14ac:dyDescent="0.3">
      <c r="A689">
        <v>688</v>
      </c>
      <c r="B689">
        <v>303</v>
      </c>
      <c r="C689">
        <f>1/COUNTIF(pizza_sales[[#All],[order_id]],pizza_sales[[#This Row],[order_id]])</f>
        <v>0.33333333333333331</v>
      </c>
      <c r="D689" t="s">
        <v>116</v>
      </c>
      <c r="E689">
        <v>1</v>
      </c>
      <c r="F689" s="1">
        <v>42009</v>
      </c>
      <c r="G689" s="1" t="str">
        <f>TEXT(pizza_sales[[#This Row],[order_date]],"dddd")</f>
        <v>Monday</v>
      </c>
      <c r="H689" s="2">
        <v>36526.835312499999</v>
      </c>
      <c r="I689">
        <v>16</v>
      </c>
      <c r="J689">
        <v>16</v>
      </c>
      <c r="K689" t="s">
        <v>13</v>
      </c>
      <c r="L689" t="s">
        <v>14</v>
      </c>
      <c r="M689" t="s">
        <v>55</v>
      </c>
      <c r="N689" t="s">
        <v>56</v>
      </c>
    </row>
    <row r="690" spans="1:14" x14ac:dyDescent="0.3">
      <c r="A690">
        <v>689</v>
      </c>
      <c r="B690">
        <v>303</v>
      </c>
      <c r="C690">
        <f>1/COUNTIF(pizza_sales[[#All],[order_id]],pizza_sales[[#This Row],[order_id]])</f>
        <v>0.33333333333333331</v>
      </c>
      <c r="D690" t="s">
        <v>126</v>
      </c>
      <c r="E690">
        <v>1</v>
      </c>
      <c r="F690" s="1">
        <v>42009</v>
      </c>
      <c r="G690" s="1" t="str">
        <f>TEXT(pizza_sales[[#This Row],[order_date]],"dddd")</f>
        <v>Monday</v>
      </c>
      <c r="H690" s="2">
        <v>36526.835312499999</v>
      </c>
      <c r="I690">
        <v>9.75</v>
      </c>
      <c r="J690">
        <v>9.75</v>
      </c>
      <c r="K690" t="s">
        <v>41</v>
      </c>
      <c r="L690" t="s">
        <v>14</v>
      </c>
      <c r="M690" t="s">
        <v>78</v>
      </c>
      <c r="N690" t="s">
        <v>79</v>
      </c>
    </row>
    <row r="691" spans="1:14" x14ac:dyDescent="0.3">
      <c r="A691">
        <v>690</v>
      </c>
      <c r="B691">
        <v>304</v>
      </c>
      <c r="C691">
        <f>1/COUNTIF(pizza_sales[[#All],[order_id]],pizza_sales[[#This Row],[order_id]])</f>
        <v>0.5</v>
      </c>
      <c r="D691" t="s">
        <v>132</v>
      </c>
      <c r="E691">
        <v>1</v>
      </c>
      <c r="F691" s="1">
        <v>42009</v>
      </c>
      <c r="G691" s="1" t="str">
        <f>TEXT(pizza_sales[[#This Row],[order_date]],"dddd")</f>
        <v>Monday</v>
      </c>
      <c r="H691" s="2">
        <v>36526.838865740741</v>
      </c>
      <c r="I691">
        <v>10.5</v>
      </c>
      <c r="J691">
        <v>10.5</v>
      </c>
      <c r="K691" t="s">
        <v>41</v>
      </c>
      <c r="L691" t="s">
        <v>14</v>
      </c>
      <c r="M691" t="s">
        <v>15</v>
      </c>
      <c r="N691" t="s">
        <v>16</v>
      </c>
    </row>
    <row r="692" spans="1:14" x14ac:dyDescent="0.3">
      <c r="A692">
        <v>691</v>
      </c>
      <c r="B692">
        <v>304</v>
      </c>
      <c r="C692">
        <f>1/COUNTIF(pizza_sales[[#All],[order_id]],pizza_sales[[#This Row],[order_id]])</f>
        <v>0.5</v>
      </c>
      <c r="D692" t="s">
        <v>68</v>
      </c>
      <c r="E692">
        <v>1</v>
      </c>
      <c r="F692" s="1">
        <v>42009</v>
      </c>
      <c r="G692" s="1" t="str">
        <f>TEXT(pizza_sales[[#This Row],[order_date]],"dddd")</f>
        <v>Monday</v>
      </c>
      <c r="H692" s="2">
        <v>36526.838865740741</v>
      </c>
      <c r="I692">
        <v>20.25</v>
      </c>
      <c r="J692">
        <v>20.25</v>
      </c>
      <c r="K692" t="s">
        <v>21</v>
      </c>
      <c r="L692" t="s">
        <v>22</v>
      </c>
      <c r="M692" t="s">
        <v>30</v>
      </c>
      <c r="N692" t="s">
        <v>31</v>
      </c>
    </row>
    <row r="693" spans="1:14" x14ac:dyDescent="0.3">
      <c r="A693">
        <v>692</v>
      </c>
      <c r="B693">
        <v>305</v>
      </c>
      <c r="C693">
        <f>1/COUNTIF(pizza_sales[[#All],[order_id]],pizza_sales[[#This Row],[order_id]])</f>
        <v>0.33333333333333331</v>
      </c>
      <c r="D693" t="s">
        <v>77</v>
      </c>
      <c r="E693">
        <v>1</v>
      </c>
      <c r="F693" s="1">
        <v>42009</v>
      </c>
      <c r="G693" s="1" t="str">
        <f>TEXT(pizza_sales[[#This Row],[order_date]],"dddd")</f>
        <v>Monday</v>
      </c>
      <c r="H693" s="2">
        <v>36526.858101851853</v>
      </c>
      <c r="I693">
        <v>15.25</v>
      </c>
      <c r="J693">
        <v>15.25</v>
      </c>
      <c r="K693" t="s">
        <v>21</v>
      </c>
      <c r="L693" t="s">
        <v>14</v>
      </c>
      <c r="M693" t="s">
        <v>78</v>
      </c>
      <c r="N693" t="s">
        <v>79</v>
      </c>
    </row>
    <row r="694" spans="1:14" x14ac:dyDescent="0.3">
      <c r="A694">
        <v>693</v>
      </c>
      <c r="B694">
        <v>305</v>
      </c>
      <c r="C694">
        <f>1/COUNTIF(pizza_sales[[#All],[order_id]],pizza_sales[[#This Row],[order_id]])</f>
        <v>0.33333333333333331</v>
      </c>
      <c r="D694" t="s">
        <v>149</v>
      </c>
      <c r="E694">
        <v>1</v>
      </c>
      <c r="F694" s="1">
        <v>42009</v>
      </c>
      <c r="G694" s="1" t="str">
        <f>TEXT(pizza_sales[[#This Row],[order_date]],"dddd")</f>
        <v>Monday</v>
      </c>
      <c r="H694" s="2">
        <v>36526.858101851853</v>
      </c>
      <c r="I694">
        <v>12.25</v>
      </c>
      <c r="J694">
        <v>12.25</v>
      </c>
      <c r="K694" t="s">
        <v>41</v>
      </c>
      <c r="L694" t="s">
        <v>26</v>
      </c>
      <c r="M694" t="s">
        <v>114</v>
      </c>
      <c r="N694" t="s">
        <v>115</v>
      </c>
    </row>
    <row r="695" spans="1:14" x14ac:dyDescent="0.3">
      <c r="A695">
        <v>694</v>
      </c>
      <c r="B695">
        <v>305</v>
      </c>
      <c r="C695">
        <f>1/COUNTIF(pizza_sales[[#All],[order_id]],pizza_sales[[#This Row],[order_id]])</f>
        <v>0.33333333333333331</v>
      </c>
      <c r="D695" t="s">
        <v>158</v>
      </c>
      <c r="E695">
        <v>1</v>
      </c>
      <c r="F695" s="1">
        <v>42009</v>
      </c>
      <c r="G695" s="1" t="str">
        <f>TEXT(pizza_sales[[#This Row],[order_date]],"dddd")</f>
        <v>Monday</v>
      </c>
      <c r="H695" s="2">
        <v>36526.858101851853</v>
      </c>
      <c r="I695">
        <v>16.5</v>
      </c>
      <c r="J695">
        <v>16.5</v>
      </c>
      <c r="K695" t="s">
        <v>13</v>
      </c>
      <c r="L695" t="s">
        <v>26</v>
      </c>
      <c r="M695" t="s">
        <v>60</v>
      </c>
      <c r="N695" t="s">
        <v>61</v>
      </c>
    </row>
    <row r="696" spans="1:14" x14ac:dyDescent="0.3">
      <c r="A696">
        <v>695</v>
      </c>
      <c r="B696">
        <v>306</v>
      </c>
      <c r="C696">
        <f>1/COUNTIF(pizza_sales[[#All],[order_id]],pizza_sales[[#This Row],[order_id]])</f>
        <v>0.33333333333333331</v>
      </c>
      <c r="D696" t="s">
        <v>84</v>
      </c>
      <c r="E696">
        <v>1</v>
      </c>
      <c r="F696" s="1">
        <v>42009</v>
      </c>
      <c r="G696" s="1" t="str">
        <f>TEXT(pizza_sales[[#This Row],[order_date]],"dddd")</f>
        <v>Monday</v>
      </c>
      <c r="H696" s="2">
        <v>36526.859490740739</v>
      </c>
      <c r="I696">
        <v>12</v>
      </c>
      <c r="J696">
        <v>12</v>
      </c>
      <c r="K696" t="s">
        <v>41</v>
      </c>
      <c r="L696" t="s">
        <v>14</v>
      </c>
      <c r="M696" t="s">
        <v>85</v>
      </c>
      <c r="N696" t="s">
        <v>86</v>
      </c>
    </row>
    <row r="697" spans="1:14" x14ac:dyDescent="0.3">
      <c r="A697">
        <v>696</v>
      </c>
      <c r="B697">
        <v>306</v>
      </c>
      <c r="C697">
        <f>1/COUNTIF(pizza_sales[[#All],[order_id]],pizza_sales[[#This Row],[order_id]])</f>
        <v>0.33333333333333331</v>
      </c>
      <c r="D697" t="s">
        <v>132</v>
      </c>
      <c r="E697">
        <v>1</v>
      </c>
      <c r="F697" s="1">
        <v>42009</v>
      </c>
      <c r="G697" s="1" t="str">
        <f>TEXT(pizza_sales[[#This Row],[order_date]],"dddd")</f>
        <v>Monday</v>
      </c>
      <c r="H697" s="2">
        <v>36526.859490740739</v>
      </c>
      <c r="I697">
        <v>10.5</v>
      </c>
      <c r="J697">
        <v>10.5</v>
      </c>
      <c r="K697" t="s">
        <v>41</v>
      </c>
      <c r="L697" t="s">
        <v>14</v>
      </c>
      <c r="M697" t="s">
        <v>15</v>
      </c>
      <c r="N697" t="s">
        <v>16</v>
      </c>
    </row>
    <row r="698" spans="1:14" x14ac:dyDescent="0.3">
      <c r="A698">
        <v>697</v>
      </c>
      <c r="B698">
        <v>306</v>
      </c>
      <c r="C698">
        <f>1/COUNTIF(pizza_sales[[#All],[order_id]],pizza_sales[[#This Row],[order_id]])</f>
        <v>0.33333333333333331</v>
      </c>
      <c r="D698" t="s">
        <v>163</v>
      </c>
      <c r="E698">
        <v>1</v>
      </c>
      <c r="F698" s="1">
        <v>42009</v>
      </c>
      <c r="G698" s="1" t="str">
        <f>TEXT(pizza_sales[[#This Row],[order_date]],"dddd")</f>
        <v>Monday</v>
      </c>
      <c r="H698" s="2">
        <v>36526.859490740739</v>
      </c>
      <c r="I698">
        <v>16</v>
      </c>
      <c r="J698">
        <v>16</v>
      </c>
      <c r="K698" t="s">
        <v>13</v>
      </c>
      <c r="L698" t="s">
        <v>14</v>
      </c>
      <c r="M698" t="s">
        <v>94</v>
      </c>
      <c r="N698" t="s">
        <v>95</v>
      </c>
    </row>
    <row r="699" spans="1:14" x14ac:dyDescent="0.3">
      <c r="A699">
        <v>698</v>
      </c>
      <c r="B699">
        <v>307</v>
      </c>
      <c r="C699">
        <f>1/COUNTIF(pizza_sales[[#All],[order_id]],pizza_sales[[#This Row],[order_id]])</f>
        <v>0.5</v>
      </c>
      <c r="D699" t="s">
        <v>138</v>
      </c>
      <c r="E699">
        <v>1</v>
      </c>
      <c r="F699" s="1">
        <v>42009</v>
      </c>
      <c r="G699" s="1" t="str">
        <f>TEXT(pizza_sales[[#This Row],[order_date]],"dddd")</f>
        <v>Monday</v>
      </c>
      <c r="H699" s="2">
        <v>36526.906689814816</v>
      </c>
      <c r="I699">
        <v>20.5</v>
      </c>
      <c r="J699">
        <v>20.5</v>
      </c>
      <c r="K699" t="s">
        <v>21</v>
      </c>
      <c r="L699" t="s">
        <v>14</v>
      </c>
      <c r="M699" t="s">
        <v>18</v>
      </c>
      <c r="N699" t="s">
        <v>19</v>
      </c>
    </row>
    <row r="700" spans="1:14" x14ac:dyDescent="0.3">
      <c r="A700">
        <v>699</v>
      </c>
      <c r="B700">
        <v>307</v>
      </c>
      <c r="C700">
        <f>1/COUNTIF(pizza_sales[[#All],[order_id]],pizza_sales[[#This Row],[order_id]])</f>
        <v>0.5</v>
      </c>
      <c r="D700" t="s">
        <v>137</v>
      </c>
      <c r="E700">
        <v>1</v>
      </c>
      <c r="F700" s="1">
        <v>42009</v>
      </c>
      <c r="G700" s="1" t="str">
        <f>TEXT(pizza_sales[[#This Row],[order_date]],"dddd")</f>
        <v>Monday</v>
      </c>
      <c r="H700" s="2">
        <v>36526.906689814816</v>
      </c>
      <c r="I700">
        <v>16.75</v>
      </c>
      <c r="J700">
        <v>16.75</v>
      </c>
      <c r="K700" t="s">
        <v>13</v>
      </c>
      <c r="L700" t="s">
        <v>33</v>
      </c>
      <c r="M700" t="s">
        <v>34</v>
      </c>
      <c r="N700" t="s">
        <v>35</v>
      </c>
    </row>
    <row r="701" spans="1:14" x14ac:dyDescent="0.3">
      <c r="A701">
        <v>700</v>
      </c>
      <c r="B701">
        <v>308</v>
      </c>
      <c r="C701">
        <f>1/COUNTIF(pizza_sales[[#All],[order_id]],pizza_sales[[#This Row],[order_id]])</f>
        <v>0.33333333333333331</v>
      </c>
      <c r="D701" t="s">
        <v>142</v>
      </c>
      <c r="E701">
        <v>1</v>
      </c>
      <c r="F701" s="1">
        <v>42009</v>
      </c>
      <c r="G701" s="1" t="str">
        <f>TEXT(pizza_sales[[#This Row],[order_date]],"dddd")</f>
        <v>Monday</v>
      </c>
      <c r="H701" s="2">
        <v>36526.916504629633</v>
      </c>
      <c r="I701">
        <v>16.5</v>
      </c>
      <c r="J701">
        <v>16.5</v>
      </c>
      <c r="K701" t="s">
        <v>21</v>
      </c>
      <c r="L701" t="s">
        <v>14</v>
      </c>
      <c r="M701" t="s">
        <v>15</v>
      </c>
      <c r="N701" t="s">
        <v>16</v>
      </c>
    </row>
    <row r="702" spans="1:14" x14ac:dyDescent="0.3">
      <c r="A702">
        <v>701</v>
      </c>
      <c r="B702">
        <v>308</v>
      </c>
      <c r="C702">
        <f>1/COUNTIF(pizza_sales[[#All],[order_id]],pizza_sales[[#This Row],[order_id]])</f>
        <v>0.33333333333333331</v>
      </c>
      <c r="D702" t="s">
        <v>129</v>
      </c>
      <c r="E702">
        <v>1</v>
      </c>
      <c r="F702" s="1">
        <v>42009</v>
      </c>
      <c r="G702" s="1" t="str">
        <f>TEXT(pizza_sales[[#This Row],[order_date]],"dddd")</f>
        <v>Monday</v>
      </c>
      <c r="H702" s="2">
        <v>36526.916504629633</v>
      </c>
      <c r="I702">
        <v>17.5</v>
      </c>
      <c r="J702">
        <v>17.5</v>
      </c>
      <c r="K702" t="s">
        <v>21</v>
      </c>
      <c r="L702" t="s">
        <v>14</v>
      </c>
      <c r="M702" t="s">
        <v>130</v>
      </c>
      <c r="N702" t="s">
        <v>131</v>
      </c>
    </row>
    <row r="703" spans="1:14" x14ac:dyDescent="0.3">
      <c r="A703">
        <v>702</v>
      </c>
      <c r="B703">
        <v>308</v>
      </c>
      <c r="C703">
        <f>1/COUNTIF(pizza_sales[[#All],[order_id]],pizza_sales[[#This Row],[order_id]])</f>
        <v>0.33333333333333331</v>
      </c>
      <c r="D703" t="s">
        <v>151</v>
      </c>
      <c r="E703">
        <v>1</v>
      </c>
      <c r="F703" s="1">
        <v>42009</v>
      </c>
      <c r="G703" s="1" t="str">
        <f>TEXT(pizza_sales[[#This Row],[order_date]],"dddd")</f>
        <v>Monday</v>
      </c>
      <c r="H703" s="2">
        <v>36526.916504629633</v>
      </c>
      <c r="I703">
        <v>12.75</v>
      </c>
      <c r="J703">
        <v>12.75</v>
      </c>
      <c r="K703" t="s">
        <v>41</v>
      </c>
      <c r="L703" t="s">
        <v>33</v>
      </c>
      <c r="M703" t="s">
        <v>34</v>
      </c>
      <c r="N703" t="s">
        <v>35</v>
      </c>
    </row>
    <row r="704" spans="1:14" x14ac:dyDescent="0.3">
      <c r="A704">
        <v>703</v>
      </c>
      <c r="B704">
        <v>309</v>
      </c>
      <c r="C704">
        <f>1/COUNTIF(pizza_sales[[#All],[order_id]],pizza_sales[[#This Row],[order_id]])</f>
        <v>0.5</v>
      </c>
      <c r="D704" t="s">
        <v>20</v>
      </c>
      <c r="E704">
        <v>1</v>
      </c>
      <c r="F704" s="1">
        <v>42010</v>
      </c>
      <c r="G704" s="1" t="str">
        <f>TEXT(pizza_sales[[#This Row],[order_date]],"dddd")</f>
        <v>Tuesday</v>
      </c>
      <c r="H704" s="2">
        <v>36526.485486111109</v>
      </c>
      <c r="I704">
        <v>18.5</v>
      </c>
      <c r="J704">
        <v>18.5</v>
      </c>
      <c r="K704" t="s">
        <v>21</v>
      </c>
      <c r="L704" t="s">
        <v>22</v>
      </c>
      <c r="M704" t="s">
        <v>23</v>
      </c>
      <c r="N704" t="s">
        <v>24</v>
      </c>
    </row>
    <row r="705" spans="1:14" x14ac:dyDescent="0.3">
      <c r="A705">
        <v>704</v>
      </c>
      <c r="B705">
        <v>309</v>
      </c>
      <c r="C705">
        <f>1/COUNTIF(pizza_sales[[#All],[order_id]],pizza_sales[[#This Row],[order_id]])</f>
        <v>0.5</v>
      </c>
      <c r="D705" t="s">
        <v>133</v>
      </c>
      <c r="E705">
        <v>1</v>
      </c>
      <c r="F705" s="1">
        <v>42010</v>
      </c>
      <c r="G705" s="1" t="str">
        <f>TEXT(pizza_sales[[#This Row],[order_date]],"dddd")</f>
        <v>Tuesday</v>
      </c>
      <c r="H705" s="2">
        <v>36526.485486111109</v>
      </c>
      <c r="I705">
        <v>16.5</v>
      </c>
      <c r="J705">
        <v>16.5</v>
      </c>
      <c r="K705" t="s">
        <v>13</v>
      </c>
      <c r="L705" t="s">
        <v>26</v>
      </c>
      <c r="M705" t="s">
        <v>107</v>
      </c>
      <c r="N705" t="s">
        <v>108</v>
      </c>
    </row>
    <row r="706" spans="1:14" x14ac:dyDescent="0.3">
      <c r="A706">
        <v>705</v>
      </c>
      <c r="B706">
        <v>310</v>
      </c>
      <c r="C706">
        <f>1/COUNTIF(pizza_sales[[#All],[order_id]],pizza_sales[[#This Row],[order_id]])</f>
        <v>0.5</v>
      </c>
      <c r="D706" t="s">
        <v>132</v>
      </c>
      <c r="E706">
        <v>1</v>
      </c>
      <c r="F706" s="1">
        <v>42010</v>
      </c>
      <c r="G706" s="1" t="str">
        <f>TEXT(pizza_sales[[#This Row],[order_date]],"dddd")</f>
        <v>Tuesday</v>
      </c>
      <c r="H706" s="2">
        <v>36526.486666666664</v>
      </c>
      <c r="I706">
        <v>10.5</v>
      </c>
      <c r="J706">
        <v>10.5</v>
      </c>
      <c r="K706" t="s">
        <v>41</v>
      </c>
      <c r="L706" t="s">
        <v>14</v>
      </c>
      <c r="M706" t="s">
        <v>15</v>
      </c>
      <c r="N706" t="s">
        <v>16</v>
      </c>
    </row>
    <row r="707" spans="1:14" x14ac:dyDescent="0.3">
      <c r="A707">
        <v>706</v>
      </c>
      <c r="B707">
        <v>310</v>
      </c>
      <c r="C707">
        <f>1/COUNTIF(pizza_sales[[#All],[order_id]],pizza_sales[[#This Row],[order_id]])</f>
        <v>0.5</v>
      </c>
      <c r="D707" t="s">
        <v>151</v>
      </c>
      <c r="E707">
        <v>1</v>
      </c>
      <c r="F707" s="1">
        <v>42010</v>
      </c>
      <c r="G707" s="1" t="str">
        <f>TEXT(pizza_sales[[#This Row],[order_date]],"dddd")</f>
        <v>Tuesday</v>
      </c>
      <c r="H707" s="2">
        <v>36526.486666666664</v>
      </c>
      <c r="I707">
        <v>12.75</v>
      </c>
      <c r="J707">
        <v>12.75</v>
      </c>
      <c r="K707" t="s">
        <v>41</v>
      </c>
      <c r="L707" t="s">
        <v>33</v>
      </c>
      <c r="M707" t="s">
        <v>34</v>
      </c>
      <c r="N707" t="s">
        <v>35</v>
      </c>
    </row>
    <row r="708" spans="1:14" x14ac:dyDescent="0.3">
      <c r="A708">
        <v>707</v>
      </c>
      <c r="B708">
        <v>311</v>
      </c>
      <c r="C708">
        <f>1/COUNTIF(pizza_sales[[#All],[order_id]],pizza_sales[[#This Row],[order_id]])</f>
        <v>1</v>
      </c>
      <c r="D708" t="s">
        <v>113</v>
      </c>
      <c r="E708">
        <v>1</v>
      </c>
      <c r="F708" s="1">
        <v>42010</v>
      </c>
      <c r="G708" s="1" t="str">
        <f>TEXT(pizza_sales[[#This Row],[order_date]],"dddd")</f>
        <v>Tuesday</v>
      </c>
      <c r="H708" s="2">
        <v>36526.498229166667</v>
      </c>
      <c r="I708">
        <v>20.25</v>
      </c>
      <c r="J708">
        <v>20.25</v>
      </c>
      <c r="K708" t="s">
        <v>21</v>
      </c>
      <c r="L708" t="s">
        <v>26</v>
      </c>
      <c r="M708" t="s">
        <v>114</v>
      </c>
      <c r="N708" t="s">
        <v>115</v>
      </c>
    </row>
    <row r="709" spans="1:14" x14ac:dyDescent="0.3">
      <c r="A709">
        <v>708</v>
      </c>
      <c r="B709">
        <v>312</v>
      </c>
      <c r="C709">
        <f>1/COUNTIF(pizza_sales[[#All],[order_id]],pizza_sales[[#This Row],[order_id]])</f>
        <v>0.25</v>
      </c>
      <c r="D709" t="s">
        <v>84</v>
      </c>
      <c r="E709">
        <v>1</v>
      </c>
      <c r="F709" s="1">
        <v>42010</v>
      </c>
      <c r="G709" s="1" t="str">
        <f>TEXT(pizza_sales[[#This Row],[order_date]],"dddd")</f>
        <v>Tuesday</v>
      </c>
      <c r="H709" s="2">
        <v>36526.50371527778</v>
      </c>
      <c r="I709">
        <v>12</v>
      </c>
      <c r="J709">
        <v>12</v>
      </c>
      <c r="K709" t="s">
        <v>41</v>
      </c>
      <c r="L709" t="s">
        <v>14</v>
      </c>
      <c r="M709" t="s">
        <v>85</v>
      </c>
      <c r="N709" t="s">
        <v>86</v>
      </c>
    </row>
    <row r="710" spans="1:14" x14ac:dyDescent="0.3">
      <c r="A710">
        <v>709</v>
      </c>
      <c r="B710">
        <v>312</v>
      </c>
      <c r="C710">
        <f>1/COUNTIF(pizza_sales[[#All],[order_id]],pizza_sales[[#This Row],[order_id]])</f>
        <v>0.25</v>
      </c>
      <c r="D710" t="s">
        <v>165</v>
      </c>
      <c r="E710">
        <v>1</v>
      </c>
      <c r="F710" s="1">
        <v>42010</v>
      </c>
      <c r="G710" s="1" t="str">
        <f>TEXT(pizza_sales[[#This Row],[order_date]],"dddd")</f>
        <v>Tuesday</v>
      </c>
      <c r="H710" s="2">
        <v>36526.50371527778</v>
      </c>
      <c r="I710">
        <v>23.65</v>
      </c>
      <c r="J710">
        <v>23.65</v>
      </c>
      <c r="K710" t="s">
        <v>41</v>
      </c>
      <c r="L710" t="s">
        <v>26</v>
      </c>
      <c r="M710" t="s">
        <v>166</v>
      </c>
      <c r="N710" t="s">
        <v>167</v>
      </c>
    </row>
    <row r="711" spans="1:14" x14ac:dyDescent="0.3">
      <c r="A711">
        <v>710</v>
      </c>
      <c r="B711">
        <v>312</v>
      </c>
      <c r="C711">
        <f>1/COUNTIF(pizza_sales[[#All],[order_id]],pizza_sales[[#This Row],[order_id]])</f>
        <v>0.25</v>
      </c>
      <c r="D711" t="s">
        <v>134</v>
      </c>
      <c r="E711">
        <v>1</v>
      </c>
      <c r="F711" s="1">
        <v>42010</v>
      </c>
      <c r="G711" s="1" t="str">
        <f>TEXT(pizza_sales[[#This Row],[order_date]],"dddd")</f>
        <v>Tuesday</v>
      </c>
      <c r="H711" s="2">
        <v>36526.50371527778</v>
      </c>
      <c r="I711">
        <v>16.75</v>
      </c>
      <c r="J711">
        <v>16.75</v>
      </c>
      <c r="K711" t="s">
        <v>13</v>
      </c>
      <c r="L711" t="s">
        <v>33</v>
      </c>
      <c r="M711" t="s">
        <v>124</v>
      </c>
      <c r="N711" t="s">
        <v>125</v>
      </c>
    </row>
    <row r="712" spans="1:14" x14ac:dyDescent="0.3">
      <c r="A712">
        <v>711</v>
      </c>
      <c r="B712">
        <v>312</v>
      </c>
      <c r="C712">
        <f>1/COUNTIF(pizza_sales[[#All],[order_id]],pizza_sales[[#This Row],[order_id]])</f>
        <v>0.25</v>
      </c>
      <c r="D712" t="s">
        <v>121</v>
      </c>
      <c r="E712">
        <v>1</v>
      </c>
      <c r="F712" s="1">
        <v>42010</v>
      </c>
      <c r="G712" s="1" t="str">
        <f>TEXT(pizza_sales[[#This Row],[order_date]],"dddd")</f>
        <v>Tuesday</v>
      </c>
      <c r="H712" s="2">
        <v>36526.50371527778</v>
      </c>
      <c r="I712">
        <v>16.25</v>
      </c>
      <c r="J712">
        <v>16.25</v>
      </c>
      <c r="K712" t="s">
        <v>13</v>
      </c>
      <c r="L712" t="s">
        <v>26</v>
      </c>
      <c r="M712" t="s">
        <v>114</v>
      </c>
      <c r="N712" t="s">
        <v>115</v>
      </c>
    </row>
    <row r="713" spans="1:14" x14ac:dyDescent="0.3">
      <c r="A713">
        <v>712</v>
      </c>
      <c r="B713">
        <v>313</v>
      </c>
      <c r="C713">
        <f>1/COUNTIF(pizza_sales[[#All],[order_id]],pizza_sales[[#This Row],[order_id]])</f>
        <v>1</v>
      </c>
      <c r="D713" t="s">
        <v>17</v>
      </c>
      <c r="E713">
        <v>1</v>
      </c>
      <c r="F713" s="1">
        <v>42010</v>
      </c>
      <c r="G713" s="1" t="str">
        <f>TEXT(pizza_sales[[#This Row],[order_date]],"dddd")</f>
        <v>Tuesday</v>
      </c>
      <c r="H713" s="2">
        <v>36526.506354166668</v>
      </c>
      <c r="I713">
        <v>16</v>
      </c>
      <c r="J713">
        <v>16</v>
      </c>
      <c r="K713" t="s">
        <v>13</v>
      </c>
      <c r="L713" t="s">
        <v>14</v>
      </c>
      <c r="M713" t="s">
        <v>18</v>
      </c>
      <c r="N713" t="s">
        <v>19</v>
      </c>
    </row>
    <row r="714" spans="1:14" x14ac:dyDescent="0.3">
      <c r="A714">
        <v>713</v>
      </c>
      <c r="B714">
        <v>314</v>
      </c>
      <c r="C714">
        <f>1/COUNTIF(pizza_sales[[#All],[order_id]],pizza_sales[[#This Row],[order_id]])</f>
        <v>0.2</v>
      </c>
      <c r="D714" t="s">
        <v>96</v>
      </c>
      <c r="E714">
        <v>1</v>
      </c>
      <c r="F714" s="1">
        <v>42010</v>
      </c>
      <c r="G714" s="1" t="str">
        <f>TEXT(pizza_sales[[#This Row],[order_date]],"dddd")</f>
        <v>Tuesday</v>
      </c>
      <c r="H714" s="2">
        <v>36526.508310185185</v>
      </c>
      <c r="I714">
        <v>16.25</v>
      </c>
      <c r="J714">
        <v>16.25</v>
      </c>
      <c r="K714" t="s">
        <v>13</v>
      </c>
      <c r="L714" t="s">
        <v>26</v>
      </c>
      <c r="M714" t="s">
        <v>97</v>
      </c>
      <c r="N714" t="s">
        <v>98</v>
      </c>
    </row>
    <row r="715" spans="1:14" x14ac:dyDescent="0.3">
      <c r="A715">
        <v>714</v>
      </c>
      <c r="B715">
        <v>314</v>
      </c>
      <c r="C715">
        <f>1/COUNTIF(pizza_sales[[#All],[order_id]],pizza_sales[[#This Row],[order_id]])</f>
        <v>0.2</v>
      </c>
      <c r="D715" t="s">
        <v>20</v>
      </c>
      <c r="E715">
        <v>1</v>
      </c>
      <c r="F715" s="1">
        <v>42010</v>
      </c>
      <c r="G715" s="1" t="str">
        <f>TEXT(pizza_sales[[#This Row],[order_date]],"dddd")</f>
        <v>Tuesday</v>
      </c>
      <c r="H715" s="2">
        <v>36526.508310185185</v>
      </c>
      <c r="I715">
        <v>18.5</v>
      </c>
      <c r="J715">
        <v>18.5</v>
      </c>
      <c r="K715" t="s">
        <v>21</v>
      </c>
      <c r="L715" t="s">
        <v>22</v>
      </c>
      <c r="M715" t="s">
        <v>23</v>
      </c>
      <c r="N715" t="s">
        <v>24</v>
      </c>
    </row>
    <row r="716" spans="1:14" x14ac:dyDescent="0.3">
      <c r="A716">
        <v>715</v>
      </c>
      <c r="B716">
        <v>314</v>
      </c>
      <c r="C716">
        <f>1/COUNTIF(pizza_sales[[#All],[order_id]],pizza_sales[[#This Row],[order_id]])</f>
        <v>0.2</v>
      </c>
      <c r="D716" t="s">
        <v>128</v>
      </c>
      <c r="E716">
        <v>1</v>
      </c>
      <c r="F716" s="1">
        <v>42010</v>
      </c>
      <c r="G716" s="1" t="str">
        <f>TEXT(pizza_sales[[#This Row],[order_date]],"dddd")</f>
        <v>Tuesday</v>
      </c>
      <c r="H716" s="2">
        <v>36526.508310185185</v>
      </c>
      <c r="I716">
        <v>16</v>
      </c>
      <c r="J716">
        <v>16</v>
      </c>
      <c r="K716" t="s">
        <v>13</v>
      </c>
      <c r="L716" t="s">
        <v>22</v>
      </c>
      <c r="M716" t="s">
        <v>52</v>
      </c>
      <c r="N716" t="s">
        <v>53</v>
      </c>
    </row>
    <row r="717" spans="1:14" x14ac:dyDescent="0.3">
      <c r="A717">
        <v>716</v>
      </c>
      <c r="B717">
        <v>314</v>
      </c>
      <c r="C717">
        <f>1/COUNTIF(pizza_sales[[#All],[order_id]],pizza_sales[[#This Row],[order_id]])</f>
        <v>0.2</v>
      </c>
      <c r="D717" t="s">
        <v>12</v>
      </c>
      <c r="E717">
        <v>1</v>
      </c>
      <c r="F717" s="1">
        <v>42010</v>
      </c>
      <c r="G717" s="1" t="str">
        <f>TEXT(pizza_sales[[#This Row],[order_date]],"dddd")</f>
        <v>Tuesday</v>
      </c>
      <c r="H717" s="2">
        <v>36526.508310185185</v>
      </c>
      <c r="I717">
        <v>13.25</v>
      </c>
      <c r="J717">
        <v>13.25</v>
      </c>
      <c r="K717" t="s">
        <v>13</v>
      </c>
      <c r="L717" t="s">
        <v>14</v>
      </c>
      <c r="M717" t="s">
        <v>15</v>
      </c>
      <c r="N717" t="s">
        <v>16</v>
      </c>
    </row>
    <row r="718" spans="1:14" x14ac:dyDescent="0.3">
      <c r="A718">
        <v>717</v>
      </c>
      <c r="B718">
        <v>314</v>
      </c>
      <c r="C718">
        <f>1/COUNTIF(pizza_sales[[#All],[order_id]],pizza_sales[[#This Row],[order_id]])</f>
        <v>0.2</v>
      </c>
      <c r="D718" t="s">
        <v>154</v>
      </c>
      <c r="E718">
        <v>1</v>
      </c>
      <c r="F718" s="1">
        <v>42010</v>
      </c>
      <c r="G718" s="1" t="str">
        <f>TEXT(pizza_sales[[#This Row],[order_date]],"dddd")</f>
        <v>Tuesday</v>
      </c>
      <c r="H718" s="2">
        <v>36526.508310185185</v>
      </c>
      <c r="I718">
        <v>16</v>
      </c>
      <c r="J718">
        <v>16</v>
      </c>
      <c r="K718" t="s">
        <v>13</v>
      </c>
      <c r="L718" t="s">
        <v>22</v>
      </c>
      <c r="M718" t="s">
        <v>66</v>
      </c>
      <c r="N718" t="s">
        <v>67</v>
      </c>
    </row>
    <row r="719" spans="1:14" x14ac:dyDescent="0.3">
      <c r="A719">
        <v>718</v>
      </c>
      <c r="B719">
        <v>315</v>
      </c>
      <c r="C719">
        <f>1/COUNTIF(pizza_sales[[#All],[order_id]],pizza_sales[[#This Row],[order_id]])</f>
        <v>1</v>
      </c>
      <c r="D719" t="s">
        <v>17</v>
      </c>
      <c r="E719">
        <v>1</v>
      </c>
      <c r="F719" s="1">
        <v>42010</v>
      </c>
      <c r="G719" s="1" t="str">
        <f>TEXT(pizza_sales[[#This Row],[order_date]],"dddd")</f>
        <v>Tuesday</v>
      </c>
      <c r="H719" s="2">
        <v>36526.51226851852</v>
      </c>
      <c r="I719">
        <v>16</v>
      </c>
      <c r="J719">
        <v>16</v>
      </c>
      <c r="K719" t="s">
        <v>13</v>
      </c>
      <c r="L719" t="s">
        <v>14</v>
      </c>
      <c r="M719" t="s">
        <v>18</v>
      </c>
      <c r="N719" t="s">
        <v>19</v>
      </c>
    </row>
    <row r="720" spans="1:14" x14ac:dyDescent="0.3">
      <c r="A720">
        <v>719</v>
      </c>
      <c r="B720">
        <v>316</v>
      </c>
      <c r="C720">
        <f>1/COUNTIF(pizza_sales[[#All],[order_id]],pizza_sales[[#This Row],[order_id]])</f>
        <v>0.5</v>
      </c>
      <c r="D720" t="s">
        <v>132</v>
      </c>
      <c r="E720">
        <v>1</v>
      </c>
      <c r="F720" s="1">
        <v>42010</v>
      </c>
      <c r="G720" s="1" t="str">
        <f>TEXT(pizza_sales[[#This Row],[order_date]],"dddd")</f>
        <v>Tuesday</v>
      </c>
      <c r="H720" s="2">
        <v>36526.520532407405</v>
      </c>
      <c r="I720">
        <v>10.5</v>
      </c>
      <c r="J720">
        <v>10.5</v>
      </c>
      <c r="K720" t="s">
        <v>41</v>
      </c>
      <c r="L720" t="s">
        <v>14</v>
      </c>
      <c r="M720" t="s">
        <v>15</v>
      </c>
      <c r="N720" t="s">
        <v>16</v>
      </c>
    </row>
    <row r="721" spans="1:14" x14ac:dyDescent="0.3">
      <c r="A721">
        <v>720</v>
      </c>
      <c r="B721">
        <v>316</v>
      </c>
      <c r="C721">
        <f>1/COUNTIF(pizza_sales[[#All],[order_id]],pizza_sales[[#This Row],[order_id]])</f>
        <v>0.5</v>
      </c>
      <c r="D721" t="s">
        <v>36</v>
      </c>
      <c r="E721">
        <v>1</v>
      </c>
      <c r="F721" s="1">
        <v>42010</v>
      </c>
      <c r="G721" s="1" t="str">
        <f>TEXT(pizza_sales[[#This Row],[order_date]],"dddd")</f>
        <v>Tuesday</v>
      </c>
      <c r="H721" s="2">
        <v>36526.520532407405</v>
      </c>
      <c r="I721">
        <v>16.5</v>
      </c>
      <c r="J721">
        <v>16.5</v>
      </c>
      <c r="K721" t="s">
        <v>13</v>
      </c>
      <c r="L721" t="s">
        <v>26</v>
      </c>
      <c r="M721" t="s">
        <v>27</v>
      </c>
      <c r="N721" t="s">
        <v>28</v>
      </c>
    </row>
    <row r="722" spans="1:14" x14ac:dyDescent="0.3">
      <c r="A722">
        <v>721</v>
      </c>
      <c r="B722">
        <v>317</v>
      </c>
      <c r="C722">
        <f>1/COUNTIF(pizza_sales[[#All],[order_id]],pizza_sales[[#This Row],[order_id]])</f>
        <v>0.14285714285714285</v>
      </c>
      <c r="D722" t="s">
        <v>80</v>
      </c>
      <c r="E722">
        <v>1</v>
      </c>
      <c r="F722" s="1">
        <v>42010</v>
      </c>
      <c r="G722" s="1" t="str">
        <f>TEXT(pizza_sales[[#This Row],[order_date]],"dddd")</f>
        <v>Tuesday</v>
      </c>
      <c r="H722" s="2">
        <v>36526.521527777775</v>
      </c>
      <c r="I722">
        <v>12.75</v>
      </c>
      <c r="J722">
        <v>12.75</v>
      </c>
      <c r="K722" t="s">
        <v>41</v>
      </c>
      <c r="L722" t="s">
        <v>33</v>
      </c>
      <c r="M722" t="s">
        <v>74</v>
      </c>
      <c r="N722" t="s">
        <v>75</v>
      </c>
    </row>
    <row r="723" spans="1:14" x14ac:dyDescent="0.3">
      <c r="A723">
        <v>722</v>
      </c>
      <c r="B723">
        <v>317</v>
      </c>
      <c r="C723">
        <f>1/COUNTIF(pizza_sales[[#All],[order_id]],pizza_sales[[#This Row],[order_id]])</f>
        <v>0.14285714285714285</v>
      </c>
      <c r="D723" t="s">
        <v>17</v>
      </c>
      <c r="E723">
        <v>1</v>
      </c>
      <c r="F723" s="1">
        <v>42010</v>
      </c>
      <c r="G723" s="1" t="str">
        <f>TEXT(pizza_sales[[#This Row],[order_date]],"dddd")</f>
        <v>Tuesday</v>
      </c>
      <c r="H723" s="2">
        <v>36526.521527777775</v>
      </c>
      <c r="I723">
        <v>16</v>
      </c>
      <c r="J723">
        <v>16</v>
      </c>
      <c r="K723" t="s">
        <v>13</v>
      </c>
      <c r="L723" t="s">
        <v>14</v>
      </c>
      <c r="M723" t="s">
        <v>18</v>
      </c>
      <c r="N723" t="s">
        <v>19</v>
      </c>
    </row>
    <row r="724" spans="1:14" x14ac:dyDescent="0.3">
      <c r="A724">
        <v>723</v>
      </c>
      <c r="B724">
        <v>317</v>
      </c>
      <c r="C724">
        <f>1/COUNTIF(pizza_sales[[#All],[order_id]],pizza_sales[[#This Row],[order_id]])</f>
        <v>0.14285714285714285</v>
      </c>
      <c r="D724" t="s">
        <v>90</v>
      </c>
      <c r="E724">
        <v>1</v>
      </c>
      <c r="F724" s="1">
        <v>42010</v>
      </c>
      <c r="G724" s="1" t="str">
        <f>TEXT(pizza_sales[[#This Row],[order_date]],"dddd")</f>
        <v>Tuesday</v>
      </c>
      <c r="H724" s="2">
        <v>36526.521527777775</v>
      </c>
      <c r="I724">
        <v>17.95</v>
      </c>
      <c r="J724">
        <v>17.95</v>
      </c>
      <c r="K724" t="s">
        <v>21</v>
      </c>
      <c r="L724" t="s">
        <v>22</v>
      </c>
      <c r="M724" t="s">
        <v>91</v>
      </c>
      <c r="N724" t="s">
        <v>92</v>
      </c>
    </row>
    <row r="725" spans="1:14" x14ac:dyDescent="0.3">
      <c r="A725">
        <v>724</v>
      </c>
      <c r="B725">
        <v>317</v>
      </c>
      <c r="C725">
        <f>1/COUNTIF(pizza_sales[[#All],[order_id]],pizza_sales[[#This Row],[order_id]])</f>
        <v>0.14285714285714285</v>
      </c>
      <c r="D725" t="s">
        <v>132</v>
      </c>
      <c r="E725">
        <v>1</v>
      </c>
      <c r="F725" s="1">
        <v>42010</v>
      </c>
      <c r="G725" s="1" t="str">
        <f>TEXT(pizza_sales[[#This Row],[order_date]],"dddd")</f>
        <v>Tuesday</v>
      </c>
      <c r="H725" s="2">
        <v>36526.521527777775</v>
      </c>
      <c r="I725">
        <v>10.5</v>
      </c>
      <c r="J725">
        <v>10.5</v>
      </c>
      <c r="K725" t="s">
        <v>41</v>
      </c>
      <c r="L725" t="s">
        <v>14</v>
      </c>
      <c r="M725" t="s">
        <v>15</v>
      </c>
      <c r="N725" t="s">
        <v>16</v>
      </c>
    </row>
    <row r="726" spans="1:14" x14ac:dyDescent="0.3">
      <c r="A726">
        <v>725</v>
      </c>
      <c r="B726">
        <v>317</v>
      </c>
      <c r="C726">
        <f>1/COUNTIF(pizza_sales[[#All],[order_id]],pizza_sales[[#This Row],[order_id]])</f>
        <v>0.14285714285714285</v>
      </c>
      <c r="D726" t="s">
        <v>129</v>
      </c>
      <c r="E726">
        <v>1</v>
      </c>
      <c r="F726" s="1">
        <v>42010</v>
      </c>
      <c r="G726" s="1" t="str">
        <f>TEXT(pizza_sales[[#This Row],[order_date]],"dddd")</f>
        <v>Tuesday</v>
      </c>
      <c r="H726" s="2">
        <v>36526.521527777775</v>
      </c>
      <c r="I726">
        <v>17.5</v>
      </c>
      <c r="J726">
        <v>17.5</v>
      </c>
      <c r="K726" t="s">
        <v>21</v>
      </c>
      <c r="L726" t="s">
        <v>14</v>
      </c>
      <c r="M726" t="s">
        <v>130</v>
      </c>
      <c r="N726" t="s">
        <v>131</v>
      </c>
    </row>
    <row r="727" spans="1:14" x14ac:dyDescent="0.3">
      <c r="A727">
        <v>726</v>
      </c>
      <c r="B727">
        <v>317</v>
      </c>
      <c r="C727">
        <f>1/COUNTIF(pizza_sales[[#All],[order_id]],pizza_sales[[#This Row],[order_id]])</f>
        <v>0.14285714285714285</v>
      </c>
      <c r="D727" t="s">
        <v>120</v>
      </c>
      <c r="E727">
        <v>1</v>
      </c>
      <c r="F727" s="1">
        <v>42010</v>
      </c>
      <c r="G727" s="1" t="str">
        <f>TEXT(pizza_sales[[#This Row],[order_date]],"dddd")</f>
        <v>Tuesday</v>
      </c>
      <c r="H727" s="2">
        <v>36526.521527777775</v>
      </c>
      <c r="I727">
        <v>12.5</v>
      </c>
      <c r="J727">
        <v>12.5</v>
      </c>
      <c r="K727" t="s">
        <v>41</v>
      </c>
      <c r="L727" t="s">
        <v>26</v>
      </c>
      <c r="M727" t="s">
        <v>38</v>
      </c>
      <c r="N727" t="s">
        <v>39</v>
      </c>
    </row>
    <row r="728" spans="1:14" x14ac:dyDescent="0.3">
      <c r="A728">
        <v>727</v>
      </c>
      <c r="B728">
        <v>317</v>
      </c>
      <c r="C728">
        <f>1/COUNTIF(pizza_sales[[#All],[order_id]],pizza_sales[[#This Row],[order_id]])</f>
        <v>0.14285714285714285</v>
      </c>
      <c r="D728" t="s">
        <v>157</v>
      </c>
      <c r="E728">
        <v>1</v>
      </c>
      <c r="F728" s="1">
        <v>42010</v>
      </c>
      <c r="G728" s="1" t="str">
        <f>TEXT(pizza_sales[[#This Row],[order_date]],"dddd")</f>
        <v>Tuesday</v>
      </c>
      <c r="H728" s="2">
        <v>36526.521527777775</v>
      </c>
      <c r="I728">
        <v>12</v>
      </c>
      <c r="J728">
        <v>12</v>
      </c>
      <c r="K728" t="s">
        <v>41</v>
      </c>
      <c r="L728" t="s">
        <v>22</v>
      </c>
      <c r="M728" t="s">
        <v>110</v>
      </c>
      <c r="N728" t="s">
        <v>111</v>
      </c>
    </row>
    <row r="729" spans="1:14" x14ac:dyDescent="0.3">
      <c r="A729">
        <v>728</v>
      </c>
      <c r="B729">
        <v>318</v>
      </c>
      <c r="C729">
        <f>1/COUNTIF(pizza_sales[[#All],[order_id]],pizza_sales[[#This Row],[order_id]])</f>
        <v>0.25</v>
      </c>
      <c r="D729" t="s">
        <v>54</v>
      </c>
      <c r="E729">
        <v>1</v>
      </c>
      <c r="F729" s="1">
        <v>42010</v>
      </c>
      <c r="G729" s="1" t="str">
        <f>TEXT(pizza_sales[[#This Row],[order_date]],"dddd")</f>
        <v>Tuesday</v>
      </c>
      <c r="H729" s="2">
        <v>36526.531412037039</v>
      </c>
      <c r="I729">
        <v>20.5</v>
      </c>
      <c r="J729">
        <v>20.5</v>
      </c>
      <c r="K729" t="s">
        <v>21</v>
      </c>
      <c r="L729" t="s">
        <v>14</v>
      </c>
      <c r="M729" t="s">
        <v>55</v>
      </c>
      <c r="N729" t="s">
        <v>56</v>
      </c>
    </row>
    <row r="730" spans="1:14" x14ac:dyDescent="0.3">
      <c r="A730">
        <v>729</v>
      </c>
      <c r="B730">
        <v>318</v>
      </c>
      <c r="C730">
        <f>1/COUNTIF(pizza_sales[[#All],[order_id]],pizza_sales[[#This Row],[order_id]])</f>
        <v>0.25</v>
      </c>
      <c r="D730" t="s">
        <v>68</v>
      </c>
      <c r="E730">
        <v>1</v>
      </c>
      <c r="F730" s="1">
        <v>42010</v>
      </c>
      <c r="G730" s="1" t="str">
        <f>TEXT(pizza_sales[[#This Row],[order_date]],"dddd")</f>
        <v>Tuesday</v>
      </c>
      <c r="H730" s="2">
        <v>36526.531412037039</v>
      </c>
      <c r="I730">
        <v>20.25</v>
      </c>
      <c r="J730">
        <v>20.25</v>
      </c>
      <c r="K730" t="s">
        <v>21</v>
      </c>
      <c r="L730" t="s">
        <v>22</v>
      </c>
      <c r="M730" t="s">
        <v>30</v>
      </c>
      <c r="N730" t="s">
        <v>31</v>
      </c>
    </row>
    <row r="731" spans="1:14" x14ac:dyDescent="0.3">
      <c r="A731">
        <v>730</v>
      </c>
      <c r="B731">
        <v>318</v>
      </c>
      <c r="C731">
        <f>1/COUNTIF(pizza_sales[[#All],[order_id]],pizza_sales[[#This Row],[order_id]])</f>
        <v>0.25</v>
      </c>
      <c r="D731" t="s">
        <v>172</v>
      </c>
      <c r="E731">
        <v>1</v>
      </c>
      <c r="F731" s="1">
        <v>42010</v>
      </c>
      <c r="G731" s="1" t="str">
        <f>TEXT(pizza_sales[[#This Row],[order_date]],"dddd")</f>
        <v>Tuesday</v>
      </c>
      <c r="H731" s="2">
        <v>36526.531412037039</v>
      </c>
      <c r="I731">
        <v>12.5</v>
      </c>
      <c r="J731">
        <v>12.5</v>
      </c>
      <c r="K731" t="s">
        <v>41</v>
      </c>
      <c r="L731" t="s">
        <v>26</v>
      </c>
      <c r="M731" t="s">
        <v>88</v>
      </c>
      <c r="N731" t="s">
        <v>89</v>
      </c>
    </row>
    <row r="732" spans="1:14" x14ac:dyDescent="0.3">
      <c r="A732">
        <v>731</v>
      </c>
      <c r="B732">
        <v>318</v>
      </c>
      <c r="C732">
        <f>1/COUNTIF(pizza_sales[[#All],[order_id]],pizza_sales[[#This Row],[order_id]])</f>
        <v>0.25</v>
      </c>
      <c r="D732" t="s">
        <v>59</v>
      </c>
      <c r="E732">
        <v>1</v>
      </c>
      <c r="F732" s="1">
        <v>42010</v>
      </c>
      <c r="G732" s="1" t="str">
        <f>TEXT(pizza_sales[[#This Row],[order_date]],"dddd")</f>
        <v>Tuesday</v>
      </c>
      <c r="H732" s="2">
        <v>36526.531412037039</v>
      </c>
      <c r="I732">
        <v>20.75</v>
      </c>
      <c r="J732">
        <v>20.75</v>
      </c>
      <c r="K732" t="s">
        <v>21</v>
      </c>
      <c r="L732" t="s">
        <v>26</v>
      </c>
      <c r="M732" t="s">
        <v>60</v>
      </c>
      <c r="N732" t="s">
        <v>61</v>
      </c>
    </row>
    <row r="733" spans="1:14" x14ac:dyDescent="0.3">
      <c r="A733">
        <v>732</v>
      </c>
      <c r="B733">
        <v>319</v>
      </c>
      <c r="C733">
        <f>1/COUNTIF(pizza_sales[[#All],[order_id]],pizza_sales[[#This Row],[order_id]])</f>
        <v>1</v>
      </c>
      <c r="D733" t="s">
        <v>36</v>
      </c>
      <c r="E733">
        <v>1</v>
      </c>
      <c r="F733" s="1">
        <v>42010</v>
      </c>
      <c r="G733" s="1" t="str">
        <f>TEXT(pizza_sales[[#This Row],[order_date]],"dddd")</f>
        <v>Tuesday</v>
      </c>
      <c r="H733" s="2">
        <v>36526.532199074078</v>
      </c>
      <c r="I733">
        <v>16.5</v>
      </c>
      <c r="J733">
        <v>16.5</v>
      </c>
      <c r="K733" t="s">
        <v>13</v>
      </c>
      <c r="L733" t="s">
        <v>26</v>
      </c>
      <c r="M733" t="s">
        <v>27</v>
      </c>
      <c r="N733" t="s">
        <v>28</v>
      </c>
    </row>
    <row r="734" spans="1:14" x14ac:dyDescent="0.3">
      <c r="A734">
        <v>733</v>
      </c>
      <c r="B734">
        <v>320</v>
      </c>
      <c r="C734">
        <f>1/COUNTIF(pizza_sales[[#All],[order_id]],pizza_sales[[#This Row],[order_id]])</f>
        <v>0.5</v>
      </c>
      <c r="D734" t="s">
        <v>76</v>
      </c>
      <c r="E734">
        <v>1</v>
      </c>
      <c r="F734" s="1">
        <v>42010</v>
      </c>
      <c r="G734" s="1" t="str">
        <f>TEXT(pizza_sales[[#This Row],[order_date]],"dddd")</f>
        <v>Tuesday</v>
      </c>
      <c r="H734" s="2">
        <v>36526.532407407409</v>
      </c>
      <c r="I734">
        <v>16.75</v>
      </c>
      <c r="J734">
        <v>16.75</v>
      </c>
      <c r="K734" t="s">
        <v>13</v>
      </c>
      <c r="L734" t="s">
        <v>33</v>
      </c>
      <c r="M734" t="s">
        <v>74</v>
      </c>
      <c r="N734" t="s">
        <v>75</v>
      </c>
    </row>
    <row r="735" spans="1:14" x14ac:dyDescent="0.3">
      <c r="A735">
        <v>734</v>
      </c>
      <c r="B735">
        <v>320</v>
      </c>
      <c r="C735">
        <f>1/COUNTIF(pizza_sales[[#All],[order_id]],pizza_sales[[#This Row],[order_id]])</f>
        <v>0.5</v>
      </c>
      <c r="D735" t="s">
        <v>81</v>
      </c>
      <c r="E735">
        <v>1</v>
      </c>
      <c r="F735" s="1">
        <v>42010</v>
      </c>
      <c r="G735" s="1" t="str">
        <f>TEXT(pizza_sales[[#This Row],[order_date]],"dddd")</f>
        <v>Tuesday</v>
      </c>
      <c r="H735" s="2">
        <v>36526.532407407409</v>
      </c>
      <c r="I735">
        <v>20.75</v>
      </c>
      <c r="J735">
        <v>20.75</v>
      </c>
      <c r="K735" t="s">
        <v>21</v>
      </c>
      <c r="L735" t="s">
        <v>33</v>
      </c>
      <c r="M735" t="s">
        <v>82</v>
      </c>
      <c r="N735" t="s">
        <v>83</v>
      </c>
    </row>
    <row r="736" spans="1:14" x14ac:dyDescent="0.3">
      <c r="A736">
        <v>735</v>
      </c>
      <c r="B736">
        <v>321</v>
      </c>
      <c r="C736">
        <f>1/COUNTIF(pizza_sales[[#All],[order_id]],pizza_sales[[#This Row],[order_id]])</f>
        <v>1</v>
      </c>
      <c r="D736" t="s">
        <v>25</v>
      </c>
      <c r="E736">
        <v>1</v>
      </c>
      <c r="F736" s="1">
        <v>42010</v>
      </c>
      <c r="G736" s="1" t="str">
        <f>TEXT(pizza_sales[[#This Row],[order_date]],"dddd")</f>
        <v>Tuesday</v>
      </c>
      <c r="H736" s="2">
        <v>36526.539131944446</v>
      </c>
      <c r="I736">
        <v>20.75</v>
      </c>
      <c r="J736">
        <v>20.75</v>
      </c>
      <c r="K736" t="s">
        <v>21</v>
      </c>
      <c r="L736" t="s">
        <v>26</v>
      </c>
      <c r="M736" t="s">
        <v>27</v>
      </c>
      <c r="N736" t="s">
        <v>28</v>
      </c>
    </row>
    <row r="737" spans="1:14" x14ac:dyDescent="0.3">
      <c r="A737">
        <v>736</v>
      </c>
      <c r="B737">
        <v>322</v>
      </c>
      <c r="C737">
        <f>1/COUNTIF(pizza_sales[[#All],[order_id]],pizza_sales[[#This Row],[order_id]])</f>
        <v>0.25</v>
      </c>
      <c r="D737" t="s">
        <v>73</v>
      </c>
      <c r="E737">
        <v>1</v>
      </c>
      <c r="F737" s="1">
        <v>42010</v>
      </c>
      <c r="G737" s="1" t="str">
        <f>TEXT(pizza_sales[[#This Row],[order_date]],"dddd")</f>
        <v>Tuesday</v>
      </c>
      <c r="H737" s="2">
        <v>36526.543206018519</v>
      </c>
      <c r="I737">
        <v>20.75</v>
      </c>
      <c r="J737">
        <v>20.75</v>
      </c>
      <c r="K737" t="s">
        <v>21</v>
      </c>
      <c r="L737" t="s">
        <v>33</v>
      </c>
      <c r="M737" t="s">
        <v>74</v>
      </c>
      <c r="N737" t="s">
        <v>75</v>
      </c>
    </row>
    <row r="738" spans="1:14" x14ac:dyDescent="0.3">
      <c r="A738">
        <v>737</v>
      </c>
      <c r="B738">
        <v>322</v>
      </c>
      <c r="C738">
        <f>1/COUNTIF(pizza_sales[[#All],[order_id]],pizza_sales[[#This Row],[order_id]])</f>
        <v>0.25</v>
      </c>
      <c r="D738" t="s">
        <v>81</v>
      </c>
      <c r="E738">
        <v>1</v>
      </c>
      <c r="F738" s="1">
        <v>42010</v>
      </c>
      <c r="G738" s="1" t="str">
        <f>TEXT(pizza_sales[[#This Row],[order_date]],"dddd")</f>
        <v>Tuesday</v>
      </c>
      <c r="H738" s="2">
        <v>36526.543206018519</v>
      </c>
      <c r="I738">
        <v>20.75</v>
      </c>
      <c r="J738">
        <v>20.75</v>
      </c>
      <c r="K738" t="s">
        <v>21</v>
      </c>
      <c r="L738" t="s">
        <v>33</v>
      </c>
      <c r="M738" t="s">
        <v>82</v>
      </c>
      <c r="N738" t="s">
        <v>83</v>
      </c>
    </row>
    <row r="739" spans="1:14" x14ac:dyDescent="0.3">
      <c r="A739">
        <v>738</v>
      </c>
      <c r="B739">
        <v>322</v>
      </c>
      <c r="C739">
        <f>1/COUNTIF(pizza_sales[[#All],[order_id]],pizza_sales[[#This Row],[order_id]])</f>
        <v>0.25</v>
      </c>
      <c r="D739" t="s">
        <v>50</v>
      </c>
      <c r="E739">
        <v>1</v>
      </c>
      <c r="F739" s="1">
        <v>42010</v>
      </c>
      <c r="G739" s="1" t="str">
        <f>TEXT(pizza_sales[[#This Row],[order_date]],"dddd")</f>
        <v>Tuesday</v>
      </c>
      <c r="H739" s="2">
        <v>36526.543206018519</v>
      </c>
      <c r="I739">
        <v>12</v>
      </c>
      <c r="J739">
        <v>12</v>
      </c>
      <c r="K739" t="s">
        <v>41</v>
      </c>
      <c r="L739" t="s">
        <v>14</v>
      </c>
      <c r="M739" t="s">
        <v>18</v>
      </c>
      <c r="N739" t="s">
        <v>19</v>
      </c>
    </row>
    <row r="740" spans="1:14" x14ac:dyDescent="0.3">
      <c r="A740">
        <v>739</v>
      </c>
      <c r="B740">
        <v>322</v>
      </c>
      <c r="C740">
        <f>1/COUNTIF(pizza_sales[[#All],[order_id]],pizza_sales[[#This Row],[order_id]])</f>
        <v>0.25</v>
      </c>
      <c r="D740" t="s">
        <v>32</v>
      </c>
      <c r="E740">
        <v>1</v>
      </c>
      <c r="F740" s="1">
        <v>42010</v>
      </c>
      <c r="G740" s="1" t="str">
        <f>TEXT(pizza_sales[[#This Row],[order_date]],"dddd")</f>
        <v>Tuesday</v>
      </c>
      <c r="H740" s="2">
        <v>36526.543206018519</v>
      </c>
      <c r="I740">
        <v>20.75</v>
      </c>
      <c r="J740">
        <v>20.75</v>
      </c>
      <c r="K740" t="s">
        <v>21</v>
      </c>
      <c r="L740" t="s">
        <v>33</v>
      </c>
      <c r="M740" t="s">
        <v>34</v>
      </c>
      <c r="N740" t="s">
        <v>35</v>
      </c>
    </row>
    <row r="741" spans="1:14" x14ac:dyDescent="0.3">
      <c r="A741">
        <v>740</v>
      </c>
      <c r="B741">
        <v>323</v>
      </c>
      <c r="C741">
        <f>1/COUNTIF(pizza_sales[[#All],[order_id]],pizza_sales[[#This Row],[order_id]])</f>
        <v>1</v>
      </c>
      <c r="D741" t="s">
        <v>17</v>
      </c>
      <c r="E741">
        <v>1</v>
      </c>
      <c r="F741" s="1">
        <v>42010</v>
      </c>
      <c r="G741" s="1" t="str">
        <f>TEXT(pizza_sales[[#This Row],[order_date]],"dddd")</f>
        <v>Tuesday</v>
      </c>
      <c r="H741" s="2">
        <v>36526.545520833337</v>
      </c>
      <c r="I741">
        <v>16</v>
      </c>
      <c r="J741">
        <v>16</v>
      </c>
      <c r="K741" t="s">
        <v>13</v>
      </c>
      <c r="L741" t="s">
        <v>14</v>
      </c>
      <c r="M741" t="s">
        <v>18</v>
      </c>
      <c r="N741" t="s">
        <v>19</v>
      </c>
    </row>
    <row r="742" spans="1:14" x14ac:dyDescent="0.3">
      <c r="A742">
        <v>741</v>
      </c>
      <c r="B742">
        <v>324</v>
      </c>
      <c r="C742">
        <f>1/COUNTIF(pizza_sales[[#All],[order_id]],pizza_sales[[#This Row],[order_id]])</f>
        <v>1</v>
      </c>
      <c r="D742" t="s">
        <v>20</v>
      </c>
      <c r="E742">
        <v>1</v>
      </c>
      <c r="F742" s="1">
        <v>42010</v>
      </c>
      <c r="G742" s="1" t="str">
        <f>TEXT(pizza_sales[[#This Row],[order_date]],"dddd")</f>
        <v>Tuesday</v>
      </c>
      <c r="H742" s="2">
        <v>36526.546342592592</v>
      </c>
      <c r="I742">
        <v>18.5</v>
      </c>
      <c r="J742">
        <v>18.5</v>
      </c>
      <c r="K742" t="s">
        <v>21</v>
      </c>
      <c r="L742" t="s">
        <v>22</v>
      </c>
      <c r="M742" t="s">
        <v>23</v>
      </c>
      <c r="N742" t="s">
        <v>24</v>
      </c>
    </row>
    <row r="743" spans="1:14" x14ac:dyDescent="0.3">
      <c r="A743">
        <v>742</v>
      </c>
      <c r="B743">
        <v>325</v>
      </c>
      <c r="C743">
        <f>1/COUNTIF(pizza_sales[[#All],[order_id]],pizza_sales[[#This Row],[order_id]])</f>
        <v>0.5</v>
      </c>
      <c r="D743" t="s">
        <v>50</v>
      </c>
      <c r="E743">
        <v>1</v>
      </c>
      <c r="F743" s="1">
        <v>42010</v>
      </c>
      <c r="G743" s="1" t="str">
        <f>TEXT(pizza_sales[[#This Row],[order_date]],"dddd")</f>
        <v>Tuesday</v>
      </c>
      <c r="H743" s="2">
        <v>36526.546898148146</v>
      </c>
      <c r="I743">
        <v>12</v>
      </c>
      <c r="J743">
        <v>12</v>
      </c>
      <c r="K743" t="s">
        <v>41</v>
      </c>
      <c r="L743" t="s">
        <v>14</v>
      </c>
      <c r="M743" t="s">
        <v>18</v>
      </c>
      <c r="N743" t="s">
        <v>19</v>
      </c>
    </row>
    <row r="744" spans="1:14" x14ac:dyDescent="0.3">
      <c r="A744">
        <v>743</v>
      </c>
      <c r="B744">
        <v>325</v>
      </c>
      <c r="C744">
        <f>1/COUNTIF(pizza_sales[[#All],[order_id]],pizza_sales[[#This Row],[order_id]])</f>
        <v>0.5</v>
      </c>
      <c r="D744" t="s">
        <v>65</v>
      </c>
      <c r="E744">
        <v>1</v>
      </c>
      <c r="F744" s="1">
        <v>42010</v>
      </c>
      <c r="G744" s="1" t="str">
        <f>TEXT(pizza_sales[[#This Row],[order_date]],"dddd")</f>
        <v>Tuesday</v>
      </c>
      <c r="H744" s="2">
        <v>36526.546898148146</v>
      </c>
      <c r="I744">
        <v>12</v>
      </c>
      <c r="J744">
        <v>12</v>
      </c>
      <c r="K744" t="s">
        <v>41</v>
      </c>
      <c r="L744" t="s">
        <v>22</v>
      </c>
      <c r="M744" t="s">
        <v>66</v>
      </c>
      <c r="N744" t="s">
        <v>67</v>
      </c>
    </row>
    <row r="745" spans="1:14" x14ac:dyDescent="0.3">
      <c r="A745">
        <v>744</v>
      </c>
      <c r="B745">
        <v>326</v>
      </c>
      <c r="C745">
        <f>1/COUNTIF(pizza_sales[[#All],[order_id]],pizza_sales[[#This Row],[order_id]])</f>
        <v>0.5</v>
      </c>
      <c r="D745" t="s">
        <v>76</v>
      </c>
      <c r="E745">
        <v>1</v>
      </c>
      <c r="F745" s="1">
        <v>42010</v>
      </c>
      <c r="G745" s="1" t="str">
        <f>TEXT(pizza_sales[[#This Row],[order_date]],"dddd")</f>
        <v>Tuesday</v>
      </c>
      <c r="H745" s="2">
        <v>36526.548761574071</v>
      </c>
      <c r="I745">
        <v>16.75</v>
      </c>
      <c r="J745">
        <v>16.75</v>
      </c>
      <c r="K745" t="s">
        <v>13</v>
      </c>
      <c r="L745" t="s">
        <v>33</v>
      </c>
      <c r="M745" t="s">
        <v>74</v>
      </c>
      <c r="N745" t="s">
        <v>75</v>
      </c>
    </row>
    <row r="746" spans="1:14" x14ac:dyDescent="0.3">
      <c r="A746">
        <v>745</v>
      </c>
      <c r="B746">
        <v>326</v>
      </c>
      <c r="C746">
        <f>1/COUNTIF(pizza_sales[[#All],[order_id]],pizza_sales[[#This Row],[order_id]])</f>
        <v>0.5</v>
      </c>
      <c r="D746" t="s">
        <v>152</v>
      </c>
      <c r="E746">
        <v>1</v>
      </c>
      <c r="F746" s="1">
        <v>42010</v>
      </c>
      <c r="G746" s="1" t="str">
        <f>TEXT(pizza_sales[[#This Row],[order_date]],"dddd")</f>
        <v>Tuesday</v>
      </c>
      <c r="H746" s="2">
        <v>36526.548761574071</v>
      </c>
      <c r="I746">
        <v>20.75</v>
      </c>
      <c r="J746">
        <v>20.75</v>
      </c>
      <c r="K746" t="s">
        <v>21</v>
      </c>
      <c r="L746" t="s">
        <v>26</v>
      </c>
      <c r="M746" t="s">
        <v>48</v>
      </c>
      <c r="N746" t="s">
        <v>49</v>
      </c>
    </row>
    <row r="747" spans="1:14" x14ac:dyDescent="0.3">
      <c r="A747">
        <v>746</v>
      </c>
      <c r="B747">
        <v>327</v>
      </c>
      <c r="C747">
        <f>1/COUNTIF(pizza_sales[[#All],[order_id]],pizza_sales[[#This Row],[order_id]])</f>
        <v>1</v>
      </c>
      <c r="D747" t="s">
        <v>17</v>
      </c>
      <c r="E747">
        <v>1</v>
      </c>
      <c r="F747" s="1">
        <v>42010</v>
      </c>
      <c r="G747" s="1" t="str">
        <f>TEXT(pizza_sales[[#This Row],[order_date]],"dddd")</f>
        <v>Tuesday</v>
      </c>
      <c r="H747" s="2">
        <v>36526.54923611111</v>
      </c>
      <c r="I747">
        <v>16</v>
      </c>
      <c r="J747">
        <v>16</v>
      </c>
      <c r="K747" t="s">
        <v>13</v>
      </c>
      <c r="L747" t="s">
        <v>14</v>
      </c>
      <c r="M747" t="s">
        <v>18</v>
      </c>
      <c r="N747" t="s">
        <v>19</v>
      </c>
    </row>
    <row r="748" spans="1:14" x14ac:dyDescent="0.3">
      <c r="A748">
        <v>747</v>
      </c>
      <c r="B748">
        <v>328</v>
      </c>
      <c r="C748">
        <f>1/COUNTIF(pizza_sales[[#All],[order_id]],pizza_sales[[#This Row],[order_id]])</f>
        <v>1</v>
      </c>
      <c r="D748" t="s">
        <v>146</v>
      </c>
      <c r="E748">
        <v>1</v>
      </c>
      <c r="F748" s="1">
        <v>42010</v>
      </c>
      <c r="G748" s="1" t="str">
        <f>TEXT(pizza_sales[[#This Row],[order_date]],"dddd")</f>
        <v>Tuesday</v>
      </c>
      <c r="H748" s="2">
        <v>36526.553182870368</v>
      </c>
      <c r="I748">
        <v>20.25</v>
      </c>
      <c r="J748">
        <v>20.25</v>
      </c>
      <c r="K748" t="s">
        <v>21</v>
      </c>
      <c r="L748" t="s">
        <v>22</v>
      </c>
      <c r="M748" t="s">
        <v>104</v>
      </c>
      <c r="N748" t="s">
        <v>105</v>
      </c>
    </row>
    <row r="749" spans="1:14" x14ac:dyDescent="0.3">
      <c r="A749">
        <v>748</v>
      </c>
      <c r="B749">
        <v>329</v>
      </c>
      <c r="C749">
        <f>1/COUNTIF(pizza_sales[[#All],[order_id]],pizza_sales[[#This Row],[order_id]])</f>
        <v>0.5</v>
      </c>
      <c r="D749" t="s">
        <v>59</v>
      </c>
      <c r="E749">
        <v>1</v>
      </c>
      <c r="F749" s="1">
        <v>42010</v>
      </c>
      <c r="G749" s="1" t="str">
        <f>TEXT(pizza_sales[[#This Row],[order_date]],"dddd")</f>
        <v>Tuesday</v>
      </c>
      <c r="H749" s="2">
        <v>36526.557453703703</v>
      </c>
      <c r="I749">
        <v>20.75</v>
      </c>
      <c r="J749">
        <v>20.75</v>
      </c>
      <c r="K749" t="s">
        <v>21</v>
      </c>
      <c r="L749" t="s">
        <v>26</v>
      </c>
      <c r="M749" t="s">
        <v>60</v>
      </c>
      <c r="N749" t="s">
        <v>61</v>
      </c>
    </row>
    <row r="750" spans="1:14" x14ac:dyDescent="0.3">
      <c r="A750">
        <v>749</v>
      </c>
      <c r="B750">
        <v>329</v>
      </c>
      <c r="C750">
        <f>1/COUNTIF(pizza_sales[[#All],[order_id]],pizza_sales[[#This Row],[order_id]])</f>
        <v>0.5</v>
      </c>
      <c r="D750" t="s">
        <v>144</v>
      </c>
      <c r="E750">
        <v>1</v>
      </c>
      <c r="F750" s="1">
        <v>42010</v>
      </c>
      <c r="G750" s="1" t="str">
        <f>TEXT(pizza_sales[[#This Row],[order_date]],"dddd")</f>
        <v>Tuesday</v>
      </c>
      <c r="H750" s="2">
        <v>36526.557453703703</v>
      </c>
      <c r="I750">
        <v>16.5</v>
      </c>
      <c r="J750">
        <v>16.5</v>
      </c>
      <c r="K750" t="s">
        <v>13</v>
      </c>
      <c r="L750" t="s">
        <v>26</v>
      </c>
      <c r="M750" t="s">
        <v>48</v>
      </c>
      <c r="N750" t="s">
        <v>49</v>
      </c>
    </row>
    <row r="751" spans="1:14" x14ac:dyDescent="0.3">
      <c r="A751">
        <v>750</v>
      </c>
      <c r="B751">
        <v>330</v>
      </c>
      <c r="C751">
        <f>1/COUNTIF(pizza_sales[[#All],[order_id]],pizza_sales[[#This Row],[order_id]])</f>
        <v>7.1428571428571425E-2</v>
      </c>
      <c r="D751" t="s">
        <v>84</v>
      </c>
      <c r="E751">
        <v>1</v>
      </c>
      <c r="F751" s="1">
        <v>42010</v>
      </c>
      <c r="G751" s="1" t="str">
        <f>TEXT(pizza_sales[[#This Row],[order_date]],"dddd")</f>
        <v>Tuesday</v>
      </c>
      <c r="H751" s="2">
        <v>36526.560543981483</v>
      </c>
      <c r="I751">
        <v>12</v>
      </c>
      <c r="J751">
        <v>12</v>
      </c>
      <c r="K751" t="s">
        <v>41</v>
      </c>
      <c r="L751" t="s">
        <v>14</v>
      </c>
      <c r="M751" t="s">
        <v>85</v>
      </c>
      <c r="N751" t="s">
        <v>86</v>
      </c>
    </row>
    <row r="752" spans="1:14" x14ac:dyDescent="0.3">
      <c r="A752">
        <v>751</v>
      </c>
      <c r="B752">
        <v>330</v>
      </c>
      <c r="C752">
        <f>1/COUNTIF(pizza_sales[[#All],[order_id]],pizza_sales[[#This Row],[order_id]])</f>
        <v>7.1428571428571425E-2</v>
      </c>
      <c r="D752" t="s">
        <v>134</v>
      </c>
      <c r="E752">
        <v>1</v>
      </c>
      <c r="F752" s="1">
        <v>42010</v>
      </c>
      <c r="G752" s="1" t="str">
        <f>TEXT(pizza_sales[[#This Row],[order_date]],"dddd")</f>
        <v>Tuesday</v>
      </c>
      <c r="H752" s="2">
        <v>36526.560543981483</v>
      </c>
      <c r="I752">
        <v>16.75</v>
      </c>
      <c r="J752">
        <v>16.75</v>
      </c>
      <c r="K752" t="s">
        <v>13</v>
      </c>
      <c r="L752" t="s">
        <v>33</v>
      </c>
      <c r="M752" t="s">
        <v>124</v>
      </c>
      <c r="N752" t="s">
        <v>125</v>
      </c>
    </row>
    <row r="753" spans="1:14" x14ac:dyDescent="0.3">
      <c r="A753">
        <v>752</v>
      </c>
      <c r="B753">
        <v>330</v>
      </c>
      <c r="C753">
        <f>1/COUNTIF(pizza_sales[[#All],[order_id]],pizza_sales[[#This Row],[order_id]])</f>
        <v>7.1428571428571425E-2</v>
      </c>
      <c r="D753" t="s">
        <v>17</v>
      </c>
      <c r="E753">
        <v>1</v>
      </c>
      <c r="F753" s="1">
        <v>42010</v>
      </c>
      <c r="G753" s="1" t="str">
        <f>TEXT(pizza_sales[[#This Row],[order_date]],"dddd")</f>
        <v>Tuesday</v>
      </c>
      <c r="H753" s="2">
        <v>36526.560543981483</v>
      </c>
      <c r="I753">
        <v>16</v>
      </c>
      <c r="J753">
        <v>16</v>
      </c>
      <c r="K753" t="s">
        <v>13</v>
      </c>
      <c r="L753" t="s">
        <v>14</v>
      </c>
      <c r="M753" t="s">
        <v>18</v>
      </c>
      <c r="N753" t="s">
        <v>19</v>
      </c>
    </row>
    <row r="754" spans="1:14" x14ac:dyDescent="0.3">
      <c r="A754">
        <v>753</v>
      </c>
      <c r="B754">
        <v>330</v>
      </c>
      <c r="C754">
        <f>1/COUNTIF(pizza_sales[[#All],[order_id]],pizza_sales[[#This Row],[order_id]])</f>
        <v>7.1428571428571425E-2</v>
      </c>
      <c r="D754" t="s">
        <v>50</v>
      </c>
      <c r="E754">
        <v>1</v>
      </c>
      <c r="F754" s="1">
        <v>42010</v>
      </c>
      <c r="G754" s="1" t="str">
        <f>TEXT(pizza_sales[[#This Row],[order_date]],"dddd")</f>
        <v>Tuesday</v>
      </c>
      <c r="H754" s="2">
        <v>36526.560543981483</v>
      </c>
      <c r="I754">
        <v>12</v>
      </c>
      <c r="J754">
        <v>12</v>
      </c>
      <c r="K754" t="s">
        <v>41</v>
      </c>
      <c r="L754" t="s">
        <v>14</v>
      </c>
      <c r="M754" t="s">
        <v>18</v>
      </c>
      <c r="N754" t="s">
        <v>19</v>
      </c>
    </row>
    <row r="755" spans="1:14" x14ac:dyDescent="0.3">
      <c r="A755">
        <v>754</v>
      </c>
      <c r="B755">
        <v>330</v>
      </c>
      <c r="C755">
        <f>1/COUNTIF(pizza_sales[[#All],[order_id]],pizza_sales[[#This Row],[order_id]])</f>
        <v>7.1428571428571425E-2</v>
      </c>
      <c r="D755" t="s">
        <v>20</v>
      </c>
      <c r="E755">
        <v>1</v>
      </c>
      <c r="F755" s="1">
        <v>42010</v>
      </c>
      <c r="G755" s="1" t="str">
        <f>TEXT(pizza_sales[[#This Row],[order_date]],"dddd")</f>
        <v>Tuesday</v>
      </c>
      <c r="H755" s="2">
        <v>36526.560543981483</v>
      </c>
      <c r="I755">
        <v>18.5</v>
      </c>
      <c r="J755">
        <v>18.5</v>
      </c>
      <c r="K755" t="s">
        <v>21</v>
      </c>
      <c r="L755" t="s">
        <v>22</v>
      </c>
      <c r="M755" t="s">
        <v>23</v>
      </c>
      <c r="N755" t="s">
        <v>24</v>
      </c>
    </row>
    <row r="756" spans="1:14" x14ac:dyDescent="0.3">
      <c r="A756">
        <v>755</v>
      </c>
      <c r="B756">
        <v>330</v>
      </c>
      <c r="C756">
        <f>1/COUNTIF(pizza_sales[[#All],[order_id]],pizza_sales[[#This Row],[order_id]])</f>
        <v>7.1428571428571425E-2</v>
      </c>
      <c r="D756" t="s">
        <v>90</v>
      </c>
      <c r="E756">
        <v>2</v>
      </c>
      <c r="F756" s="1">
        <v>42010</v>
      </c>
      <c r="G756" s="1" t="str">
        <f>TEXT(pizza_sales[[#This Row],[order_date]],"dddd")</f>
        <v>Tuesday</v>
      </c>
      <c r="H756" s="2">
        <v>36526.560543981483</v>
      </c>
      <c r="I756">
        <v>17.95</v>
      </c>
      <c r="J756">
        <v>35.9</v>
      </c>
      <c r="K756" t="s">
        <v>21</v>
      </c>
      <c r="L756" t="s">
        <v>22</v>
      </c>
      <c r="M756" t="s">
        <v>91</v>
      </c>
      <c r="N756" t="s">
        <v>92</v>
      </c>
    </row>
    <row r="757" spans="1:14" x14ac:dyDescent="0.3">
      <c r="A757">
        <v>756</v>
      </c>
      <c r="B757">
        <v>330</v>
      </c>
      <c r="C757">
        <f>1/COUNTIF(pizza_sales[[#All],[order_id]],pizza_sales[[#This Row],[order_id]])</f>
        <v>7.1428571428571425E-2</v>
      </c>
      <c r="D757" t="s">
        <v>142</v>
      </c>
      <c r="E757">
        <v>1</v>
      </c>
      <c r="F757" s="1">
        <v>42010</v>
      </c>
      <c r="G757" s="1" t="str">
        <f>TEXT(pizza_sales[[#This Row],[order_date]],"dddd")</f>
        <v>Tuesday</v>
      </c>
      <c r="H757" s="2">
        <v>36526.560543981483</v>
      </c>
      <c r="I757">
        <v>16.5</v>
      </c>
      <c r="J757">
        <v>16.5</v>
      </c>
      <c r="K757" t="s">
        <v>21</v>
      </c>
      <c r="L757" t="s">
        <v>14</v>
      </c>
      <c r="M757" t="s">
        <v>15</v>
      </c>
      <c r="N757" t="s">
        <v>16</v>
      </c>
    </row>
    <row r="758" spans="1:14" x14ac:dyDescent="0.3">
      <c r="A758">
        <v>757</v>
      </c>
      <c r="B758">
        <v>330</v>
      </c>
      <c r="C758">
        <f>1/COUNTIF(pizza_sales[[#All],[order_id]],pizza_sales[[#This Row],[order_id]])</f>
        <v>7.1428571428571425E-2</v>
      </c>
      <c r="D758" t="s">
        <v>129</v>
      </c>
      <c r="E758">
        <v>1</v>
      </c>
      <c r="F758" s="1">
        <v>42010</v>
      </c>
      <c r="G758" s="1" t="str">
        <f>TEXT(pizza_sales[[#This Row],[order_date]],"dddd")</f>
        <v>Tuesday</v>
      </c>
      <c r="H758" s="2">
        <v>36526.560543981483</v>
      </c>
      <c r="I758">
        <v>17.5</v>
      </c>
      <c r="J758">
        <v>17.5</v>
      </c>
      <c r="K758" t="s">
        <v>21</v>
      </c>
      <c r="L758" t="s">
        <v>14</v>
      </c>
      <c r="M758" t="s">
        <v>130</v>
      </c>
      <c r="N758" t="s">
        <v>131</v>
      </c>
    </row>
    <row r="759" spans="1:14" x14ac:dyDescent="0.3">
      <c r="A759">
        <v>758</v>
      </c>
      <c r="B759">
        <v>330</v>
      </c>
      <c r="C759">
        <f>1/COUNTIF(pizza_sales[[#All],[order_id]],pizza_sales[[#This Row],[order_id]])</f>
        <v>7.1428571428571425E-2</v>
      </c>
      <c r="D759" t="s">
        <v>106</v>
      </c>
      <c r="E759">
        <v>1</v>
      </c>
      <c r="F759" s="1">
        <v>42010</v>
      </c>
      <c r="G759" s="1" t="str">
        <f>TEXT(pizza_sales[[#This Row],[order_date]],"dddd")</f>
        <v>Tuesday</v>
      </c>
      <c r="H759" s="2">
        <v>36526.560543981483</v>
      </c>
      <c r="I759">
        <v>12.5</v>
      </c>
      <c r="J759">
        <v>12.5</v>
      </c>
      <c r="K759" t="s">
        <v>41</v>
      </c>
      <c r="L759" t="s">
        <v>26</v>
      </c>
      <c r="M759" t="s">
        <v>107</v>
      </c>
      <c r="N759" t="s">
        <v>108</v>
      </c>
    </row>
    <row r="760" spans="1:14" x14ac:dyDescent="0.3">
      <c r="A760">
        <v>759</v>
      </c>
      <c r="B760">
        <v>330</v>
      </c>
      <c r="C760">
        <f>1/COUNTIF(pizza_sales[[#All],[order_id]],pizza_sales[[#This Row],[order_id]])</f>
        <v>7.1428571428571425E-2</v>
      </c>
      <c r="D760" t="s">
        <v>113</v>
      </c>
      <c r="E760">
        <v>1</v>
      </c>
      <c r="F760" s="1">
        <v>42010</v>
      </c>
      <c r="G760" s="1" t="str">
        <f>TEXT(pizza_sales[[#This Row],[order_date]],"dddd")</f>
        <v>Tuesday</v>
      </c>
      <c r="H760" s="2">
        <v>36526.560543981483</v>
      </c>
      <c r="I760">
        <v>20.25</v>
      </c>
      <c r="J760">
        <v>20.25</v>
      </c>
      <c r="K760" t="s">
        <v>21</v>
      </c>
      <c r="L760" t="s">
        <v>26</v>
      </c>
      <c r="M760" t="s">
        <v>114</v>
      </c>
      <c r="N760" t="s">
        <v>115</v>
      </c>
    </row>
    <row r="761" spans="1:14" x14ac:dyDescent="0.3">
      <c r="A761">
        <v>760</v>
      </c>
      <c r="B761">
        <v>330</v>
      </c>
      <c r="C761">
        <f>1/COUNTIF(pizza_sales[[#All],[order_id]],pizza_sales[[#This Row],[order_id]])</f>
        <v>7.1428571428571425E-2</v>
      </c>
      <c r="D761" t="s">
        <v>59</v>
      </c>
      <c r="E761">
        <v>1</v>
      </c>
      <c r="F761" s="1">
        <v>42010</v>
      </c>
      <c r="G761" s="1" t="str">
        <f>TEXT(pizza_sales[[#This Row],[order_date]],"dddd")</f>
        <v>Tuesday</v>
      </c>
      <c r="H761" s="2">
        <v>36526.560543981483</v>
      </c>
      <c r="I761">
        <v>20.75</v>
      </c>
      <c r="J761">
        <v>20.75</v>
      </c>
      <c r="K761" t="s">
        <v>21</v>
      </c>
      <c r="L761" t="s">
        <v>26</v>
      </c>
      <c r="M761" t="s">
        <v>60</v>
      </c>
      <c r="N761" t="s">
        <v>61</v>
      </c>
    </row>
    <row r="762" spans="1:14" x14ac:dyDescent="0.3">
      <c r="A762">
        <v>761</v>
      </c>
      <c r="B762">
        <v>330</v>
      </c>
      <c r="C762">
        <f>1/COUNTIF(pizza_sales[[#All],[order_id]],pizza_sales[[#This Row],[order_id]])</f>
        <v>7.1428571428571425E-2</v>
      </c>
      <c r="D762" t="s">
        <v>158</v>
      </c>
      <c r="E762">
        <v>1</v>
      </c>
      <c r="F762" s="1">
        <v>42010</v>
      </c>
      <c r="G762" s="1" t="str">
        <f>TEXT(pizza_sales[[#This Row],[order_date]],"dddd")</f>
        <v>Tuesday</v>
      </c>
      <c r="H762" s="2">
        <v>36526.560543981483</v>
      </c>
      <c r="I762">
        <v>16.5</v>
      </c>
      <c r="J762">
        <v>16.5</v>
      </c>
      <c r="K762" t="s">
        <v>13</v>
      </c>
      <c r="L762" t="s">
        <v>26</v>
      </c>
      <c r="M762" t="s">
        <v>60</v>
      </c>
      <c r="N762" t="s">
        <v>61</v>
      </c>
    </row>
    <row r="763" spans="1:14" x14ac:dyDescent="0.3">
      <c r="A763">
        <v>762</v>
      </c>
      <c r="B763">
        <v>330</v>
      </c>
      <c r="C763">
        <f>1/COUNTIF(pizza_sales[[#All],[order_id]],pizza_sales[[#This Row],[order_id]])</f>
        <v>7.1428571428571425E-2</v>
      </c>
      <c r="D763" t="s">
        <v>109</v>
      </c>
      <c r="E763">
        <v>1</v>
      </c>
      <c r="F763" s="1">
        <v>42010</v>
      </c>
      <c r="G763" s="1" t="str">
        <f>TEXT(pizza_sales[[#This Row],[order_date]],"dddd")</f>
        <v>Tuesday</v>
      </c>
      <c r="H763" s="2">
        <v>36526.560543981483</v>
      </c>
      <c r="I763">
        <v>20.25</v>
      </c>
      <c r="J763">
        <v>20.25</v>
      </c>
      <c r="K763" t="s">
        <v>21</v>
      </c>
      <c r="L763" t="s">
        <v>22</v>
      </c>
      <c r="M763" t="s">
        <v>110</v>
      </c>
      <c r="N763" t="s">
        <v>111</v>
      </c>
    </row>
    <row r="764" spans="1:14" x14ac:dyDescent="0.3">
      <c r="A764">
        <v>763</v>
      </c>
      <c r="B764">
        <v>330</v>
      </c>
      <c r="C764">
        <f>1/COUNTIF(pizza_sales[[#All],[order_id]],pizza_sales[[#This Row],[order_id]])</f>
        <v>7.1428571428571425E-2</v>
      </c>
      <c r="D764" t="s">
        <v>155</v>
      </c>
      <c r="E764">
        <v>1</v>
      </c>
      <c r="F764" s="1">
        <v>42010</v>
      </c>
      <c r="G764" s="1" t="str">
        <f>TEXT(pizza_sales[[#This Row],[order_date]],"dddd")</f>
        <v>Tuesday</v>
      </c>
      <c r="H764" s="2">
        <v>36526.560543981483</v>
      </c>
      <c r="I764">
        <v>16</v>
      </c>
      <c r="J764">
        <v>16</v>
      </c>
      <c r="K764" t="s">
        <v>13</v>
      </c>
      <c r="L764" t="s">
        <v>14</v>
      </c>
      <c r="M764" t="s">
        <v>45</v>
      </c>
      <c r="N764" t="s">
        <v>46</v>
      </c>
    </row>
    <row r="765" spans="1:14" x14ac:dyDescent="0.3">
      <c r="A765">
        <v>764</v>
      </c>
      <c r="B765">
        <v>331</v>
      </c>
      <c r="C765">
        <f>1/COUNTIF(pizza_sales[[#All],[order_id]],pizza_sales[[#This Row],[order_id]])</f>
        <v>1</v>
      </c>
      <c r="D765" t="s">
        <v>145</v>
      </c>
      <c r="E765">
        <v>1</v>
      </c>
      <c r="F765" s="1">
        <v>42010</v>
      </c>
      <c r="G765" s="1" t="str">
        <f>TEXT(pizza_sales[[#This Row],[order_date]],"dddd")</f>
        <v>Tuesday</v>
      </c>
      <c r="H765" s="2">
        <v>36526.571875000001</v>
      </c>
      <c r="I765">
        <v>16.5</v>
      </c>
      <c r="J765">
        <v>16.5</v>
      </c>
      <c r="K765" t="s">
        <v>13</v>
      </c>
      <c r="L765" t="s">
        <v>26</v>
      </c>
      <c r="M765" t="s">
        <v>38</v>
      </c>
      <c r="N765" t="s">
        <v>39</v>
      </c>
    </row>
    <row r="766" spans="1:14" x14ac:dyDescent="0.3">
      <c r="A766">
        <v>765</v>
      </c>
      <c r="B766">
        <v>332</v>
      </c>
      <c r="C766">
        <f>1/COUNTIF(pizza_sales[[#All],[order_id]],pizza_sales[[#This Row],[order_id]])</f>
        <v>0.33333333333333331</v>
      </c>
      <c r="D766" t="s">
        <v>121</v>
      </c>
      <c r="E766">
        <v>1</v>
      </c>
      <c r="F766" s="1">
        <v>42010</v>
      </c>
      <c r="G766" s="1" t="str">
        <f>TEXT(pizza_sales[[#This Row],[order_date]],"dddd")</f>
        <v>Tuesday</v>
      </c>
      <c r="H766" s="2">
        <v>36526.591678240744</v>
      </c>
      <c r="I766">
        <v>16.25</v>
      </c>
      <c r="J766">
        <v>16.25</v>
      </c>
      <c r="K766" t="s">
        <v>13</v>
      </c>
      <c r="L766" t="s">
        <v>26</v>
      </c>
      <c r="M766" t="s">
        <v>114</v>
      </c>
      <c r="N766" t="s">
        <v>115</v>
      </c>
    </row>
    <row r="767" spans="1:14" x14ac:dyDescent="0.3">
      <c r="A767">
        <v>766</v>
      </c>
      <c r="B767">
        <v>332</v>
      </c>
      <c r="C767">
        <f>1/COUNTIF(pizza_sales[[#All],[order_id]],pizza_sales[[#This Row],[order_id]])</f>
        <v>0.33333333333333331</v>
      </c>
      <c r="D767" t="s">
        <v>69</v>
      </c>
      <c r="E767">
        <v>1</v>
      </c>
      <c r="F767" s="1">
        <v>42010</v>
      </c>
      <c r="G767" s="1" t="str">
        <f>TEXT(pizza_sales[[#This Row],[order_date]],"dddd")</f>
        <v>Tuesday</v>
      </c>
      <c r="H767" s="2">
        <v>36526.591678240744</v>
      </c>
      <c r="I767">
        <v>20.75</v>
      </c>
      <c r="J767">
        <v>20.75</v>
      </c>
      <c r="K767" t="s">
        <v>21</v>
      </c>
      <c r="L767" t="s">
        <v>33</v>
      </c>
      <c r="M767" t="s">
        <v>70</v>
      </c>
      <c r="N767" t="s">
        <v>71</v>
      </c>
    </row>
    <row r="768" spans="1:14" x14ac:dyDescent="0.3">
      <c r="A768">
        <v>767</v>
      </c>
      <c r="B768">
        <v>332</v>
      </c>
      <c r="C768">
        <f>1/COUNTIF(pizza_sales[[#All],[order_id]],pizza_sales[[#This Row],[order_id]])</f>
        <v>0.33333333333333331</v>
      </c>
      <c r="D768" t="s">
        <v>137</v>
      </c>
      <c r="E768">
        <v>1</v>
      </c>
      <c r="F768" s="1">
        <v>42010</v>
      </c>
      <c r="G768" s="1" t="str">
        <f>TEXT(pizza_sales[[#This Row],[order_date]],"dddd")</f>
        <v>Tuesday</v>
      </c>
      <c r="H768" s="2">
        <v>36526.591678240744</v>
      </c>
      <c r="I768">
        <v>16.75</v>
      </c>
      <c r="J768">
        <v>16.75</v>
      </c>
      <c r="K768" t="s">
        <v>13</v>
      </c>
      <c r="L768" t="s">
        <v>33</v>
      </c>
      <c r="M768" t="s">
        <v>34</v>
      </c>
      <c r="N768" t="s">
        <v>35</v>
      </c>
    </row>
    <row r="769" spans="1:14" x14ac:dyDescent="0.3">
      <c r="A769">
        <v>768</v>
      </c>
      <c r="B769">
        <v>333</v>
      </c>
      <c r="C769">
        <f>1/COUNTIF(pizza_sales[[#All],[order_id]],pizza_sales[[#This Row],[order_id]])</f>
        <v>1</v>
      </c>
      <c r="D769" t="s">
        <v>134</v>
      </c>
      <c r="E769">
        <v>1</v>
      </c>
      <c r="F769" s="1">
        <v>42010</v>
      </c>
      <c r="G769" s="1" t="str">
        <f>TEXT(pizza_sales[[#This Row],[order_date]],"dddd")</f>
        <v>Tuesday</v>
      </c>
      <c r="H769" s="2">
        <v>36526.594861111109</v>
      </c>
      <c r="I769">
        <v>16.75</v>
      </c>
      <c r="J769">
        <v>16.75</v>
      </c>
      <c r="K769" t="s">
        <v>13</v>
      </c>
      <c r="L769" t="s">
        <v>33</v>
      </c>
      <c r="M769" t="s">
        <v>124</v>
      </c>
      <c r="N769" t="s">
        <v>125</v>
      </c>
    </row>
    <row r="770" spans="1:14" x14ac:dyDescent="0.3">
      <c r="A770">
        <v>769</v>
      </c>
      <c r="B770">
        <v>334</v>
      </c>
      <c r="C770">
        <f>1/COUNTIF(pizza_sales[[#All],[order_id]],pizza_sales[[#This Row],[order_id]])</f>
        <v>0.25</v>
      </c>
      <c r="D770" t="s">
        <v>173</v>
      </c>
      <c r="E770">
        <v>1</v>
      </c>
      <c r="F770" s="1">
        <v>42010</v>
      </c>
      <c r="G770" s="1" t="str">
        <f>TEXT(pizza_sales[[#This Row],[order_date]],"dddd")</f>
        <v>Tuesday</v>
      </c>
      <c r="H770" s="2">
        <v>36526.600208333337</v>
      </c>
      <c r="I770">
        <v>20.25</v>
      </c>
      <c r="J770">
        <v>20.25</v>
      </c>
      <c r="K770" t="s">
        <v>21</v>
      </c>
      <c r="L770" t="s">
        <v>26</v>
      </c>
      <c r="M770" t="s">
        <v>97</v>
      </c>
      <c r="N770" t="s">
        <v>98</v>
      </c>
    </row>
    <row r="771" spans="1:14" x14ac:dyDescent="0.3">
      <c r="A771">
        <v>770</v>
      </c>
      <c r="B771">
        <v>334</v>
      </c>
      <c r="C771">
        <f>1/COUNTIF(pizza_sales[[#All],[order_id]],pizza_sales[[#This Row],[order_id]])</f>
        <v>0.25</v>
      </c>
      <c r="D771" t="s">
        <v>119</v>
      </c>
      <c r="E771">
        <v>1</v>
      </c>
      <c r="F771" s="1">
        <v>42010</v>
      </c>
      <c r="G771" s="1" t="str">
        <f>TEXT(pizza_sales[[#This Row],[order_date]],"dddd")</f>
        <v>Tuesday</v>
      </c>
      <c r="H771" s="2">
        <v>36526.600208333337</v>
      </c>
      <c r="I771">
        <v>12.5</v>
      </c>
      <c r="J771">
        <v>12.5</v>
      </c>
      <c r="K771" t="s">
        <v>13</v>
      </c>
      <c r="L771" t="s">
        <v>14</v>
      </c>
      <c r="M771" t="s">
        <v>78</v>
      </c>
      <c r="N771" t="s">
        <v>79</v>
      </c>
    </row>
    <row r="772" spans="1:14" x14ac:dyDescent="0.3">
      <c r="A772">
        <v>771</v>
      </c>
      <c r="B772">
        <v>334</v>
      </c>
      <c r="C772">
        <f>1/COUNTIF(pizza_sales[[#All],[order_id]],pizza_sales[[#This Row],[order_id]])</f>
        <v>0.25</v>
      </c>
      <c r="D772" t="s">
        <v>147</v>
      </c>
      <c r="E772">
        <v>1</v>
      </c>
      <c r="F772" s="1">
        <v>42010</v>
      </c>
      <c r="G772" s="1" t="str">
        <f>TEXT(pizza_sales[[#This Row],[order_date]],"dddd")</f>
        <v>Tuesday</v>
      </c>
      <c r="H772" s="2">
        <v>36526.600208333337</v>
      </c>
      <c r="I772">
        <v>16.75</v>
      </c>
      <c r="J772">
        <v>16.75</v>
      </c>
      <c r="K772" t="s">
        <v>13</v>
      </c>
      <c r="L772" t="s">
        <v>33</v>
      </c>
      <c r="M772" t="s">
        <v>70</v>
      </c>
      <c r="N772" t="s">
        <v>71</v>
      </c>
    </row>
    <row r="773" spans="1:14" x14ac:dyDescent="0.3">
      <c r="A773">
        <v>772</v>
      </c>
      <c r="B773">
        <v>334</v>
      </c>
      <c r="C773">
        <f>1/COUNTIF(pizza_sales[[#All],[order_id]],pizza_sales[[#This Row],[order_id]])</f>
        <v>0.25</v>
      </c>
      <c r="D773" t="s">
        <v>32</v>
      </c>
      <c r="E773">
        <v>1</v>
      </c>
      <c r="F773" s="1">
        <v>42010</v>
      </c>
      <c r="G773" s="1" t="str">
        <f>TEXT(pizza_sales[[#This Row],[order_date]],"dddd")</f>
        <v>Tuesday</v>
      </c>
      <c r="H773" s="2">
        <v>36526.600208333337</v>
      </c>
      <c r="I773">
        <v>20.75</v>
      </c>
      <c r="J773">
        <v>20.75</v>
      </c>
      <c r="K773" t="s">
        <v>21</v>
      </c>
      <c r="L773" t="s">
        <v>33</v>
      </c>
      <c r="M773" t="s">
        <v>34</v>
      </c>
      <c r="N773" t="s">
        <v>35</v>
      </c>
    </row>
    <row r="774" spans="1:14" x14ac:dyDescent="0.3">
      <c r="A774">
        <v>773</v>
      </c>
      <c r="B774">
        <v>335</v>
      </c>
      <c r="C774">
        <f>1/COUNTIF(pizza_sales[[#All],[order_id]],pizza_sales[[#This Row],[order_id]])</f>
        <v>1</v>
      </c>
      <c r="D774" t="s">
        <v>146</v>
      </c>
      <c r="E774">
        <v>1</v>
      </c>
      <c r="F774" s="1">
        <v>42010</v>
      </c>
      <c r="G774" s="1" t="str">
        <f>TEXT(pizza_sales[[#This Row],[order_date]],"dddd")</f>
        <v>Tuesday</v>
      </c>
      <c r="H774" s="2">
        <v>36526.600543981483</v>
      </c>
      <c r="I774">
        <v>20.25</v>
      </c>
      <c r="J774">
        <v>20.25</v>
      </c>
      <c r="K774" t="s">
        <v>21</v>
      </c>
      <c r="L774" t="s">
        <v>22</v>
      </c>
      <c r="M774" t="s">
        <v>104</v>
      </c>
      <c r="N774" t="s">
        <v>105</v>
      </c>
    </row>
    <row r="775" spans="1:14" x14ac:dyDescent="0.3">
      <c r="A775">
        <v>774</v>
      </c>
      <c r="B775">
        <v>336</v>
      </c>
      <c r="C775">
        <f>1/COUNTIF(pizza_sales[[#All],[order_id]],pizza_sales[[#This Row],[order_id]])</f>
        <v>1</v>
      </c>
      <c r="D775" t="s">
        <v>37</v>
      </c>
      <c r="E775">
        <v>1</v>
      </c>
      <c r="F775" s="1">
        <v>42010</v>
      </c>
      <c r="G775" s="1" t="str">
        <f>TEXT(pizza_sales[[#This Row],[order_date]],"dddd")</f>
        <v>Tuesday</v>
      </c>
      <c r="H775" s="2">
        <v>36526.61922453704</v>
      </c>
      <c r="I775">
        <v>20.75</v>
      </c>
      <c r="J775">
        <v>20.75</v>
      </c>
      <c r="K775" t="s">
        <v>21</v>
      </c>
      <c r="L775" t="s">
        <v>26</v>
      </c>
      <c r="M775" t="s">
        <v>38</v>
      </c>
      <c r="N775" t="s">
        <v>39</v>
      </c>
    </row>
    <row r="776" spans="1:14" x14ac:dyDescent="0.3">
      <c r="A776">
        <v>775</v>
      </c>
      <c r="B776">
        <v>337</v>
      </c>
      <c r="C776">
        <f>1/COUNTIF(pizza_sales[[#All],[order_id]],pizza_sales[[#This Row],[order_id]])</f>
        <v>0.5</v>
      </c>
      <c r="D776" t="s">
        <v>142</v>
      </c>
      <c r="E776">
        <v>1</v>
      </c>
      <c r="F776" s="1">
        <v>42010</v>
      </c>
      <c r="G776" s="1" t="str">
        <f>TEXT(pizza_sales[[#This Row],[order_date]],"dddd")</f>
        <v>Tuesday</v>
      </c>
      <c r="H776" s="2">
        <v>36526.627222222225</v>
      </c>
      <c r="I776">
        <v>16.5</v>
      </c>
      <c r="J776">
        <v>16.5</v>
      </c>
      <c r="K776" t="s">
        <v>21</v>
      </c>
      <c r="L776" t="s">
        <v>14</v>
      </c>
      <c r="M776" t="s">
        <v>15</v>
      </c>
      <c r="N776" t="s">
        <v>16</v>
      </c>
    </row>
    <row r="777" spans="1:14" x14ac:dyDescent="0.3">
      <c r="A777">
        <v>776</v>
      </c>
      <c r="B777">
        <v>337</v>
      </c>
      <c r="C777">
        <f>1/COUNTIF(pizza_sales[[#All],[order_id]],pizza_sales[[#This Row],[order_id]])</f>
        <v>0.5</v>
      </c>
      <c r="D777" t="s">
        <v>77</v>
      </c>
      <c r="E777">
        <v>1</v>
      </c>
      <c r="F777" s="1">
        <v>42010</v>
      </c>
      <c r="G777" s="1" t="str">
        <f>TEXT(pizza_sales[[#This Row],[order_date]],"dddd")</f>
        <v>Tuesday</v>
      </c>
      <c r="H777" s="2">
        <v>36526.627222222225</v>
      </c>
      <c r="I777">
        <v>15.25</v>
      </c>
      <c r="J777">
        <v>15.25</v>
      </c>
      <c r="K777" t="s">
        <v>21</v>
      </c>
      <c r="L777" t="s">
        <v>14</v>
      </c>
      <c r="M777" t="s">
        <v>78</v>
      </c>
      <c r="N777" t="s">
        <v>79</v>
      </c>
    </row>
    <row r="778" spans="1:14" x14ac:dyDescent="0.3">
      <c r="A778">
        <v>777</v>
      </c>
      <c r="B778">
        <v>338</v>
      </c>
      <c r="C778">
        <f>1/COUNTIF(pizza_sales[[#All],[order_id]],pizza_sales[[#This Row],[order_id]])</f>
        <v>0.33333333333333331</v>
      </c>
      <c r="D778" t="s">
        <v>68</v>
      </c>
      <c r="E778">
        <v>1</v>
      </c>
      <c r="F778" s="1">
        <v>42010</v>
      </c>
      <c r="G778" s="1" t="str">
        <f>TEXT(pizza_sales[[#This Row],[order_date]],"dddd")</f>
        <v>Tuesday</v>
      </c>
      <c r="H778" s="2">
        <v>36526.637800925928</v>
      </c>
      <c r="I778">
        <v>20.25</v>
      </c>
      <c r="J778">
        <v>20.25</v>
      </c>
      <c r="K778" t="s">
        <v>21</v>
      </c>
      <c r="L778" t="s">
        <v>22</v>
      </c>
      <c r="M778" t="s">
        <v>30</v>
      </c>
      <c r="N778" t="s">
        <v>31</v>
      </c>
    </row>
    <row r="779" spans="1:14" x14ac:dyDescent="0.3">
      <c r="A779">
        <v>778</v>
      </c>
      <c r="B779">
        <v>338</v>
      </c>
      <c r="C779">
        <f>1/COUNTIF(pizza_sales[[#All],[order_id]],pizza_sales[[#This Row],[order_id]])</f>
        <v>0.33333333333333331</v>
      </c>
      <c r="D779" t="s">
        <v>32</v>
      </c>
      <c r="E779">
        <v>1</v>
      </c>
      <c r="F779" s="1">
        <v>42010</v>
      </c>
      <c r="G779" s="1" t="str">
        <f>TEXT(pizza_sales[[#This Row],[order_date]],"dddd")</f>
        <v>Tuesday</v>
      </c>
      <c r="H779" s="2">
        <v>36526.637800925928</v>
      </c>
      <c r="I779">
        <v>20.75</v>
      </c>
      <c r="J779">
        <v>20.75</v>
      </c>
      <c r="K779" t="s">
        <v>21</v>
      </c>
      <c r="L779" t="s">
        <v>33</v>
      </c>
      <c r="M779" t="s">
        <v>34</v>
      </c>
      <c r="N779" t="s">
        <v>35</v>
      </c>
    </row>
    <row r="780" spans="1:14" x14ac:dyDescent="0.3">
      <c r="A780">
        <v>779</v>
      </c>
      <c r="B780">
        <v>338</v>
      </c>
      <c r="C780">
        <f>1/COUNTIF(pizza_sales[[#All],[order_id]],pizza_sales[[#This Row],[order_id]])</f>
        <v>0.33333333333333331</v>
      </c>
      <c r="D780" t="s">
        <v>140</v>
      </c>
      <c r="E780">
        <v>1</v>
      </c>
      <c r="F780" s="1">
        <v>42010</v>
      </c>
      <c r="G780" s="1" t="str">
        <f>TEXT(pizza_sales[[#This Row],[order_date]],"dddd")</f>
        <v>Tuesday</v>
      </c>
      <c r="H780" s="2">
        <v>36526.637800925928</v>
      </c>
      <c r="I780">
        <v>25.5</v>
      </c>
      <c r="J780">
        <v>25.5</v>
      </c>
      <c r="K780" t="s">
        <v>141</v>
      </c>
      <c r="L780" t="s">
        <v>14</v>
      </c>
      <c r="M780" t="s">
        <v>45</v>
      </c>
      <c r="N780" t="s">
        <v>46</v>
      </c>
    </row>
    <row r="781" spans="1:14" x14ac:dyDescent="0.3">
      <c r="A781">
        <v>780</v>
      </c>
      <c r="B781">
        <v>339</v>
      </c>
      <c r="C781">
        <f>1/COUNTIF(pizza_sales[[#All],[order_id]],pizza_sales[[#This Row],[order_id]])</f>
        <v>1</v>
      </c>
      <c r="D781" t="s">
        <v>158</v>
      </c>
      <c r="E781">
        <v>1</v>
      </c>
      <c r="F781" s="1">
        <v>42010</v>
      </c>
      <c r="G781" s="1" t="str">
        <f>TEXT(pizza_sales[[#This Row],[order_date]],"dddd")</f>
        <v>Tuesday</v>
      </c>
      <c r="H781" s="2">
        <v>36526.642511574071</v>
      </c>
      <c r="I781">
        <v>16.5</v>
      </c>
      <c r="J781">
        <v>16.5</v>
      </c>
      <c r="K781" t="s">
        <v>13</v>
      </c>
      <c r="L781" t="s">
        <v>26</v>
      </c>
      <c r="M781" t="s">
        <v>60</v>
      </c>
      <c r="N781" t="s">
        <v>61</v>
      </c>
    </row>
    <row r="782" spans="1:14" x14ac:dyDescent="0.3">
      <c r="A782">
        <v>781</v>
      </c>
      <c r="B782">
        <v>340</v>
      </c>
      <c r="C782">
        <f>1/COUNTIF(pizza_sales[[#All],[order_id]],pizza_sales[[#This Row],[order_id]])</f>
        <v>1</v>
      </c>
      <c r="D782" t="s">
        <v>106</v>
      </c>
      <c r="E782">
        <v>1</v>
      </c>
      <c r="F782" s="1">
        <v>42010</v>
      </c>
      <c r="G782" s="1" t="str">
        <f>TEXT(pizza_sales[[#This Row],[order_date]],"dddd")</f>
        <v>Tuesday</v>
      </c>
      <c r="H782" s="2">
        <v>36526.649675925924</v>
      </c>
      <c r="I782">
        <v>12.5</v>
      </c>
      <c r="J782">
        <v>12.5</v>
      </c>
      <c r="K782" t="s">
        <v>41</v>
      </c>
      <c r="L782" t="s">
        <v>26</v>
      </c>
      <c r="M782" t="s">
        <v>107</v>
      </c>
      <c r="N782" t="s">
        <v>108</v>
      </c>
    </row>
    <row r="783" spans="1:14" x14ac:dyDescent="0.3">
      <c r="A783">
        <v>782</v>
      </c>
      <c r="B783">
        <v>341</v>
      </c>
      <c r="C783">
        <f>1/COUNTIF(pizza_sales[[#All],[order_id]],pizza_sales[[#This Row],[order_id]])</f>
        <v>0.5</v>
      </c>
      <c r="D783" t="s">
        <v>118</v>
      </c>
      <c r="E783">
        <v>1</v>
      </c>
      <c r="F783" s="1">
        <v>42010</v>
      </c>
      <c r="G783" s="1" t="str">
        <f>TEXT(pizza_sales[[#This Row],[order_date]],"dddd")</f>
        <v>Tuesday</v>
      </c>
      <c r="H783" s="2">
        <v>36526.64984953704</v>
      </c>
      <c r="I783">
        <v>16.75</v>
      </c>
      <c r="J783">
        <v>16.75</v>
      </c>
      <c r="K783" t="s">
        <v>13</v>
      </c>
      <c r="L783" t="s">
        <v>33</v>
      </c>
      <c r="M783" t="s">
        <v>42</v>
      </c>
      <c r="N783" t="s">
        <v>43</v>
      </c>
    </row>
    <row r="784" spans="1:14" x14ac:dyDescent="0.3">
      <c r="A784">
        <v>783</v>
      </c>
      <c r="B784">
        <v>341</v>
      </c>
      <c r="C784">
        <f>1/COUNTIF(pizza_sales[[#All],[order_id]],pizza_sales[[#This Row],[order_id]])</f>
        <v>0.5</v>
      </c>
      <c r="D784" t="s">
        <v>126</v>
      </c>
      <c r="E784">
        <v>1</v>
      </c>
      <c r="F784" s="1">
        <v>42010</v>
      </c>
      <c r="G784" s="1" t="str">
        <f>TEXT(pizza_sales[[#This Row],[order_date]],"dddd")</f>
        <v>Tuesday</v>
      </c>
      <c r="H784" s="2">
        <v>36526.64984953704</v>
      </c>
      <c r="I784">
        <v>9.75</v>
      </c>
      <c r="J784">
        <v>9.75</v>
      </c>
      <c r="K784" t="s">
        <v>41</v>
      </c>
      <c r="L784" t="s">
        <v>14</v>
      </c>
      <c r="M784" t="s">
        <v>78</v>
      </c>
      <c r="N784" t="s">
        <v>79</v>
      </c>
    </row>
    <row r="785" spans="1:14" x14ac:dyDescent="0.3">
      <c r="A785">
        <v>784</v>
      </c>
      <c r="B785">
        <v>342</v>
      </c>
      <c r="C785">
        <f>1/COUNTIF(pizza_sales[[#All],[order_id]],pizza_sales[[#This Row],[order_id]])</f>
        <v>0.5</v>
      </c>
      <c r="D785" t="s">
        <v>113</v>
      </c>
      <c r="E785">
        <v>1</v>
      </c>
      <c r="F785" s="1">
        <v>42010</v>
      </c>
      <c r="G785" s="1" t="str">
        <f>TEXT(pizza_sales[[#This Row],[order_date]],"dddd")</f>
        <v>Tuesday</v>
      </c>
      <c r="H785" s="2">
        <v>36526.655694444446</v>
      </c>
      <c r="I785">
        <v>20.25</v>
      </c>
      <c r="J785">
        <v>20.25</v>
      </c>
      <c r="K785" t="s">
        <v>21</v>
      </c>
      <c r="L785" t="s">
        <v>26</v>
      </c>
      <c r="M785" t="s">
        <v>114</v>
      </c>
      <c r="N785" t="s">
        <v>115</v>
      </c>
    </row>
    <row r="786" spans="1:14" x14ac:dyDescent="0.3">
      <c r="A786">
        <v>785</v>
      </c>
      <c r="B786">
        <v>342</v>
      </c>
      <c r="C786">
        <f>1/COUNTIF(pizza_sales[[#All],[order_id]],pizza_sales[[#This Row],[order_id]])</f>
        <v>0.5</v>
      </c>
      <c r="D786" t="s">
        <v>69</v>
      </c>
      <c r="E786">
        <v>1</v>
      </c>
      <c r="F786" s="1">
        <v>42010</v>
      </c>
      <c r="G786" s="1" t="str">
        <f>TEXT(pizza_sales[[#This Row],[order_date]],"dddd")</f>
        <v>Tuesday</v>
      </c>
      <c r="H786" s="2">
        <v>36526.655694444446</v>
      </c>
      <c r="I786">
        <v>20.75</v>
      </c>
      <c r="J786">
        <v>20.75</v>
      </c>
      <c r="K786" t="s">
        <v>21</v>
      </c>
      <c r="L786" t="s">
        <v>33</v>
      </c>
      <c r="M786" t="s">
        <v>70</v>
      </c>
      <c r="N786" t="s">
        <v>71</v>
      </c>
    </row>
    <row r="787" spans="1:14" x14ac:dyDescent="0.3">
      <c r="A787">
        <v>786</v>
      </c>
      <c r="B787">
        <v>343</v>
      </c>
      <c r="C787">
        <f>1/COUNTIF(pizza_sales[[#All],[order_id]],pizza_sales[[#This Row],[order_id]])</f>
        <v>0.5</v>
      </c>
      <c r="D787" t="s">
        <v>20</v>
      </c>
      <c r="E787">
        <v>1</v>
      </c>
      <c r="F787" s="1">
        <v>42010</v>
      </c>
      <c r="G787" s="1" t="str">
        <f>TEXT(pizza_sales[[#This Row],[order_date]],"dddd")</f>
        <v>Tuesday</v>
      </c>
      <c r="H787" s="2">
        <v>36526.656678240739</v>
      </c>
      <c r="I787">
        <v>18.5</v>
      </c>
      <c r="J787">
        <v>18.5</v>
      </c>
      <c r="K787" t="s">
        <v>21</v>
      </c>
      <c r="L787" t="s">
        <v>22</v>
      </c>
      <c r="M787" t="s">
        <v>23</v>
      </c>
      <c r="N787" t="s">
        <v>24</v>
      </c>
    </row>
    <row r="788" spans="1:14" x14ac:dyDescent="0.3">
      <c r="A788">
        <v>787</v>
      </c>
      <c r="B788">
        <v>343</v>
      </c>
      <c r="C788">
        <f>1/COUNTIF(pizza_sales[[#All],[order_id]],pizza_sales[[#This Row],[order_id]])</f>
        <v>0.5</v>
      </c>
      <c r="D788" t="s">
        <v>99</v>
      </c>
      <c r="E788">
        <v>1</v>
      </c>
      <c r="F788" s="1">
        <v>42010</v>
      </c>
      <c r="G788" s="1" t="str">
        <f>TEXT(pizza_sales[[#This Row],[order_date]],"dddd")</f>
        <v>Tuesday</v>
      </c>
      <c r="H788" s="2">
        <v>36526.656678240739</v>
      </c>
      <c r="I788">
        <v>14.75</v>
      </c>
      <c r="J788">
        <v>14.75</v>
      </c>
      <c r="K788" t="s">
        <v>13</v>
      </c>
      <c r="L788" t="s">
        <v>22</v>
      </c>
      <c r="M788" t="s">
        <v>91</v>
      </c>
      <c r="N788" t="s">
        <v>92</v>
      </c>
    </row>
    <row r="789" spans="1:14" x14ac:dyDescent="0.3">
      <c r="A789">
        <v>788</v>
      </c>
      <c r="B789">
        <v>344</v>
      </c>
      <c r="C789">
        <f>1/COUNTIF(pizza_sales[[#All],[order_id]],pizza_sales[[#This Row],[order_id]])</f>
        <v>1</v>
      </c>
      <c r="D789" t="s">
        <v>116</v>
      </c>
      <c r="E789">
        <v>1</v>
      </c>
      <c r="F789" s="1">
        <v>42010</v>
      </c>
      <c r="G789" s="1" t="str">
        <f>TEXT(pizza_sales[[#This Row],[order_date]],"dddd")</f>
        <v>Tuesday</v>
      </c>
      <c r="H789" s="2">
        <v>36526.667488425926</v>
      </c>
      <c r="I789">
        <v>16</v>
      </c>
      <c r="J789">
        <v>16</v>
      </c>
      <c r="K789" t="s">
        <v>13</v>
      </c>
      <c r="L789" t="s">
        <v>14</v>
      </c>
      <c r="M789" t="s">
        <v>55</v>
      </c>
      <c r="N789" t="s">
        <v>56</v>
      </c>
    </row>
    <row r="790" spans="1:14" x14ac:dyDescent="0.3">
      <c r="A790">
        <v>789</v>
      </c>
      <c r="B790">
        <v>345</v>
      </c>
      <c r="C790">
        <f>1/COUNTIF(pizza_sales[[#All],[order_id]],pizza_sales[[#This Row],[order_id]])</f>
        <v>0.5</v>
      </c>
      <c r="D790" t="s">
        <v>106</v>
      </c>
      <c r="E790">
        <v>1</v>
      </c>
      <c r="F790" s="1">
        <v>42010</v>
      </c>
      <c r="G790" s="1" t="str">
        <f>TEXT(pizza_sales[[#This Row],[order_date]],"dddd")</f>
        <v>Tuesday</v>
      </c>
      <c r="H790" s="2">
        <v>36526.667905092596</v>
      </c>
      <c r="I790">
        <v>12.5</v>
      </c>
      <c r="J790">
        <v>12.5</v>
      </c>
      <c r="K790" t="s">
        <v>41</v>
      </c>
      <c r="L790" t="s">
        <v>26</v>
      </c>
      <c r="M790" t="s">
        <v>107</v>
      </c>
      <c r="N790" t="s">
        <v>108</v>
      </c>
    </row>
    <row r="791" spans="1:14" x14ac:dyDescent="0.3">
      <c r="A791">
        <v>790</v>
      </c>
      <c r="B791">
        <v>345</v>
      </c>
      <c r="C791">
        <f>1/COUNTIF(pizza_sales[[#All],[order_id]],pizza_sales[[#This Row],[order_id]])</f>
        <v>0.5</v>
      </c>
      <c r="D791" t="s">
        <v>157</v>
      </c>
      <c r="E791">
        <v>1</v>
      </c>
      <c r="F791" s="1">
        <v>42010</v>
      </c>
      <c r="G791" s="1" t="str">
        <f>TEXT(pizza_sales[[#This Row],[order_date]],"dddd")</f>
        <v>Tuesday</v>
      </c>
      <c r="H791" s="2">
        <v>36526.667905092596</v>
      </c>
      <c r="I791">
        <v>12</v>
      </c>
      <c r="J791">
        <v>12</v>
      </c>
      <c r="K791" t="s">
        <v>41</v>
      </c>
      <c r="L791" t="s">
        <v>22</v>
      </c>
      <c r="M791" t="s">
        <v>110</v>
      </c>
      <c r="N791" t="s">
        <v>111</v>
      </c>
    </row>
    <row r="792" spans="1:14" x14ac:dyDescent="0.3">
      <c r="A792">
        <v>791</v>
      </c>
      <c r="B792">
        <v>346</v>
      </c>
      <c r="C792">
        <f>1/COUNTIF(pizza_sales[[#All],[order_id]],pizza_sales[[#This Row],[order_id]])</f>
        <v>0.25</v>
      </c>
      <c r="D792" t="s">
        <v>51</v>
      </c>
      <c r="E792">
        <v>1</v>
      </c>
      <c r="F792" s="1">
        <v>42010</v>
      </c>
      <c r="G792" s="1" t="str">
        <f>TEXT(pizza_sales[[#This Row],[order_date]],"dddd")</f>
        <v>Tuesday</v>
      </c>
      <c r="H792" s="2">
        <v>36526.6875</v>
      </c>
      <c r="I792">
        <v>12</v>
      </c>
      <c r="J792">
        <v>12</v>
      </c>
      <c r="K792" t="s">
        <v>41</v>
      </c>
      <c r="L792" t="s">
        <v>22</v>
      </c>
      <c r="M792" t="s">
        <v>52</v>
      </c>
      <c r="N792" t="s">
        <v>53</v>
      </c>
    </row>
    <row r="793" spans="1:14" x14ac:dyDescent="0.3">
      <c r="A793">
        <v>792</v>
      </c>
      <c r="B793">
        <v>346</v>
      </c>
      <c r="C793">
        <f>1/COUNTIF(pizza_sales[[#All],[order_id]],pizza_sales[[#This Row],[order_id]])</f>
        <v>0.25</v>
      </c>
      <c r="D793" t="s">
        <v>132</v>
      </c>
      <c r="E793">
        <v>1</v>
      </c>
      <c r="F793" s="1">
        <v>42010</v>
      </c>
      <c r="G793" s="1" t="str">
        <f>TEXT(pizza_sales[[#This Row],[order_date]],"dddd")</f>
        <v>Tuesday</v>
      </c>
      <c r="H793" s="2">
        <v>36526.6875</v>
      </c>
      <c r="I793">
        <v>10.5</v>
      </c>
      <c r="J793">
        <v>10.5</v>
      </c>
      <c r="K793" t="s">
        <v>41</v>
      </c>
      <c r="L793" t="s">
        <v>14</v>
      </c>
      <c r="M793" t="s">
        <v>15</v>
      </c>
      <c r="N793" t="s">
        <v>16</v>
      </c>
    </row>
    <row r="794" spans="1:14" x14ac:dyDescent="0.3">
      <c r="A794">
        <v>793</v>
      </c>
      <c r="B794">
        <v>346</v>
      </c>
      <c r="C794">
        <f>1/COUNTIF(pizza_sales[[#All],[order_id]],pizza_sales[[#This Row],[order_id]])</f>
        <v>0.25</v>
      </c>
      <c r="D794" t="s">
        <v>54</v>
      </c>
      <c r="E794">
        <v>1</v>
      </c>
      <c r="F794" s="1">
        <v>42010</v>
      </c>
      <c r="G794" s="1" t="str">
        <f>TEXT(pizza_sales[[#This Row],[order_date]],"dddd")</f>
        <v>Tuesday</v>
      </c>
      <c r="H794" s="2">
        <v>36526.6875</v>
      </c>
      <c r="I794">
        <v>20.5</v>
      </c>
      <c r="J794">
        <v>20.5</v>
      </c>
      <c r="K794" t="s">
        <v>21</v>
      </c>
      <c r="L794" t="s">
        <v>14</v>
      </c>
      <c r="M794" t="s">
        <v>55</v>
      </c>
      <c r="N794" t="s">
        <v>56</v>
      </c>
    </row>
    <row r="795" spans="1:14" x14ac:dyDescent="0.3">
      <c r="A795">
        <v>794</v>
      </c>
      <c r="B795">
        <v>346</v>
      </c>
      <c r="C795">
        <f>1/COUNTIF(pizza_sales[[#All],[order_id]],pizza_sales[[#This Row],[order_id]])</f>
        <v>0.25</v>
      </c>
      <c r="D795" t="s">
        <v>93</v>
      </c>
      <c r="E795">
        <v>1</v>
      </c>
      <c r="F795" s="1">
        <v>42010</v>
      </c>
      <c r="G795" s="1" t="str">
        <f>TEXT(pizza_sales[[#This Row],[order_date]],"dddd")</f>
        <v>Tuesday</v>
      </c>
      <c r="H795" s="2">
        <v>36526.6875</v>
      </c>
      <c r="I795">
        <v>12</v>
      </c>
      <c r="J795">
        <v>12</v>
      </c>
      <c r="K795" t="s">
        <v>41</v>
      </c>
      <c r="L795" t="s">
        <v>14</v>
      </c>
      <c r="M795" t="s">
        <v>94</v>
      </c>
      <c r="N795" t="s">
        <v>95</v>
      </c>
    </row>
    <row r="796" spans="1:14" x14ac:dyDescent="0.3">
      <c r="A796">
        <v>795</v>
      </c>
      <c r="B796">
        <v>347</v>
      </c>
      <c r="C796">
        <f>1/COUNTIF(pizza_sales[[#All],[order_id]],pizza_sales[[#This Row],[order_id]])</f>
        <v>0.33333333333333331</v>
      </c>
      <c r="D796" t="s">
        <v>109</v>
      </c>
      <c r="E796">
        <v>1</v>
      </c>
      <c r="F796" s="1">
        <v>42010</v>
      </c>
      <c r="G796" s="1" t="str">
        <f>TEXT(pizza_sales[[#This Row],[order_date]],"dddd")</f>
        <v>Tuesday</v>
      </c>
      <c r="H796" s="2">
        <v>36526.692557870374</v>
      </c>
      <c r="I796">
        <v>20.25</v>
      </c>
      <c r="J796">
        <v>20.25</v>
      </c>
      <c r="K796" t="s">
        <v>21</v>
      </c>
      <c r="L796" t="s">
        <v>22</v>
      </c>
      <c r="M796" t="s">
        <v>110</v>
      </c>
      <c r="N796" t="s">
        <v>111</v>
      </c>
    </row>
    <row r="797" spans="1:14" x14ac:dyDescent="0.3">
      <c r="A797">
        <v>796</v>
      </c>
      <c r="B797">
        <v>347</v>
      </c>
      <c r="C797">
        <f>1/COUNTIF(pizza_sales[[#All],[order_id]],pizza_sales[[#This Row],[order_id]])</f>
        <v>0.33333333333333331</v>
      </c>
      <c r="D797" t="s">
        <v>32</v>
      </c>
      <c r="E797">
        <v>1</v>
      </c>
      <c r="F797" s="1">
        <v>42010</v>
      </c>
      <c r="G797" s="1" t="str">
        <f>TEXT(pizza_sales[[#This Row],[order_date]],"dddd")</f>
        <v>Tuesday</v>
      </c>
      <c r="H797" s="2">
        <v>36526.692557870374</v>
      </c>
      <c r="I797">
        <v>20.75</v>
      </c>
      <c r="J797">
        <v>20.75</v>
      </c>
      <c r="K797" t="s">
        <v>21</v>
      </c>
      <c r="L797" t="s">
        <v>33</v>
      </c>
      <c r="M797" t="s">
        <v>34</v>
      </c>
      <c r="N797" t="s">
        <v>35</v>
      </c>
    </row>
    <row r="798" spans="1:14" x14ac:dyDescent="0.3">
      <c r="A798">
        <v>797</v>
      </c>
      <c r="B798">
        <v>347</v>
      </c>
      <c r="C798">
        <f>1/COUNTIF(pizza_sales[[#All],[order_id]],pizza_sales[[#This Row],[order_id]])</f>
        <v>0.33333333333333331</v>
      </c>
      <c r="D798" t="s">
        <v>154</v>
      </c>
      <c r="E798">
        <v>1</v>
      </c>
      <c r="F798" s="1">
        <v>42010</v>
      </c>
      <c r="G798" s="1" t="str">
        <f>TEXT(pizza_sales[[#This Row],[order_date]],"dddd")</f>
        <v>Tuesday</v>
      </c>
      <c r="H798" s="2">
        <v>36526.692557870374</v>
      </c>
      <c r="I798">
        <v>16</v>
      </c>
      <c r="J798">
        <v>16</v>
      </c>
      <c r="K798" t="s">
        <v>13</v>
      </c>
      <c r="L798" t="s">
        <v>22</v>
      </c>
      <c r="M798" t="s">
        <v>66</v>
      </c>
      <c r="N798" t="s">
        <v>67</v>
      </c>
    </row>
    <row r="799" spans="1:14" x14ac:dyDescent="0.3">
      <c r="A799">
        <v>798</v>
      </c>
      <c r="B799">
        <v>348</v>
      </c>
      <c r="C799">
        <f>1/COUNTIF(pizza_sales[[#All],[order_id]],pizza_sales[[#This Row],[order_id]])</f>
        <v>0.33333333333333331</v>
      </c>
      <c r="D799" t="s">
        <v>17</v>
      </c>
      <c r="E799">
        <v>1</v>
      </c>
      <c r="F799" s="1">
        <v>42010</v>
      </c>
      <c r="G799" s="1" t="str">
        <f>TEXT(pizza_sales[[#This Row],[order_date]],"dddd")</f>
        <v>Tuesday</v>
      </c>
      <c r="H799" s="2">
        <v>36526.700833333336</v>
      </c>
      <c r="I799">
        <v>16</v>
      </c>
      <c r="J799">
        <v>16</v>
      </c>
      <c r="K799" t="s">
        <v>13</v>
      </c>
      <c r="L799" t="s">
        <v>14</v>
      </c>
      <c r="M799" t="s">
        <v>18</v>
      </c>
      <c r="N799" t="s">
        <v>19</v>
      </c>
    </row>
    <row r="800" spans="1:14" x14ac:dyDescent="0.3">
      <c r="A800">
        <v>799</v>
      </c>
      <c r="B800">
        <v>348</v>
      </c>
      <c r="C800">
        <f>1/COUNTIF(pizza_sales[[#All],[order_id]],pizza_sales[[#This Row],[order_id]])</f>
        <v>0.33333333333333331</v>
      </c>
      <c r="D800" t="s">
        <v>32</v>
      </c>
      <c r="E800">
        <v>1</v>
      </c>
      <c r="F800" s="1">
        <v>42010</v>
      </c>
      <c r="G800" s="1" t="str">
        <f>TEXT(pizza_sales[[#This Row],[order_date]],"dddd")</f>
        <v>Tuesday</v>
      </c>
      <c r="H800" s="2">
        <v>36526.700833333336</v>
      </c>
      <c r="I800">
        <v>20.75</v>
      </c>
      <c r="J800">
        <v>20.75</v>
      </c>
      <c r="K800" t="s">
        <v>21</v>
      </c>
      <c r="L800" t="s">
        <v>33</v>
      </c>
      <c r="M800" t="s">
        <v>34</v>
      </c>
      <c r="N800" t="s">
        <v>35</v>
      </c>
    </row>
    <row r="801" spans="1:14" x14ac:dyDescent="0.3">
      <c r="A801">
        <v>800</v>
      </c>
      <c r="B801">
        <v>348</v>
      </c>
      <c r="C801">
        <f>1/COUNTIF(pizza_sales[[#All],[order_id]],pizza_sales[[#This Row],[order_id]])</f>
        <v>0.33333333333333331</v>
      </c>
      <c r="D801" t="s">
        <v>151</v>
      </c>
      <c r="E801">
        <v>1</v>
      </c>
      <c r="F801" s="1">
        <v>42010</v>
      </c>
      <c r="G801" s="1" t="str">
        <f>TEXT(pizza_sales[[#This Row],[order_date]],"dddd")</f>
        <v>Tuesday</v>
      </c>
      <c r="H801" s="2">
        <v>36526.700833333336</v>
      </c>
      <c r="I801">
        <v>12.75</v>
      </c>
      <c r="J801">
        <v>12.75</v>
      </c>
      <c r="K801" t="s">
        <v>41</v>
      </c>
      <c r="L801" t="s">
        <v>33</v>
      </c>
      <c r="M801" t="s">
        <v>34</v>
      </c>
      <c r="N801" t="s">
        <v>35</v>
      </c>
    </row>
    <row r="802" spans="1:14" x14ac:dyDescent="0.3">
      <c r="A802">
        <v>801</v>
      </c>
      <c r="B802">
        <v>349</v>
      </c>
      <c r="C802">
        <f>1/COUNTIF(pizza_sales[[#All],[order_id]],pizza_sales[[#This Row],[order_id]])</f>
        <v>1</v>
      </c>
      <c r="D802" t="s">
        <v>77</v>
      </c>
      <c r="E802">
        <v>1</v>
      </c>
      <c r="F802" s="1">
        <v>42010</v>
      </c>
      <c r="G802" s="1" t="str">
        <f>TEXT(pizza_sales[[#This Row],[order_date]],"dddd")</f>
        <v>Tuesday</v>
      </c>
      <c r="H802" s="2">
        <v>36526.726365740738</v>
      </c>
      <c r="I802">
        <v>15.25</v>
      </c>
      <c r="J802">
        <v>15.25</v>
      </c>
      <c r="K802" t="s">
        <v>21</v>
      </c>
      <c r="L802" t="s">
        <v>14</v>
      </c>
      <c r="M802" t="s">
        <v>78</v>
      </c>
      <c r="N802" t="s">
        <v>79</v>
      </c>
    </row>
    <row r="803" spans="1:14" x14ac:dyDescent="0.3">
      <c r="A803">
        <v>802</v>
      </c>
      <c r="B803">
        <v>350</v>
      </c>
      <c r="C803">
        <f>1/COUNTIF(pizza_sales[[#All],[order_id]],pizza_sales[[#This Row],[order_id]])</f>
        <v>0.33333333333333331</v>
      </c>
      <c r="D803" t="s">
        <v>138</v>
      </c>
      <c r="E803">
        <v>1</v>
      </c>
      <c r="F803" s="1">
        <v>42010</v>
      </c>
      <c r="G803" s="1" t="str">
        <f>TEXT(pizza_sales[[#This Row],[order_date]],"dddd")</f>
        <v>Tuesday</v>
      </c>
      <c r="H803" s="2">
        <v>36526.734085648146</v>
      </c>
      <c r="I803">
        <v>20.5</v>
      </c>
      <c r="J803">
        <v>20.5</v>
      </c>
      <c r="K803" t="s">
        <v>21</v>
      </c>
      <c r="L803" t="s">
        <v>14</v>
      </c>
      <c r="M803" t="s">
        <v>18</v>
      </c>
      <c r="N803" t="s">
        <v>19</v>
      </c>
    </row>
    <row r="804" spans="1:14" x14ac:dyDescent="0.3">
      <c r="A804">
        <v>803</v>
      </c>
      <c r="B804">
        <v>350</v>
      </c>
      <c r="C804">
        <f>1/COUNTIF(pizza_sales[[#All],[order_id]],pizza_sales[[#This Row],[order_id]])</f>
        <v>0.33333333333333331</v>
      </c>
      <c r="D804" t="s">
        <v>119</v>
      </c>
      <c r="E804">
        <v>2</v>
      </c>
      <c r="F804" s="1">
        <v>42010</v>
      </c>
      <c r="G804" s="1" t="str">
        <f>TEXT(pizza_sales[[#This Row],[order_date]],"dddd")</f>
        <v>Tuesday</v>
      </c>
      <c r="H804" s="2">
        <v>36526.734085648146</v>
      </c>
      <c r="I804">
        <v>12.5</v>
      </c>
      <c r="J804">
        <v>25</v>
      </c>
      <c r="K804" t="s">
        <v>13</v>
      </c>
      <c r="L804" t="s">
        <v>14</v>
      </c>
      <c r="M804" t="s">
        <v>78</v>
      </c>
      <c r="N804" t="s">
        <v>79</v>
      </c>
    </row>
    <row r="805" spans="1:14" x14ac:dyDescent="0.3">
      <c r="A805">
        <v>804</v>
      </c>
      <c r="B805">
        <v>350</v>
      </c>
      <c r="C805">
        <f>1/COUNTIF(pizza_sales[[#All],[order_id]],pizza_sales[[#This Row],[order_id]])</f>
        <v>0.33333333333333331</v>
      </c>
      <c r="D805" t="s">
        <v>150</v>
      </c>
      <c r="E805">
        <v>1</v>
      </c>
      <c r="F805" s="1">
        <v>42010</v>
      </c>
      <c r="G805" s="1" t="str">
        <f>TEXT(pizza_sales[[#This Row],[order_date]],"dddd")</f>
        <v>Tuesday</v>
      </c>
      <c r="H805" s="2">
        <v>36526.734085648146</v>
      </c>
      <c r="I805">
        <v>12.5</v>
      </c>
      <c r="J805">
        <v>12.5</v>
      </c>
      <c r="K805" t="s">
        <v>41</v>
      </c>
      <c r="L805" t="s">
        <v>26</v>
      </c>
      <c r="M805" t="s">
        <v>60</v>
      </c>
      <c r="N805" t="s">
        <v>61</v>
      </c>
    </row>
    <row r="806" spans="1:14" x14ac:dyDescent="0.3">
      <c r="A806">
        <v>805</v>
      </c>
      <c r="B806">
        <v>351</v>
      </c>
      <c r="C806">
        <f>1/COUNTIF(pizza_sales[[#All],[order_id]],pizza_sales[[#This Row],[order_id]])</f>
        <v>0.5</v>
      </c>
      <c r="D806" t="s">
        <v>84</v>
      </c>
      <c r="E806">
        <v>1</v>
      </c>
      <c r="F806" s="1">
        <v>42010</v>
      </c>
      <c r="G806" s="1" t="str">
        <f>TEXT(pizza_sales[[#This Row],[order_date]],"dddd")</f>
        <v>Tuesday</v>
      </c>
      <c r="H806" s="2">
        <v>36526.734363425923</v>
      </c>
      <c r="I806">
        <v>12</v>
      </c>
      <c r="J806">
        <v>12</v>
      </c>
      <c r="K806" t="s">
        <v>41</v>
      </c>
      <c r="L806" t="s">
        <v>14</v>
      </c>
      <c r="M806" t="s">
        <v>85</v>
      </c>
      <c r="N806" t="s">
        <v>86</v>
      </c>
    </row>
    <row r="807" spans="1:14" x14ac:dyDescent="0.3">
      <c r="A807">
        <v>806</v>
      </c>
      <c r="B807">
        <v>351</v>
      </c>
      <c r="C807">
        <f>1/COUNTIF(pizza_sales[[#All],[order_id]],pizza_sales[[#This Row],[order_id]])</f>
        <v>0.5</v>
      </c>
      <c r="D807" t="s">
        <v>12</v>
      </c>
      <c r="E807">
        <v>1</v>
      </c>
      <c r="F807" s="1">
        <v>42010</v>
      </c>
      <c r="G807" s="1" t="str">
        <f>TEXT(pizza_sales[[#This Row],[order_date]],"dddd")</f>
        <v>Tuesday</v>
      </c>
      <c r="H807" s="2">
        <v>36526.734363425923</v>
      </c>
      <c r="I807">
        <v>13.25</v>
      </c>
      <c r="J807">
        <v>13.25</v>
      </c>
      <c r="K807" t="s">
        <v>13</v>
      </c>
      <c r="L807" t="s">
        <v>14</v>
      </c>
      <c r="M807" t="s">
        <v>15</v>
      </c>
      <c r="N807" t="s">
        <v>16</v>
      </c>
    </row>
    <row r="808" spans="1:14" x14ac:dyDescent="0.3">
      <c r="A808">
        <v>807</v>
      </c>
      <c r="B808">
        <v>352</v>
      </c>
      <c r="C808">
        <f>1/COUNTIF(pizza_sales[[#All],[order_id]],pizza_sales[[#This Row],[order_id]])</f>
        <v>0.5</v>
      </c>
      <c r="D808" t="s">
        <v>84</v>
      </c>
      <c r="E808">
        <v>1</v>
      </c>
      <c r="F808" s="1">
        <v>42010</v>
      </c>
      <c r="G808" s="1" t="str">
        <f>TEXT(pizza_sales[[#This Row],[order_date]],"dddd")</f>
        <v>Tuesday</v>
      </c>
      <c r="H808" s="2">
        <v>36526.74013888889</v>
      </c>
      <c r="I808">
        <v>12</v>
      </c>
      <c r="J808">
        <v>12</v>
      </c>
      <c r="K808" t="s">
        <v>41</v>
      </c>
      <c r="L808" t="s">
        <v>14</v>
      </c>
      <c r="M808" t="s">
        <v>85</v>
      </c>
      <c r="N808" t="s">
        <v>86</v>
      </c>
    </row>
    <row r="809" spans="1:14" x14ac:dyDescent="0.3">
      <c r="A809">
        <v>808</v>
      </c>
      <c r="B809">
        <v>352</v>
      </c>
      <c r="C809">
        <f>1/COUNTIF(pizza_sales[[#All],[order_id]],pizza_sales[[#This Row],[order_id]])</f>
        <v>0.5</v>
      </c>
      <c r="D809" t="s">
        <v>54</v>
      </c>
      <c r="E809">
        <v>1</v>
      </c>
      <c r="F809" s="1">
        <v>42010</v>
      </c>
      <c r="G809" s="1" t="str">
        <f>TEXT(pizza_sales[[#This Row],[order_date]],"dddd")</f>
        <v>Tuesday</v>
      </c>
      <c r="H809" s="2">
        <v>36526.74013888889</v>
      </c>
      <c r="I809">
        <v>20.5</v>
      </c>
      <c r="J809">
        <v>20.5</v>
      </c>
      <c r="K809" t="s">
        <v>21</v>
      </c>
      <c r="L809" t="s">
        <v>14</v>
      </c>
      <c r="M809" t="s">
        <v>55</v>
      </c>
      <c r="N809" t="s">
        <v>56</v>
      </c>
    </row>
    <row r="810" spans="1:14" x14ac:dyDescent="0.3">
      <c r="A810">
        <v>809</v>
      </c>
      <c r="B810">
        <v>353</v>
      </c>
      <c r="C810">
        <f>1/COUNTIF(pizza_sales[[#All],[order_id]],pizza_sales[[#This Row],[order_id]])</f>
        <v>0.33333333333333331</v>
      </c>
      <c r="D810" t="s">
        <v>72</v>
      </c>
      <c r="E810">
        <v>1</v>
      </c>
      <c r="F810" s="1">
        <v>42010</v>
      </c>
      <c r="G810" s="1" t="str">
        <f>TEXT(pizza_sales[[#This Row],[order_date]],"dddd")</f>
        <v>Tuesday</v>
      </c>
      <c r="H810" s="2">
        <v>36526.749861111108</v>
      </c>
      <c r="I810">
        <v>20.75</v>
      </c>
      <c r="J810">
        <v>20.75</v>
      </c>
      <c r="K810" t="s">
        <v>21</v>
      </c>
      <c r="L810" t="s">
        <v>33</v>
      </c>
      <c r="M810" t="s">
        <v>42</v>
      </c>
      <c r="N810" t="s">
        <v>43</v>
      </c>
    </row>
    <row r="811" spans="1:14" x14ac:dyDescent="0.3">
      <c r="A811">
        <v>810</v>
      </c>
      <c r="B811">
        <v>353</v>
      </c>
      <c r="C811">
        <f>1/COUNTIF(pizza_sales[[#All],[order_id]],pizza_sales[[#This Row],[order_id]])</f>
        <v>0.33333333333333331</v>
      </c>
      <c r="D811" t="s">
        <v>73</v>
      </c>
      <c r="E811">
        <v>1</v>
      </c>
      <c r="F811" s="1">
        <v>42010</v>
      </c>
      <c r="G811" s="1" t="str">
        <f>TEXT(pizza_sales[[#This Row],[order_date]],"dddd")</f>
        <v>Tuesday</v>
      </c>
      <c r="H811" s="2">
        <v>36526.749861111108</v>
      </c>
      <c r="I811">
        <v>20.75</v>
      </c>
      <c r="J811">
        <v>20.75</v>
      </c>
      <c r="K811" t="s">
        <v>21</v>
      </c>
      <c r="L811" t="s">
        <v>33</v>
      </c>
      <c r="M811" t="s">
        <v>74</v>
      </c>
      <c r="N811" t="s">
        <v>75</v>
      </c>
    </row>
    <row r="812" spans="1:14" x14ac:dyDescent="0.3">
      <c r="A812">
        <v>811</v>
      </c>
      <c r="B812">
        <v>353</v>
      </c>
      <c r="C812">
        <f>1/COUNTIF(pizza_sales[[#All],[order_id]],pizza_sales[[#This Row],[order_id]])</f>
        <v>0.33333333333333331</v>
      </c>
      <c r="D812" t="s">
        <v>120</v>
      </c>
      <c r="E812">
        <v>1</v>
      </c>
      <c r="F812" s="1">
        <v>42010</v>
      </c>
      <c r="G812" s="1" t="str">
        <f>TEXT(pizza_sales[[#This Row],[order_date]],"dddd")</f>
        <v>Tuesday</v>
      </c>
      <c r="H812" s="2">
        <v>36526.749861111108</v>
      </c>
      <c r="I812">
        <v>12.5</v>
      </c>
      <c r="J812">
        <v>12.5</v>
      </c>
      <c r="K812" t="s">
        <v>41</v>
      </c>
      <c r="L812" t="s">
        <v>26</v>
      </c>
      <c r="M812" t="s">
        <v>38</v>
      </c>
      <c r="N812" t="s">
        <v>39</v>
      </c>
    </row>
    <row r="813" spans="1:14" x14ac:dyDescent="0.3">
      <c r="A813">
        <v>812</v>
      </c>
      <c r="B813">
        <v>354</v>
      </c>
      <c r="C813">
        <f>1/COUNTIF(pizza_sales[[#All],[order_id]],pizza_sales[[#This Row],[order_id]])</f>
        <v>0.5</v>
      </c>
      <c r="D813" t="s">
        <v>51</v>
      </c>
      <c r="E813">
        <v>1</v>
      </c>
      <c r="F813" s="1">
        <v>42010</v>
      </c>
      <c r="G813" s="1" t="str">
        <f>TEXT(pizza_sales[[#This Row],[order_date]],"dddd")</f>
        <v>Tuesday</v>
      </c>
      <c r="H813" s="2">
        <v>36526.751203703701</v>
      </c>
      <c r="I813">
        <v>12</v>
      </c>
      <c r="J813">
        <v>12</v>
      </c>
      <c r="K813" t="s">
        <v>41</v>
      </c>
      <c r="L813" t="s">
        <v>22</v>
      </c>
      <c r="M813" t="s">
        <v>52</v>
      </c>
      <c r="N813" t="s">
        <v>53</v>
      </c>
    </row>
    <row r="814" spans="1:14" x14ac:dyDescent="0.3">
      <c r="A814">
        <v>813</v>
      </c>
      <c r="B814">
        <v>354</v>
      </c>
      <c r="C814">
        <f>1/COUNTIF(pizza_sales[[#All],[order_id]],pizza_sales[[#This Row],[order_id]])</f>
        <v>0.5</v>
      </c>
      <c r="D814" t="s">
        <v>122</v>
      </c>
      <c r="E814">
        <v>1</v>
      </c>
      <c r="F814" s="1">
        <v>42010</v>
      </c>
      <c r="G814" s="1" t="str">
        <f>TEXT(pizza_sales[[#This Row],[order_date]],"dddd")</f>
        <v>Tuesday</v>
      </c>
      <c r="H814" s="2">
        <v>36526.751203703701</v>
      </c>
      <c r="I814">
        <v>20.25</v>
      </c>
      <c r="J814">
        <v>20.25</v>
      </c>
      <c r="K814" t="s">
        <v>21</v>
      </c>
      <c r="L814" t="s">
        <v>22</v>
      </c>
      <c r="M814" t="s">
        <v>66</v>
      </c>
      <c r="N814" t="s">
        <v>67</v>
      </c>
    </row>
    <row r="815" spans="1:14" x14ac:dyDescent="0.3">
      <c r="A815">
        <v>814</v>
      </c>
      <c r="B815">
        <v>355</v>
      </c>
      <c r="C815">
        <f>1/COUNTIF(pizza_sales[[#All],[order_id]],pizza_sales[[#This Row],[order_id]])</f>
        <v>0.5</v>
      </c>
      <c r="D815" t="s">
        <v>134</v>
      </c>
      <c r="E815">
        <v>1</v>
      </c>
      <c r="F815" s="1">
        <v>42010</v>
      </c>
      <c r="G815" s="1" t="str">
        <f>TEXT(pizza_sales[[#This Row],[order_date]],"dddd")</f>
        <v>Tuesday</v>
      </c>
      <c r="H815" s="2">
        <v>36526.760243055556</v>
      </c>
      <c r="I815">
        <v>16.75</v>
      </c>
      <c r="J815">
        <v>16.75</v>
      </c>
      <c r="K815" t="s">
        <v>13</v>
      </c>
      <c r="L815" t="s">
        <v>33</v>
      </c>
      <c r="M815" t="s">
        <v>124</v>
      </c>
      <c r="N815" t="s">
        <v>125</v>
      </c>
    </row>
    <row r="816" spans="1:14" x14ac:dyDescent="0.3">
      <c r="A816">
        <v>815</v>
      </c>
      <c r="B816">
        <v>355</v>
      </c>
      <c r="C816">
        <f>1/COUNTIF(pizza_sales[[#All],[order_id]],pizza_sales[[#This Row],[order_id]])</f>
        <v>0.5</v>
      </c>
      <c r="D816" t="s">
        <v>36</v>
      </c>
      <c r="E816">
        <v>1</v>
      </c>
      <c r="F816" s="1">
        <v>42010</v>
      </c>
      <c r="G816" s="1" t="str">
        <f>TEXT(pizza_sales[[#This Row],[order_date]],"dddd")</f>
        <v>Tuesday</v>
      </c>
      <c r="H816" s="2">
        <v>36526.760243055556</v>
      </c>
      <c r="I816">
        <v>16.5</v>
      </c>
      <c r="J816">
        <v>16.5</v>
      </c>
      <c r="K816" t="s">
        <v>13</v>
      </c>
      <c r="L816" t="s">
        <v>26</v>
      </c>
      <c r="M816" t="s">
        <v>27</v>
      </c>
      <c r="N816" t="s">
        <v>28</v>
      </c>
    </row>
    <row r="817" spans="1:14" x14ac:dyDescent="0.3">
      <c r="A817">
        <v>816</v>
      </c>
      <c r="B817">
        <v>356</v>
      </c>
      <c r="C817">
        <f>1/COUNTIF(pizza_sales[[#All],[order_id]],pizza_sales[[#This Row],[order_id]])</f>
        <v>1</v>
      </c>
      <c r="D817" t="s">
        <v>134</v>
      </c>
      <c r="E817">
        <v>1</v>
      </c>
      <c r="F817" s="1">
        <v>42010</v>
      </c>
      <c r="G817" s="1" t="str">
        <f>TEXT(pizza_sales[[#This Row],[order_date]],"dddd")</f>
        <v>Tuesday</v>
      </c>
      <c r="H817" s="2">
        <v>36526.76116898148</v>
      </c>
      <c r="I817">
        <v>16.75</v>
      </c>
      <c r="J817">
        <v>16.75</v>
      </c>
      <c r="K817" t="s">
        <v>13</v>
      </c>
      <c r="L817" t="s">
        <v>33</v>
      </c>
      <c r="M817" t="s">
        <v>124</v>
      </c>
      <c r="N817" t="s">
        <v>125</v>
      </c>
    </row>
    <row r="818" spans="1:14" x14ac:dyDescent="0.3">
      <c r="A818">
        <v>817</v>
      </c>
      <c r="B818">
        <v>357</v>
      </c>
      <c r="C818">
        <f>1/COUNTIF(pizza_sales[[#All],[order_id]],pizza_sales[[#This Row],[order_id]])</f>
        <v>0.33333333333333331</v>
      </c>
      <c r="D818" t="s">
        <v>73</v>
      </c>
      <c r="E818">
        <v>1</v>
      </c>
      <c r="F818" s="1">
        <v>42010</v>
      </c>
      <c r="G818" s="1" t="str">
        <f>TEXT(pizza_sales[[#This Row],[order_date]],"dddd")</f>
        <v>Tuesday</v>
      </c>
      <c r="H818" s="2">
        <v>36526.769421296296</v>
      </c>
      <c r="I818">
        <v>20.75</v>
      </c>
      <c r="J818">
        <v>20.75</v>
      </c>
      <c r="K818" t="s">
        <v>21</v>
      </c>
      <c r="L818" t="s">
        <v>33</v>
      </c>
      <c r="M818" t="s">
        <v>74</v>
      </c>
      <c r="N818" t="s">
        <v>75</v>
      </c>
    </row>
    <row r="819" spans="1:14" x14ac:dyDescent="0.3">
      <c r="A819">
        <v>818</v>
      </c>
      <c r="B819">
        <v>357</v>
      </c>
      <c r="C819">
        <f>1/COUNTIF(pizza_sales[[#All],[order_id]],pizza_sales[[#This Row],[order_id]])</f>
        <v>0.33333333333333331</v>
      </c>
      <c r="D819" t="s">
        <v>117</v>
      </c>
      <c r="E819">
        <v>1</v>
      </c>
      <c r="F819" s="1">
        <v>42010</v>
      </c>
      <c r="G819" s="1" t="str">
        <f>TEXT(pizza_sales[[#This Row],[order_date]],"dddd")</f>
        <v>Tuesday</v>
      </c>
      <c r="H819" s="2">
        <v>36526.769421296296</v>
      </c>
      <c r="I819">
        <v>12.75</v>
      </c>
      <c r="J819">
        <v>12.75</v>
      </c>
      <c r="K819" t="s">
        <v>41</v>
      </c>
      <c r="L819" t="s">
        <v>33</v>
      </c>
      <c r="M819" t="s">
        <v>70</v>
      </c>
      <c r="N819" t="s">
        <v>71</v>
      </c>
    </row>
    <row r="820" spans="1:14" x14ac:dyDescent="0.3">
      <c r="A820">
        <v>819</v>
      </c>
      <c r="B820">
        <v>357</v>
      </c>
      <c r="C820">
        <f>1/COUNTIF(pizza_sales[[#All],[order_id]],pizza_sales[[#This Row],[order_id]])</f>
        <v>0.33333333333333331</v>
      </c>
      <c r="D820" t="s">
        <v>157</v>
      </c>
      <c r="E820">
        <v>1</v>
      </c>
      <c r="F820" s="1">
        <v>42010</v>
      </c>
      <c r="G820" s="1" t="str">
        <f>TEXT(pizza_sales[[#This Row],[order_date]],"dddd")</f>
        <v>Tuesday</v>
      </c>
      <c r="H820" s="2">
        <v>36526.769421296296</v>
      </c>
      <c r="I820">
        <v>12</v>
      </c>
      <c r="J820">
        <v>12</v>
      </c>
      <c r="K820" t="s">
        <v>41</v>
      </c>
      <c r="L820" t="s">
        <v>22</v>
      </c>
      <c r="M820" t="s">
        <v>110</v>
      </c>
      <c r="N820" t="s">
        <v>111</v>
      </c>
    </row>
    <row r="821" spans="1:14" x14ac:dyDescent="0.3">
      <c r="A821">
        <v>820</v>
      </c>
      <c r="B821">
        <v>358</v>
      </c>
      <c r="C821">
        <f>1/COUNTIF(pizza_sales[[#All],[order_id]],pizza_sales[[#This Row],[order_id]])</f>
        <v>1</v>
      </c>
      <c r="D821" t="s">
        <v>36</v>
      </c>
      <c r="E821">
        <v>1</v>
      </c>
      <c r="F821" s="1">
        <v>42010</v>
      </c>
      <c r="G821" s="1" t="str">
        <f>TEXT(pizza_sales[[#This Row],[order_date]],"dddd")</f>
        <v>Tuesday</v>
      </c>
      <c r="H821" s="2">
        <v>36526.770972222221</v>
      </c>
      <c r="I821">
        <v>16.5</v>
      </c>
      <c r="J821">
        <v>16.5</v>
      </c>
      <c r="K821" t="s">
        <v>13</v>
      </c>
      <c r="L821" t="s">
        <v>26</v>
      </c>
      <c r="M821" t="s">
        <v>27</v>
      </c>
      <c r="N821" t="s">
        <v>28</v>
      </c>
    </row>
    <row r="822" spans="1:14" x14ac:dyDescent="0.3">
      <c r="A822">
        <v>821</v>
      </c>
      <c r="B822">
        <v>359</v>
      </c>
      <c r="C822">
        <f>1/COUNTIF(pizza_sales[[#All],[order_id]],pizza_sales[[#This Row],[order_id]])</f>
        <v>0.5</v>
      </c>
      <c r="D822" t="s">
        <v>128</v>
      </c>
      <c r="E822">
        <v>1</v>
      </c>
      <c r="F822" s="1">
        <v>42010</v>
      </c>
      <c r="G822" s="1" t="str">
        <f>TEXT(pizza_sales[[#This Row],[order_date]],"dddd")</f>
        <v>Tuesday</v>
      </c>
      <c r="H822" s="2">
        <v>36526.773009259261</v>
      </c>
      <c r="I822">
        <v>16</v>
      </c>
      <c r="J822">
        <v>16</v>
      </c>
      <c r="K822" t="s">
        <v>13</v>
      </c>
      <c r="L822" t="s">
        <v>22</v>
      </c>
      <c r="M822" t="s">
        <v>52</v>
      </c>
      <c r="N822" t="s">
        <v>53</v>
      </c>
    </row>
    <row r="823" spans="1:14" x14ac:dyDescent="0.3">
      <c r="A823">
        <v>822</v>
      </c>
      <c r="B823">
        <v>359</v>
      </c>
      <c r="C823">
        <f>1/COUNTIF(pizza_sales[[#All],[order_id]],pizza_sales[[#This Row],[order_id]])</f>
        <v>0.5</v>
      </c>
      <c r="D823" t="s">
        <v>32</v>
      </c>
      <c r="E823">
        <v>1</v>
      </c>
      <c r="F823" s="1">
        <v>42010</v>
      </c>
      <c r="G823" s="1" t="str">
        <f>TEXT(pizza_sales[[#This Row],[order_date]],"dddd")</f>
        <v>Tuesday</v>
      </c>
      <c r="H823" s="2">
        <v>36526.773009259261</v>
      </c>
      <c r="I823">
        <v>20.75</v>
      </c>
      <c r="J823">
        <v>20.75</v>
      </c>
      <c r="K823" t="s">
        <v>21</v>
      </c>
      <c r="L823" t="s">
        <v>33</v>
      </c>
      <c r="M823" t="s">
        <v>34</v>
      </c>
      <c r="N823" t="s">
        <v>35</v>
      </c>
    </row>
    <row r="824" spans="1:14" x14ac:dyDescent="0.3">
      <c r="A824">
        <v>823</v>
      </c>
      <c r="B824">
        <v>360</v>
      </c>
      <c r="C824">
        <f>1/COUNTIF(pizza_sales[[#All],[order_id]],pizza_sales[[#This Row],[order_id]])</f>
        <v>0.33333333333333331</v>
      </c>
      <c r="D824" t="s">
        <v>72</v>
      </c>
      <c r="E824">
        <v>1</v>
      </c>
      <c r="F824" s="1">
        <v>42010</v>
      </c>
      <c r="G824" s="1" t="str">
        <f>TEXT(pizza_sales[[#This Row],[order_date]],"dddd")</f>
        <v>Tuesday</v>
      </c>
      <c r="H824" s="2">
        <v>36526.785162037035</v>
      </c>
      <c r="I824">
        <v>20.75</v>
      </c>
      <c r="J824">
        <v>20.75</v>
      </c>
      <c r="K824" t="s">
        <v>21</v>
      </c>
      <c r="L824" t="s">
        <v>33</v>
      </c>
      <c r="M824" t="s">
        <v>42</v>
      </c>
      <c r="N824" t="s">
        <v>43</v>
      </c>
    </row>
    <row r="825" spans="1:14" x14ac:dyDescent="0.3">
      <c r="A825">
        <v>824</v>
      </c>
      <c r="B825">
        <v>360</v>
      </c>
      <c r="C825">
        <f>1/COUNTIF(pizza_sales[[#All],[order_id]],pizza_sales[[#This Row],[order_id]])</f>
        <v>0.33333333333333331</v>
      </c>
      <c r="D825" t="s">
        <v>51</v>
      </c>
      <c r="E825">
        <v>1</v>
      </c>
      <c r="F825" s="1">
        <v>42010</v>
      </c>
      <c r="G825" s="1" t="str">
        <f>TEXT(pizza_sales[[#This Row],[order_date]],"dddd")</f>
        <v>Tuesday</v>
      </c>
      <c r="H825" s="2">
        <v>36526.785162037035</v>
      </c>
      <c r="I825">
        <v>12</v>
      </c>
      <c r="J825">
        <v>12</v>
      </c>
      <c r="K825" t="s">
        <v>41</v>
      </c>
      <c r="L825" t="s">
        <v>22</v>
      </c>
      <c r="M825" t="s">
        <v>52</v>
      </c>
      <c r="N825" t="s">
        <v>53</v>
      </c>
    </row>
    <row r="826" spans="1:14" x14ac:dyDescent="0.3">
      <c r="A826">
        <v>825</v>
      </c>
      <c r="B826">
        <v>360</v>
      </c>
      <c r="C826">
        <f>1/COUNTIF(pizza_sales[[#All],[order_id]],pizza_sales[[#This Row],[order_id]])</f>
        <v>0.33333333333333331</v>
      </c>
      <c r="D826" t="s">
        <v>132</v>
      </c>
      <c r="E826">
        <v>1</v>
      </c>
      <c r="F826" s="1">
        <v>42010</v>
      </c>
      <c r="G826" s="1" t="str">
        <f>TEXT(pizza_sales[[#This Row],[order_date]],"dddd")</f>
        <v>Tuesday</v>
      </c>
      <c r="H826" s="2">
        <v>36526.785162037035</v>
      </c>
      <c r="I826">
        <v>10.5</v>
      </c>
      <c r="J826">
        <v>10.5</v>
      </c>
      <c r="K826" t="s">
        <v>41</v>
      </c>
      <c r="L826" t="s">
        <v>14</v>
      </c>
      <c r="M826" t="s">
        <v>15</v>
      </c>
      <c r="N826" t="s">
        <v>16</v>
      </c>
    </row>
    <row r="827" spans="1:14" x14ac:dyDescent="0.3">
      <c r="A827">
        <v>826</v>
      </c>
      <c r="B827">
        <v>361</v>
      </c>
      <c r="C827">
        <f>1/COUNTIF(pizza_sales[[#All],[order_id]],pizza_sales[[#This Row],[order_id]])</f>
        <v>0.5</v>
      </c>
      <c r="D827" t="s">
        <v>84</v>
      </c>
      <c r="E827">
        <v>2</v>
      </c>
      <c r="F827" s="1">
        <v>42010</v>
      </c>
      <c r="G827" s="1" t="str">
        <f>TEXT(pizza_sales[[#This Row],[order_date]],"dddd")</f>
        <v>Tuesday</v>
      </c>
      <c r="H827" s="2">
        <v>36526.800439814811</v>
      </c>
      <c r="I827">
        <v>12</v>
      </c>
      <c r="J827">
        <v>24</v>
      </c>
      <c r="K827" t="s">
        <v>41</v>
      </c>
      <c r="L827" t="s">
        <v>14</v>
      </c>
      <c r="M827" t="s">
        <v>85</v>
      </c>
      <c r="N827" t="s">
        <v>86</v>
      </c>
    </row>
    <row r="828" spans="1:14" x14ac:dyDescent="0.3">
      <c r="A828">
        <v>827</v>
      </c>
      <c r="B828">
        <v>361</v>
      </c>
      <c r="C828">
        <f>1/COUNTIF(pizza_sales[[#All],[order_id]],pizza_sales[[#This Row],[order_id]])</f>
        <v>0.5</v>
      </c>
      <c r="D828" t="s">
        <v>160</v>
      </c>
      <c r="E828">
        <v>1</v>
      </c>
      <c r="F828" s="1">
        <v>42010</v>
      </c>
      <c r="G828" s="1" t="str">
        <f>TEXT(pizza_sales[[#This Row],[order_date]],"dddd")</f>
        <v>Tuesday</v>
      </c>
      <c r="H828" s="2">
        <v>36526.800439814811</v>
      </c>
      <c r="I828">
        <v>12</v>
      </c>
      <c r="J828">
        <v>12</v>
      </c>
      <c r="K828" t="s">
        <v>41</v>
      </c>
      <c r="L828" t="s">
        <v>14</v>
      </c>
      <c r="M828" t="s">
        <v>55</v>
      </c>
      <c r="N828" t="s">
        <v>56</v>
      </c>
    </row>
    <row r="829" spans="1:14" x14ac:dyDescent="0.3">
      <c r="A829">
        <v>828</v>
      </c>
      <c r="B829">
        <v>362</v>
      </c>
      <c r="C829">
        <f>1/COUNTIF(pizza_sales[[#All],[order_id]],pizza_sales[[#This Row],[order_id]])</f>
        <v>0.5</v>
      </c>
      <c r="D829" t="s">
        <v>118</v>
      </c>
      <c r="E829">
        <v>1</v>
      </c>
      <c r="F829" s="1">
        <v>42010</v>
      </c>
      <c r="G829" s="1" t="str">
        <f>TEXT(pizza_sales[[#This Row],[order_date]],"dddd")</f>
        <v>Tuesday</v>
      </c>
      <c r="H829" s="2">
        <v>36526.801111111112</v>
      </c>
      <c r="I829">
        <v>16.75</v>
      </c>
      <c r="J829">
        <v>16.75</v>
      </c>
      <c r="K829" t="s">
        <v>13</v>
      </c>
      <c r="L829" t="s">
        <v>33</v>
      </c>
      <c r="M829" t="s">
        <v>42</v>
      </c>
      <c r="N829" t="s">
        <v>43</v>
      </c>
    </row>
    <row r="830" spans="1:14" x14ac:dyDescent="0.3">
      <c r="A830">
        <v>829</v>
      </c>
      <c r="B830">
        <v>362</v>
      </c>
      <c r="C830">
        <f>1/COUNTIF(pizza_sales[[#All],[order_id]],pizza_sales[[#This Row],[order_id]])</f>
        <v>0.5</v>
      </c>
      <c r="D830" t="s">
        <v>68</v>
      </c>
      <c r="E830">
        <v>1</v>
      </c>
      <c r="F830" s="1">
        <v>42010</v>
      </c>
      <c r="G830" s="1" t="str">
        <f>TEXT(pizza_sales[[#This Row],[order_date]],"dddd")</f>
        <v>Tuesday</v>
      </c>
      <c r="H830" s="2">
        <v>36526.801111111112</v>
      </c>
      <c r="I830">
        <v>20.25</v>
      </c>
      <c r="J830">
        <v>20.25</v>
      </c>
      <c r="K830" t="s">
        <v>21</v>
      </c>
      <c r="L830" t="s">
        <v>22</v>
      </c>
      <c r="M830" t="s">
        <v>30</v>
      </c>
      <c r="N830" t="s">
        <v>31</v>
      </c>
    </row>
    <row r="831" spans="1:14" x14ac:dyDescent="0.3">
      <c r="A831">
        <v>830</v>
      </c>
      <c r="B831">
        <v>363</v>
      </c>
      <c r="C831">
        <f>1/COUNTIF(pizza_sales[[#All],[order_id]],pizza_sales[[#This Row],[order_id]])</f>
        <v>0.5</v>
      </c>
      <c r="D831" t="s">
        <v>146</v>
      </c>
      <c r="E831">
        <v>1</v>
      </c>
      <c r="F831" s="1">
        <v>42010</v>
      </c>
      <c r="G831" s="1" t="str">
        <f>TEXT(pizza_sales[[#This Row],[order_date]],"dddd")</f>
        <v>Tuesday</v>
      </c>
      <c r="H831" s="2">
        <v>36526.805914351855</v>
      </c>
      <c r="I831">
        <v>20.25</v>
      </c>
      <c r="J831">
        <v>20.25</v>
      </c>
      <c r="K831" t="s">
        <v>21</v>
      </c>
      <c r="L831" t="s">
        <v>22</v>
      </c>
      <c r="M831" t="s">
        <v>104</v>
      </c>
      <c r="N831" t="s">
        <v>105</v>
      </c>
    </row>
    <row r="832" spans="1:14" x14ac:dyDescent="0.3">
      <c r="A832">
        <v>831</v>
      </c>
      <c r="B832">
        <v>363</v>
      </c>
      <c r="C832">
        <f>1/COUNTIF(pizza_sales[[#All],[order_id]],pizza_sales[[#This Row],[order_id]])</f>
        <v>0.5</v>
      </c>
      <c r="D832" t="s">
        <v>68</v>
      </c>
      <c r="E832">
        <v>1</v>
      </c>
      <c r="F832" s="1">
        <v>42010</v>
      </c>
      <c r="G832" s="1" t="str">
        <f>TEXT(pizza_sales[[#This Row],[order_date]],"dddd")</f>
        <v>Tuesday</v>
      </c>
      <c r="H832" s="2">
        <v>36526.805914351855</v>
      </c>
      <c r="I832">
        <v>20.25</v>
      </c>
      <c r="J832">
        <v>20.25</v>
      </c>
      <c r="K832" t="s">
        <v>21</v>
      </c>
      <c r="L832" t="s">
        <v>22</v>
      </c>
      <c r="M832" t="s">
        <v>30</v>
      </c>
      <c r="N832" t="s">
        <v>31</v>
      </c>
    </row>
    <row r="833" spans="1:14" x14ac:dyDescent="0.3">
      <c r="A833">
        <v>832</v>
      </c>
      <c r="B833">
        <v>364</v>
      </c>
      <c r="C833">
        <f>1/COUNTIF(pizza_sales[[#All],[order_id]],pizza_sales[[#This Row],[order_id]])</f>
        <v>0.5</v>
      </c>
      <c r="D833" t="s">
        <v>36</v>
      </c>
      <c r="E833">
        <v>1</v>
      </c>
      <c r="F833" s="1">
        <v>42010</v>
      </c>
      <c r="G833" s="1" t="str">
        <f>TEXT(pizza_sales[[#This Row],[order_date]],"dddd")</f>
        <v>Tuesday</v>
      </c>
      <c r="H833" s="2">
        <v>36526.810694444444</v>
      </c>
      <c r="I833">
        <v>16.5</v>
      </c>
      <c r="J833">
        <v>16.5</v>
      </c>
      <c r="K833" t="s">
        <v>13</v>
      </c>
      <c r="L833" t="s">
        <v>26</v>
      </c>
      <c r="M833" t="s">
        <v>27</v>
      </c>
      <c r="N833" t="s">
        <v>28</v>
      </c>
    </row>
    <row r="834" spans="1:14" x14ac:dyDescent="0.3">
      <c r="A834">
        <v>833</v>
      </c>
      <c r="B834">
        <v>364</v>
      </c>
      <c r="C834">
        <f>1/COUNTIF(pizza_sales[[#All],[order_id]],pizza_sales[[#This Row],[order_id]])</f>
        <v>0.5</v>
      </c>
      <c r="D834" t="s">
        <v>140</v>
      </c>
      <c r="E834">
        <v>1</v>
      </c>
      <c r="F834" s="1">
        <v>42010</v>
      </c>
      <c r="G834" s="1" t="str">
        <f>TEXT(pizza_sales[[#This Row],[order_date]],"dddd")</f>
        <v>Tuesday</v>
      </c>
      <c r="H834" s="2">
        <v>36526.810694444444</v>
      </c>
      <c r="I834">
        <v>25.5</v>
      </c>
      <c r="J834">
        <v>25.5</v>
      </c>
      <c r="K834" t="s">
        <v>141</v>
      </c>
      <c r="L834" t="s">
        <v>14</v>
      </c>
      <c r="M834" t="s">
        <v>45</v>
      </c>
      <c r="N834" t="s">
        <v>46</v>
      </c>
    </row>
    <row r="835" spans="1:14" x14ac:dyDescent="0.3">
      <c r="A835">
        <v>834</v>
      </c>
      <c r="B835">
        <v>365</v>
      </c>
      <c r="C835">
        <f>1/COUNTIF(pizza_sales[[#All],[order_id]],pizza_sales[[#This Row],[order_id]])</f>
        <v>0.33333333333333331</v>
      </c>
      <c r="D835" t="s">
        <v>99</v>
      </c>
      <c r="E835">
        <v>1</v>
      </c>
      <c r="F835" s="1">
        <v>42010</v>
      </c>
      <c r="G835" s="1" t="str">
        <f>TEXT(pizza_sales[[#This Row],[order_date]],"dddd")</f>
        <v>Tuesday</v>
      </c>
      <c r="H835" s="2">
        <v>36526.817662037036</v>
      </c>
      <c r="I835">
        <v>14.75</v>
      </c>
      <c r="J835">
        <v>14.75</v>
      </c>
      <c r="K835" t="s">
        <v>13</v>
      </c>
      <c r="L835" t="s">
        <v>22</v>
      </c>
      <c r="M835" t="s">
        <v>91</v>
      </c>
      <c r="N835" t="s">
        <v>92</v>
      </c>
    </row>
    <row r="836" spans="1:14" x14ac:dyDescent="0.3">
      <c r="A836">
        <v>835</v>
      </c>
      <c r="B836">
        <v>365</v>
      </c>
      <c r="C836">
        <f>1/COUNTIF(pizza_sales[[#All],[order_id]],pizza_sales[[#This Row],[order_id]])</f>
        <v>0.33333333333333331</v>
      </c>
      <c r="D836" t="s">
        <v>146</v>
      </c>
      <c r="E836">
        <v>1</v>
      </c>
      <c r="F836" s="1">
        <v>42010</v>
      </c>
      <c r="G836" s="1" t="str">
        <f>TEXT(pizza_sales[[#This Row],[order_date]],"dddd")</f>
        <v>Tuesday</v>
      </c>
      <c r="H836" s="2">
        <v>36526.817662037036</v>
      </c>
      <c r="I836">
        <v>20.25</v>
      </c>
      <c r="J836">
        <v>20.25</v>
      </c>
      <c r="K836" t="s">
        <v>21</v>
      </c>
      <c r="L836" t="s">
        <v>22</v>
      </c>
      <c r="M836" t="s">
        <v>104</v>
      </c>
      <c r="N836" t="s">
        <v>105</v>
      </c>
    </row>
    <row r="837" spans="1:14" x14ac:dyDescent="0.3">
      <c r="A837">
        <v>836</v>
      </c>
      <c r="B837">
        <v>365</v>
      </c>
      <c r="C837">
        <f>1/COUNTIF(pizza_sales[[#All],[order_id]],pizza_sales[[#This Row],[order_id]])</f>
        <v>0.33333333333333331</v>
      </c>
      <c r="D837" t="s">
        <v>119</v>
      </c>
      <c r="E837">
        <v>1</v>
      </c>
      <c r="F837" s="1">
        <v>42010</v>
      </c>
      <c r="G837" s="1" t="str">
        <f>TEXT(pizza_sales[[#This Row],[order_date]],"dddd")</f>
        <v>Tuesday</v>
      </c>
      <c r="H837" s="2">
        <v>36526.817662037036</v>
      </c>
      <c r="I837">
        <v>12.5</v>
      </c>
      <c r="J837">
        <v>12.5</v>
      </c>
      <c r="K837" t="s">
        <v>13</v>
      </c>
      <c r="L837" t="s">
        <v>14</v>
      </c>
      <c r="M837" t="s">
        <v>78</v>
      </c>
      <c r="N837" t="s">
        <v>79</v>
      </c>
    </row>
    <row r="838" spans="1:14" x14ac:dyDescent="0.3">
      <c r="A838">
        <v>837</v>
      </c>
      <c r="B838">
        <v>366</v>
      </c>
      <c r="C838">
        <f>1/COUNTIF(pizza_sales[[#All],[order_id]],pizza_sales[[#This Row],[order_id]])</f>
        <v>1</v>
      </c>
      <c r="D838" t="s">
        <v>54</v>
      </c>
      <c r="E838">
        <v>1</v>
      </c>
      <c r="F838" s="1">
        <v>42010</v>
      </c>
      <c r="G838" s="1" t="str">
        <f>TEXT(pizza_sales[[#This Row],[order_date]],"dddd")</f>
        <v>Tuesday</v>
      </c>
      <c r="H838" s="2">
        <v>36526.836342592593</v>
      </c>
      <c r="I838">
        <v>20.5</v>
      </c>
      <c r="J838">
        <v>20.5</v>
      </c>
      <c r="K838" t="s">
        <v>21</v>
      </c>
      <c r="L838" t="s">
        <v>14</v>
      </c>
      <c r="M838" t="s">
        <v>55</v>
      </c>
      <c r="N838" t="s">
        <v>56</v>
      </c>
    </row>
    <row r="839" spans="1:14" x14ac:dyDescent="0.3">
      <c r="A839">
        <v>838</v>
      </c>
      <c r="B839">
        <v>367</v>
      </c>
      <c r="C839">
        <f>1/COUNTIF(pizza_sales[[#All],[order_id]],pizza_sales[[#This Row],[order_id]])</f>
        <v>0.5</v>
      </c>
      <c r="D839" t="s">
        <v>142</v>
      </c>
      <c r="E839">
        <v>1</v>
      </c>
      <c r="F839" s="1">
        <v>42010</v>
      </c>
      <c r="G839" s="1" t="str">
        <f>TEXT(pizza_sales[[#This Row],[order_date]],"dddd")</f>
        <v>Tuesday</v>
      </c>
      <c r="H839" s="2">
        <v>36526.836944444447</v>
      </c>
      <c r="I839">
        <v>16.5</v>
      </c>
      <c r="J839">
        <v>16.5</v>
      </c>
      <c r="K839" t="s">
        <v>21</v>
      </c>
      <c r="L839" t="s">
        <v>14</v>
      </c>
      <c r="M839" t="s">
        <v>15</v>
      </c>
      <c r="N839" t="s">
        <v>16</v>
      </c>
    </row>
    <row r="840" spans="1:14" x14ac:dyDescent="0.3">
      <c r="A840">
        <v>839</v>
      </c>
      <c r="B840">
        <v>367</v>
      </c>
      <c r="C840">
        <f>1/COUNTIF(pizza_sales[[#All],[order_id]],pizza_sales[[#This Row],[order_id]])</f>
        <v>0.5</v>
      </c>
      <c r="D840" t="s">
        <v>162</v>
      </c>
      <c r="E840">
        <v>1</v>
      </c>
      <c r="F840" s="1">
        <v>42010</v>
      </c>
      <c r="G840" s="1" t="str">
        <f>TEXT(pizza_sales[[#This Row],[order_date]],"dddd")</f>
        <v>Tuesday</v>
      </c>
      <c r="H840" s="2">
        <v>36526.836944444447</v>
      </c>
      <c r="I840">
        <v>16</v>
      </c>
      <c r="J840">
        <v>16</v>
      </c>
      <c r="K840" t="s">
        <v>13</v>
      </c>
      <c r="L840" t="s">
        <v>22</v>
      </c>
      <c r="M840" t="s">
        <v>110</v>
      </c>
      <c r="N840" t="s">
        <v>111</v>
      </c>
    </row>
    <row r="841" spans="1:14" x14ac:dyDescent="0.3">
      <c r="A841">
        <v>840</v>
      </c>
      <c r="B841">
        <v>368</v>
      </c>
      <c r="C841">
        <f>1/COUNTIF(pizza_sales[[#All],[order_id]],pizza_sales[[#This Row],[order_id]])</f>
        <v>0.5</v>
      </c>
      <c r="D841" t="s">
        <v>164</v>
      </c>
      <c r="E841">
        <v>1</v>
      </c>
      <c r="F841" s="1">
        <v>42010</v>
      </c>
      <c r="G841" s="1" t="str">
        <f>TEXT(pizza_sales[[#This Row],[order_date]],"dddd")</f>
        <v>Tuesday</v>
      </c>
      <c r="H841" s="2">
        <v>36526.852962962963</v>
      </c>
      <c r="I841">
        <v>16.5</v>
      </c>
      <c r="J841">
        <v>16.5</v>
      </c>
      <c r="K841" t="s">
        <v>13</v>
      </c>
      <c r="L841" t="s">
        <v>22</v>
      </c>
      <c r="M841" t="s">
        <v>63</v>
      </c>
      <c r="N841" t="s">
        <v>64</v>
      </c>
    </row>
    <row r="842" spans="1:14" x14ac:dyDescent="0.3">
      <c r="A842">
        <v>841</v>
      </c>
      <c r="B842">
        <v>368</v>
      </c>
      <c r="C842">
        <f>1/COUNTIF(pizza_sales[[#All],[order_id]],pizza_sales[[#This Row],[order_id]])</f>
        <v>0.5</v>
      </c>
      <c r="D842" t="s">
        <v>32</v>
      </c>
      <c r="E842">
        <v>1</v>
      </c>
      <c r="F842" s="1">
        <v>42010</v>
      </c>
      <c r="G842" s="1" t="str">
        <f>TEXT(pizza_sales[[#This Row],[order_date]],"dddd")</f>
        <v>Tuesday</v>
      </c>
      <c r="H842" s="2">
        <v>36526.852962962963</v>
      </c>
      <c r="I842">
        <v>20.75</v>
      </c>
      <c r="J842">
        <v>20.75</v>
      </c>
      <c r="K842" t="s">
        <v>21</v>
      </c>
      <c r="L842" t="s">
        <v>33</v>
      </c>
      <c r="M842" t="s">
        <v>34</v>
      </c>
      <c r="N842" t="s">
        <v>35</v>
      </c>
    </row>
    <row r="843" spans="1:14" x14ac:dyDescent="0.3">
      <c r="A843">
        <v>842</v>
      </c>
      <c r="B843">
        <v>369</v>
      </c>
      <c r="C843">
        <f>1/COUNTIF(pizza_sales[[#All],[order_id]],pizza_sales[[#This Row],[order_id]])</f>
        <v>1</v>
      </c>
      <c r="D843" t="s">
        <v>162</v>
      </c>
      <c r="E843">
        <v>1</v>
      </c>
      <c r="F843" s="1">
        <v>42010</v>
      </c>
      <c r="G843" s="1" t="str">
        <f>TEXT(pizza_sales[[#This Row],[order_date]],"dddd")</f>
        <v>Tuesday</v>
      </c>
      <c r="H843" s="2">
        <v>36526.85423611111</v>
      </c>
      <c r="I843">
        <v>16</v>
      </c>
      <c r="J843">
        <v>16</v>
      </c>
      <c r="K843" t="s">
        <v>13</v>
      </c>
      <c r="L843" t="s">
        <v>22</v>
      </c>
      <c r="M843" t="s">
        <v>110</v>
      </c>
      <c r="N843" t="s">
        <v>111</v>
      </c>
    </row>
    <row r="844" spans="1:14" x14ac:dyDescent="0.3">
      <c r="A844">
        <v>843</v>
      </c>
      <c r="B844">
        <v>370</v>
      </c>
      <c r="C844">
        <f>1/COUNTIF(pizza_sales[[#All],[order_id]],pizza_sales[[#This Row],[order_id]])</f>
        <v>0.5</v>
      </c>
      <c r="D844" t="s">
        <v>90</v>
      </c>
      <c r="E844">
        <v>1</v>
      </c>
      <c r="F844" s="1">
        <v>42010</v>
      </c>
      <c r="G844" s="1" t="str">
        <f>TEXT(pizza_sales[[#This Row],[order_date]],"dddd")</f>
        <v>Tuesday</v>
      </c>
      <c r="H844" s="2">
        <v>36526.876736111109</v>
      </c>
      <c r="I844">
        <v>17.95</v>
      </c>
      <c r="J844">
        <v>17.95</v>
      </c>
      <c r="K844" t="s">
        <v>21</v>
      </c>
      <c r="L844" t="s">
        <v>22</v>
      </c>
      <c r="M844" t="s">
        <v>91</v>
      </c>
      <c r="N844" t="s">
        <v>92</v>
      </c>
    </row>
    <row r="845" spans="1:14" x14ac:dyDescent="0.3">
      <c r="A845">
        <v>844</v>
      </c>
      <c r="B845">
        <v>370</v>
      </c>
      <c r="C845">
        <f>1/COUNTIF(pizza_sales[[#All],[order_id]],pizza_sales[[#This Row],[order_id]])</f>
        <v>0.5</v>
      </c>
      <c r="D845" t="s">
        <v>132</v>
      </c>
      <c r="E845">
        <v>1</v>
      </c>
      <c r="F845" s="1">
        <v>42010</v>
      </c>
      <c r="G845" s="1" t="str">
        <f>TEXT(pizza_sales[[#This Row],[order_date]],"dddd")</f>
        <v>Tuesday</v>
      </c>
      <c r="H845" s="2">
        <v>36526.876736111109</v>
      </c>
      <c r="I845">
        <v>10.5</v>
      </c>
      <c r="J845">
        <v>10.5</v>
      </c>
      <c r="K845" t="s">
        <v>41</v>
      </c>
      <c r="L845" t="s">
        <v>14</v>
      </c>
      <c r="M845" t="s">
        <v>15</v>
      </c>
      <c r="N845" t="s">
        <v>16</v>
      </c>
    </row>
    <row r="846" spans="1:14" x14ac:dyDescent="0.3">
      <c r="A846">
        <v>845</v>
      </c>
      <c r="B846">
        <v>371</v>
      </c>
      <c r="C846">
        <f>1/COUNTIF(pizza_sales[[#All],[order_id]],pizza_sales[[#This Row],[order_id]])</f>
        <v>1</v>
      </c>
      <c r="D846" t="s">
        <v>119</v>
      </c>
      <c r="E846">
        <v>1</v>
      </c>
      <c r="F846" s="1">
        <v>42010</v>
      </c>
      <c r="G846" s="1" t="str">
        <f>TEXT(pizza_sales[[#This Row],[order_date]],"dddd")</f>
        <v>Tuesday</v>
      </c>
      <c r="H846" s="2">
        <v>36526.885648148149</v>
      </c>
      <c r="I846">
        <v>12.5</v>
      </c>
      <c r="J846">
        <v>12.5</v>
      </c>
      <c r="K846" t="s">
        <v>13</v>
      </c>
      <c r="L846" t="s">
        <v>14</v>
      </c>
      <c r="M846" t="s">
        <v>78</v>
      </c>
      <c r="N846" t="s">
        <v>79</v>
      </c>
    </row>
    <row r="847" spans="1:14" x14ac:dyDescent="0.3">
      <c r="A847">
        <v>846</v>
      </c>
      <c r="B847">
        <v>372</v>
      </c>
      <c r="C847">
        <f>1/COUNTIF(pizza_sales[[#All],[order_id]],pizza_sales[[#This Row],[order_id]])</f>
        <v>1</v>
      </c>
      <c r="D847" t="s">
        <v>157</v>
      </c>
      <c r="E847">
        <v>1</v>
      </c>
      <c r="F847" s="1">
        <v>42010</v>
      </c>
      <c r="G847" s="1" t="str">
        <f>TEXT(pizza_sales[[#This Row],[order_date]],"dddd")</f>
        <v>Tuesday</v>
      </c>
      <c r="H847" s="2">
        <v>36526.93540509259</v>
      </c>
      <c r="I847">
        <v>12</v>
      </c>
      <c r="J847">
        <v>12</v>
      </c>
      <c r="K847" t="s">
        <v>41</v>
      </c>
      <c r="L847" t="s">
        <v>22</v>
      </c>
      <c r="M847" t="s">
        <v>110</v>
      </c>
      <c r="N847" t="s">
        <v>111</v>
      </c>
    </row>
    <row r="848" spans="1:14" x14ac:dyDescent="0.3">
      <c r="A848">
        <v>847</v>
      </c>
      <c r="B848">
        <v>373</v>
      </c>
      <c r="C848">
        <f>1/COUNTIF(pizza_sales[[#All],[order_id]],pizza_sales[[#This Row],[order_id]])</f>
        <v>0.33333333333333331</v>
      </c>
      <c r="D848" t="s">
        <v>156</v>
      </c>
      <c r="E848">
        <v>1</v>
      </c>
      <c r="F848" s="1">
        <v>42011</v>
      </c>
      <c r="G848" s="1" t="str">
        <f>TEXT(pizza_sales[[#This Row],[order_date]],"dddd")</f>
        <v>Wednesday</v>
      </c>
      <c r="H848" s="2">
        <v>36526.489791666667</v>
      </c>
      <c r="I848">
        <v>12.75</v>
      </c>
      <c r="J848">
        <v>12.75</v>
      </c>
      <c r="K848" t="s">
        <v>41</v>
      </c>
      <c r="L848" t="s">
        <v>33</v>
      </c>
      <c r="M848" t="s">
        <v>82</v>
      </c>
      <c r="N848" t="s">
        <v>83</v>
      </c>
    </row>
    <row r="849" spans="1:14" x14ac:dyDescent="0.3">
      <c r="A849">
        <v>848</v>
      </c>
      <c r="B849">
        <v>373</v>
      </c>
      <c r="C849">
        <f>1/COUNTIF(pizza_sales[[#All],[order_id]],pizza_sales[[#This Row],[order_id]])</f>
        <v>0.33333333333333331</v>
      </c>
      <c r="D849" t="s">
        <v>17</v>
      </c>
      <c r="E849">
        <v>1</v>
      </c>
      <c r="F849" s="1">
        <v>42011</v>
      </c>
      <c r="G849" s="1" t="str">
        <f>TEXT(pizza_sales[[#This Row],[order_date]],"dddd")</f>
        <v>Wednesday</v>
      </c>
      <c r="H849" s="2">
        <v>36526.489791666667</v>
      </c>
      <c r="I849">
        <v>16</v>
      </c>
      <c r="J849">
        <v>16</v>
      </c>
      <c r="K849" t="s">
        <v>13</v>
      </c>
      <c r="L849" t="s">
        <v>14</v>
      </c>
      <c r="M849" t="s">
        <v>18</v>
      </c>
      <c r="N849" t="s">
        <v>19</v>
      </c>
    </row>
    <row r="850" spans="1:14" x14ac:dyDescent="0.3">
      <c r="A850">
        <v>849</v>
      </c>
      <c r="B850">
        <v>373</v>
      </c>
      <c r="C850">
        <f>1/COUNTIF(pizza_sales[[#All],[order_id]],pizza_sales[[#This Row],[order_id]])</f>
        <v>0.33333333333333331</v>
      </c>
      <c r="D850" t="s">
        <v>113</v>
      </c>
      <c r="E850">
        <v>1</v>
      </c>
      <c r="F850" s="1">
        <v>42011</v>
      </c>
      <c r="G850" s="1" t="str">
        <f>TEXT(pizza_sales[[#This Row],[order_date]],"dddd")</f>
        <v>Wednesday</v>
      </c>
      <c r="H850" s="2">
        <v>36526.489791666667</v>
      </c>
      <c r="I850">
        <v>20.25</v>
      </c>
      <c r="J850">
        <v>20.25</v>
      </c>
      <c r="K850" t="s">
        <v>21</v>
      </c>
      <c r="L850" t="s">
        <v>26</v>
      </c>
      <c r="M850" t="s">
        <v>114</v>
      </c>
      <c r="N850" t="s">
        <v>115</v>
      </c>
    </row>
    <row r="851" spans="1:14" x14ac:dyDescent="0.3">
      <c r="A851">
        <v>850</v>
      </c>
      <c r="B851">
        <v>374</v>
      </c>
      <c r="C851">
        <f>1/COUNTIF(pizza_sales[[#All],[order_id]],pizza_sales[[#This Row],[order_id]])</f>
        <v>0.33333333333333331</v>
      </c>
      <c r="D851" t="s">
        <v>84</v>
      </c>
      <c r="E851">
        <v>1</v>
      </c>
      <c r="F851" s="1">
        <v>42011</v>
      </c>
      <c r="G851" s="1" t="str">
        <f>TEXT(pizza_sales[[#This Row],[order_date]],"dddd")</f>
        <v>Wednesday</v>
      </c>
      <c r="H851" s="2">
        <v>36526.497210648151</v>
      </c>
      <c r="I851">
        <v>12</v>
      </c>
      <c r="J851">
        <v>12</v>
      </c>
      <c r="K851" t="s">
        <v>41</v>
      </c>
      <c r="L851" t="s">
        <v>14</v>
      </c>
      <c r="M851" t="s">
        <v>85</v>
      </c>
      <c r="N851" t="s">
        <v>86</v>
      </c>
    </row>
    <row r="852" spans="1:14" x14ac:dyDescent="0.3">
      <c r="A852">
        <v>851</v>
      </c>
      <c r="B852">
        <v>374</v>
      </c>
      <c r="C852">
        <f>1/COUNTIF(pizza_sales[[#All],[order_id]],pizza_sales[[#This Row],[order_id]])</f>
        <v>0.33333333333333331</v>
      </c>
      <c r="D852" t="s">
        <v>134</v>
      </c>
      <c r="E852">
        <v>1</v>
      </c>
      <c r="F852" s="1">
        <v>42011</v>
      </c>
      <c r="G852" s="1" t="str">
        <f>TEXT(pizza_sales[[#This Row],[order_date]],"dddd")</f>
        <v>Wednesday</v>
      </c>
      <c r="H852" s="2">
        <v>36526.497210648151</v>
      </c>
      <c r="I852">
        <v>16.75</v>
      </c>
      <c r="J852">
        <v>16.75</v>
      </c>
      <c r="K852" t="s">
        <v>13</v>
      </c>
      <c r="L852" t="s">
        <v>33</v>
      </c>
      <c r="M852" t="s">
        <v>124</v>
      </c>
      <c r="N852" t="s">
        <v>125</v>
      </c>
    </row>
    <row r="853" spans="1:14" x14ac:dyDescent="0.3">
      <c r="A853">
        <v>852</v>
      </c>
      <c r="B853">
        <v>374</v>
      </c>
      <c r="C853">
        <f>1/COUNTIF(pizza_sales[[#All],[order_id]],pizza_sales[[#This Row],[order_id]])</f>
        <v>0.33333333333333331</v>
      </c>
      <c r="D853" t="s">
        <v>106</v>
      </c>
      <c r="E853">
        <v>1</v>
      </c>
      <c r="F853" s="1">
        <v>42011</v>
      </c>
      <c r="G853" s="1" t="str">
        <f>TEXT(pizza_sales[[#This Row],[order_date]],"dddd")</f>
        <v>Wednesday</v>
      </c>
      <c r="H853" s="2">
        <v>36526.497210648151</v>
      </c>
      <c r="I853">
        <v>12.5</v>
      </c>
      <c r="J853">
        <v>12.5</v>
      </c>
      <c r="K853" t="s">
        <v>41</v>
      </c>
      <c r="L853" t="s">
        <v>26</v>
      </c>
      <c r="M853" t="s">
        <v>107</v>
      </c>
      <c r="N853" t="s">
        <v>108</v>
      </c>
    </row>
    <row r="854" spans="1:14" x14ac:dyDescent="0.3">
      <c r="A854">
        <v>853</v>
      </c>
      <c r="B854">
        <v>375</v>
      </c>
      <c r="C854">
        <f>1/COUNTIF(pizza_sales[[#All],[order_id]],pizza_sales[[#This Row],[order_id]])</f>
        <v>1</v>
      </c>
      <c r="D854" t="s">
        <v>29</v>
      </c>
      <c r="E854">
        <v>1</v>
      </c>
      <c r="F854" s="1">
        <v>42011</v>
      </c>
      <c r="G854" s="1" t="str">
        <f>TEXT(pizza_sales[[#This Row],[order_date]],"dddd")</f>
        <v>Wednesday</v>
      </c>
      <c r="H854" s="2">
        <v>36526.499027777776</v>
      </c>
      <c r="I854">
        <v>16</v>
      </c>
      <c r="J854">
        <v>16</v>
      </c>
      <c r="K854" t="s">
        <v>13</v>
      </c>
      <c r="L854" t="s">
        <v>22</v>
      </c>
      <c r="M854" t="s">
        <v>30</v>
      </c>
      <c r="N854" t="s">
        <v>31</v>
      </c>
    </row>
    <row r="855" spans="1:14" x14ac:dyDescent="0.3">
      <c r="A855">
        <v>854</v>
      </c>
      <c r="B855">
        <v>376</v>
      </c>
      <c r="C855">
        <f>1/COUNTIF(pizza_sales[[#All],[order_id]],pizza_sales[[#This Row],[order_id]])</f>
        <v>0.5</v>
      </c>
      <c r="D855" t="s">
        <v>140</v>
      </c>
      <c r="E855">
        <v>1</v>
      </c>
      <c r="F855" s="1">
        <v>42011</v>
      </c>
      <c r="G855" s="1" t="str">
        <f>TEXT(pizza_sales[[#This Row],[order_date]],"dddd")</f>
        <v>Wednesday</v>
      </c>
      <c r="H855" s="2">
        <v>36526.500891203701</v>
      </c>
      <c r="I855">
        <v>25.5</v>
      </c>
      <c r="J855">
        <v>25.5</v>
      </c>
      <c r="K855" t="s">
        <v>141</v>
      </c>
      <c r="L855" t="s">
        <v>14</v>
      </c>
      <c r="M855" t="s">
        <v>45</v>
      </c>
      <c r="N855" t="s">
        <v>46</v>
      </c>
    </row>
    <row r="856" spans="1:14" x14ac:dyDescent="0.3">
      <c r="A856">
        <v>855</v>
      </c>
      <c r="B856">
        <v>376</v>
      </c>
      <c r="C856">
        <f>1/COUNTIF(pizza_sales[[#All],[order_id]],pizza_sales[[#This Row],[order_id]])</f>
        <v>0.5</v>
      </c>
      <c r="D856" t="s">
        <v>122</v>
      </c>
      <c r="E856">
        <v>1</v>
      </c>
      <c r="F856" s="1">
        <v>42011</v>
      </c>
      <c r="G856" s="1" t="str">
        <f>TEXT(pizza_sales[[#This Row],[order_date]],"dddd")</f>
        <v>Wednesday</v>
      </c>
      <c r="H856" s="2">
        <v>36526.500891203701</v>
      </c>
      <c r="I856">
        <v>20.25</v>
      </c>
      <c r="J856">
        <v>20.25</v>
      </c>
      <c r="K856" t="s">
        <v>21</v>
      </c>
      <c r="L856" t="s">
        <v>22</v>
      </c>
      <c r="M856" t="s">
        <v>66</v>
      </c>
      <c r="N856" t="s">
        <v>67</v>
      </c>
    </row>
    <row r="857" spans="1:14" x14ac:dyDescent="0.3">
      <c r="A857">
        <v>856</v>
      </c>
      <c r="B857">
        <v>377</v>
      </c>
      <c r="C857">
        <f>1/COUNTIF(pizza_sales[[#All],[order_id]],pizza_sales[[#This Row],[order_id]])</f>
        <v>0.5</v>
      </c>
      <c r="D857" t="s">
        <v>12</v>
      </c>
      <c r="E857">
        <v>1</v>
      </c>
      <c r="F857" s="1">
        <v>42011</v>
      </c>
      <c r="G857" s="1" t="str">
        <f>TEXT(pizza_sales[[#This Row],[order_date]],"dddd")</f>
        <v>Wednesday</v>
      </c>
      <c r="H857" s="2">
        <v>36526.502291666664</v>
      </c>
      <c r="I857">
        <v>13.25</v>
      </c>
      <c r="J857">
        <v>13.25</v>
      </c>
      <c r="K857" t="s">
        <v>13</v>
      </c>
      <c r="L857" t="s">
        <v>14</v>
      </c>
      <c r="M857" t="s">
        <v>15</v>
      </c>
      <c r="N857" t="s">
        <v>16</v>
      </c>
    </row>
    <row r="858" spans="1:14" x14ac:dyDescent="0.3">
      <c r="A858">
        <v>857</v>
      </c>
      <c r="B858">
        <v>377</v>
      </c>
      <c r="C858">
        <f>1/COUNTIF(pizza_sales[[#All],[order_id]],pizza_sales[[#This Row],[order_id]])</f>
        <v>0.5</v>
      </c>
      <c r="D858" t="s">
        <v>32</v>
      </c>
      <c r="E858">
        <v>1</v>
      </c>
      <c r="F858" s="1">
        <v>42011</v>
      </c>
      <c r="G858" s="1" t="str">
        <f>TEXT(pizza_sales[[#This Row],[order_date]],"dddd")</f>
        <v>Wednesday</v>
      </c>
      <c r="H858" s="2">
        <v>36526.502291666664</v>
      </c>
      <c r="I858">
        <v>20.75</v>
      </c>
      <c r="J858">
        <v>20.75</v>
      </c>
      <c r="K858" t="s">
        <v>21</v>
      </c>
      <c r="L858" t="s">
        <v>33</v>
      </c>
      <c r="M858" t="s">
        <v>34</v>
      </c>
      <c r="N858" t="s">
        <v>35</v>
      </c>
    </row>
    <row r="859" spans="1:14" x14ac:dyDescent="0.3">
      <c r="A859">
        <v>858</v>
      </c>
      <c r="B859">
        <v>378</v>
      </c>
      <c r="C859">
        <f>1/COUNTIF(pizza_sales[[#All],[order_id]],pizza_sales[[#This Row],[order_id]])</f>
        <v>1</v>
      </c>
      <c r="D859" t="s">
        <v>100</v>
      </c>
      <c r="E859">
        <v>1</v>
      </c>
      <c r="F859" s="1">
        <v>42011</v>
      </c>
      <c r="G859" s="1" t="str">
        <f>TEXT(pizza_sales[[#This Row],[order_date]],"dddd")</f>
        <v>Wednesday</v>
      </c>
      <c r="H859" s="2">
        <v>36526.513622685183</v>
      </c>
      <c r="I859">
        <v>12.75</v>
      </c>
      <c r="J859">
        <v>12.75</v>
      </c>
      <c r="K859" t="s">
        <v>41</v>
      </c>
      <c r="L859" t="s">
        <v>22</v>
      </c>
      <c r="M859" t="s">
        <v>101</v>
      </c>
      <c r="N859" t="s">
        <v>102</v>
      </c>
    </row>
    <row r="860" spans="1:14" x14ac:dyDescent="0.3">
      <c r="A860">
        <v>859</v>
      </c>
      <c r="B860">
        <v>379</v>
      </c>
      <c r="C860">
        <f>1/COUNTIF(pizza_sales[[#All],[order_id]],pizza_sales[[#This Row],[order_id]])</f>
        <v>1</v>
      </c>
      <c r="D860" t="s">
        <v>32</v>
      </c>
      <c r="E860">
        <v>1</v>
      </c>
      <c r="F860" s="1">
        <v>42011</v>
      </c>
      <c r="G860" s="1" t="str">
        <f>TEXT(pizza_sales[[#This Row],[order_date]],"dddd")</f>
        <v>Wednesday</v>
      </c>
      <c r="H860" s="2">
        <v>36526.517789351848</v>
      </c>
      <c r="I860">
        <v>20.75</v>
      </c>
      <c r="J860">
        <v>20.75</v>
      </c>
      <c r="K860" t="s">
        <v>21</v>
      </c>
      <c r="L860" t="s">
        <v>33</v>
      </c>
      <c r="M860" t="s">
        <v>34</v>
      </c>
      <c r="N860" t="s">
        <v>35</v>
      </c>
    </row>
    <row r="861" spans="1:14" x14ac:dyDescent="0.3">
      <c r="A861">
        <v>860</v>
      </c>
      <c r="B861">
        <v>380</v>
      </c>
      <c r="C861">
        <f>1/COUNTIF(pizza_sales[[#All],[order_id]],pizza_sales[[#This Row],[order_id]])</f>
        <v>0.5</v>
      </c>
      <c r="D861" t="s">
        <v>96</v>
      </c>
      <c r="E861">
        <v>1</v>
      </c>
      <c r="F861" s="1">
        <v>42011</v>
      </c>
      <c r="G861" s="1" t="str">
        <f>TEXT(pizza_sales[[#This Row],[order_date]],"dddd")</f>
        <v>Wednesday</v>
      </c>
      <c r="H861" s="2">
        <v>36526.522337962961</v>
      </c>
      <c r="I861">
        <v>16.25</v>
      </c>
      <c r="J861">
        <v>16.25</v>
      </c>
      <c r="K861" t="s">
        <v>13</v>
      </c>
      <c r="L861" t="s">
        <v>26</v>
      </c>
      <c r="M861" t="s">
        <v>97</v>
      </c>
      <c r="N861" t="s">
        <v>98</v>
      </c>
    </row>
    <row r="862" spans="1:14" x14ac:dyDescent="0.3">
      <c r="A862">
        <v>861</v>
      </c>
      <c r="B862">
        <v>380</v>
      </c>
      <c r="C862">
        <f>1/COUNTIF(pizza_sales[[#All],[order_id]],pizza_sales[[#This Row],[order_id]])</f>
        <v>0.5</v>
      </c>
      <c r="D862" t="s">
        <v>76</v>
      </c>
      <c r="E862">
        <v>1</v>
      </c>
      <c r="F862" s="1">
        <v>42011</v>
      </c>
      <c r="G862" s="1" t="str">
        <f>TEXT(pizza_sales[[#This Row],[order_date]],"dddd")</f>
        <v>Wednesday</v>
      </c>
      <c r="H862" s="2">
        <v>36526.522337962961</v>
      </c>
      <c r="I862">
        <v>16.75</v>
      </c>
      <c r="J862">
        <v>16.75</v>
      </c>
      <c r="K862" t="s">
        <v>13</v>
      </c>
      <c r="L862" t="s">
        <v>33</v>
      </c>
      <c r="M862" t="s">
        <v>74</v>
      </c>
      <c r="N862" t="s">
        <v>75</v>
      </c>
    </row>
    <row r="863" spans="1:14" x14ac:dyDescent="0.3">
      <c r="A863">
        <v>862</v>
      </c>
      <c r="B863">
        <v>381</v>
      </c>
      <c r="C863">
        <f>1/COUNTIF(pizza_sales[[#All],[order_id]],pizza_sales[[#This Row],[order_id]])</f>
        <v>1</v>
      </c>
      <c r="D863" t="s">
        <v>147</v>
      </c>
      <c r="E863">
        <v>1</v>
      </c>
      <c r="F863" s="1">
        <v>42011</v>
      </c>
      <c r="G863" s="1" t="str">
        <f>TEXT(pizza_sales[[#This Row],[order_date]],"dddd")</f>
        <v>Wednesday</v>
      </c>
      <c r="H863" s="2">
        <v>36526.522986111115</v>
      </c>
      <c r="I863">
        <v>16.75</v>
      </c>
      <c r="J863">
        <v>16.75</v>
      </c>
      <c r="K863" t="s">
        <v>13</v>
      </c>
      <c r="L863" t="s">
        <v>33</v>
      </c>
      <c r="M863" t="s">
        <v>70</v>
      </c>
      <c r="N863" t="s">
        <v>71</v>
      </c>
    </row>
    <row r="864" spans="1:14" x14ac:dyDescent="0.3">
      <c r="A864">
        <v>863</v>
      </c>
      <c r="B864">
        <v>382</v>
      </c>
      <c r="C864">
        <f>1/COUNTIF(pizza_sales[[#All],[order_id]],pizza_sales[[#This Row],[order_id]])</f>
        <v>0.5</v>
      </c>
      <c r="D864" t="s">
        <v>151</v>
      </c>
      <c r="E864">
        <v>1</v>
      </c>
      <c r="F864" s="1">
        <v>42011</v>
      </c>
      <c r="G864" s="1" t="str">
        <f>TEXT(pizza_sales[[#This Row],[order_date]],"dddd")</f>
        <v>Wednesday</v>
      </c>
      <c r="H864" s="2">
        <v>36526.522997685184</v>
      </c>
      <c r="I864">
        <v>12.75</v>
      </c>
      <c r="J864">
        <v>12.75</v>
      </c>
      <c r="K864" t="s">
        <v>41</v>
      </c>
      <c r="L864" t="s">
        <v>33</v>
      </c>
      <c r="M864" t="s">
        <v>34</v>
      </c>
      <c r="N864" t="s">
        <v>35</v>
      </c>
    </row>
    <row r="865" spans="1:14" x14ac:dyDescent="0.3">
      <c r="A865">
        <v>864</v>
      </c>
      <c r="B865">
        <v>382</v>
      </c>
      <c r="C865">
        <f>1/COUNTIF(pizza_sales[[#All],[order_id]],pizza_sales[[#This Row],[order_id]])</f>
        <v>0.5</v>
      </c>
      <c r="D865" t="s">
        <v>154</v>
      </c>
      <c r="E865">
        <v>1</v>
      </c>
      <c r="F865" s="1">
        <v>42011</v>
      </c>
      <c r="G865" s="1" t="str">
        <f>TEXT(pizza_sales[[#This Row],[order_date]],"dddd")</f>
        <v>Wednesday</v>
      </c>
      <c r="H865" s="2">
        <v>36526.522997685184</v>
      </c>
      <c r="I865">
        <v>16</v>
      </c>
      <c r="J865">
        <v>16</v>
      </c>
      <c r="K865" t="s">
        <v>13</v>
      </c>
      <c r="L865" t="s">
        <v>22</v>
      </c>
      <c r="M865" t="s">
        <v>66</v>
      </c>
      <c r="N865" t="s">
        <v>67</v>
      </c>
    </row>
    <row r="866" spans="1:14" x14ac:dyDescent="0.3">
      <c r="A866">
        <v>865</v>
      </c>
      <c r="B866">
        <v>383</v>
      </c>
      <c r="C866">
        <f>1/COUNTIF(pizza_sales[[#All],[order_id]],pizza_sales[[#This Row],[order_id]])</f>
        <v>1</v>
      </c>
      <c r="D866" t="s">
        <v>158</v>
      </c>
      <c r="E866">
        <v>1</v>
      </c>
      <c r="F866" s="1">
        <v>42011</v>
      </c>
      <c r="G866" s="1" t="str">
        <f>TEXT(pizza_sales[[#This Row],[order_date]],"dddd")</f>
        <v>Wednesday</v>
      </c>
      <c r="H866" s="2">
        <v>36526.530543981484</v>
      </c>
      <c r="I866">
        <v>16.5</v>
      </c>
      <c r="J866">
        <v>16.5</v>
      </c>
      <c r="K866" t="s">
        <v>13</v>
      </c>
      <c r="L866" t="s">
        <v>26</v>
      </c>
      <c r="M866" t="s">
        <v>60</v>
      </c>
      <c r="N866" t="s">
        <v>61</v>
      </c>
    </row>
    <row r="867" spans="1:14" x14ac:dyDescent="0.3">
      <c r="A867">
        <v>866</v>
      </c>
      <c r="B867">
        <v>384</v>
      </c>
      <c r="C867">
        <f>1/COUNTIF(pizza_sales[[#All],[order_id]],pizza_sales[[#This Row],[order_id]])</f>
        <v>0.25</v>
      </c>
      <c r="D867" t="s">
        <v>132</v>
      </c>
      <c r="E867">
        <v>1</v>
      </c>
      <c r="F867" s="1">
        <v>42011</v>
      </c>
      <c r="G867" s="1" t="str">
        <f>TEXT(pizza_sales[[#This Row],[order_date]],"dddd")</f>
        <v>Wednesday</v>
      </c>
      <c r="H867" s="2">
        <v>36526.535949074074</v>
      </c>
      <c r="I867">
        <v>10.5</v>
      </c>
      <c r="J867">
        <v>10.5</v>
      </c>
      <c r="K867" t="s">
        <v>41</v>
      </c>
      <c r="L867" t="s">
        <v>14</v>
      </c>
      <c r="M867" t="s">
        <v>15</v>
      </c>
      <c r="N867" t="s">
        <v>16</v>
      </c>
    </row>
    <row r="868" spans="1:14" x14ac:dyDescent="0.3">
      <c r="A868">
        <v>867</v>
      </c>
      <c r="B868">
        <v>384</v>
      </c>
      <c r="C868">
        <f>1/COUNTIF(pizza_sales[[#All],[order_id]],pizza_sales[[#This Row],[order_id]])</f>
        <v>0.25</v>
      </c>
      <c r="D868" t="s">
        <v>116</v>
      </c>
      <c r="E868">
        <v>1</v>
      </c>
      <c r="F868" s="1">
        <v>42011</v>
      </c>
      <c r="G868" s="1" t="str">
        <f>TEXT(pizza_sales[[#This Row],[order_date]],"dddd")</f>
        <v>Wednesday</v>
      </c>
      <c r="H868" s="2">
        <v>36526.535949074074</v>
      </c>
      <c r="I868">
        <v>16</v>
      </c>
      <c r="J868">
        <v>16</v>
      </c>
      <c r="K868" t="s">
        <v>13</v>
      </c>
      <c r="L868" t="s">
        <v>14</v>
      </c>
      <c r="M868" t="s">
        <v>55</v>
      </c>
      <c r="N868" t="s">
        <v>56</v>
      </c>
    </row>
    <row r="869" spans="1:14" x14ac:dyDescent="0.3">
      <c r="A869">
        <v>868</v>
      </c>
      <c r="B869">
        <v>384</v>
      </c>
      <c r="C869">
        <f>1/COUNTIF(pizza_sales[[#All],[order_id]],pizza_sales[[#This Row],[order_id]])</f>
        <v>0.25</v>
      </c>
      <c r="D869" t="s">
        <v>103</v>
      </c>
      <c r="E869">
        <v>1</v>
      </c>
      <c r="F869" s="1">
        <v>42011</v>
      </c>
      <c r="G869" s="1" t="str">
        <f>TEXT(pizza_sales[[#This Row],[order_date]],"dddd")</f>
        <v>Wednesday</v>
      </c>
      <c r="H869" s="2">
        <v>36526.535949074074</v>
      </c>
      <c r="I869">
        <v>16</v>
      </c>
      <c r="J869">
        <v>16</v>
      </c>
      <c r="K869" t="s">
        <v>13</v>
      </c>
      <c r="L869" t="s">
        <v>22</v>
      </c>
      <c r="M869" t="s">
        <v>104</v>
      </c>
      <c r="N869" t="s">
        <v>105</v>
      </c>
    </row>
    <row r="870" spans="1:14" x14ac:dyDescent="0.3">
      <c r="A870">
        <v>869</v>
      </c>
      <c r="B870">
        <v>384</v>
      </c>
      <c r="C870">
        <f>1/COUNTIF(pizza_sales[[#All],[order_id]],pizza_sales[[#This Row],[order_id]])</f>
        <v>0.25</v>
      </c>
      <c r="D870" t="s">
        <v>44</v>
      </c>
      <c r="E870">
        <v>1</v>
      </c>
      <c r="F870" s="1">
        <v>42011</v>
      </c>
      <c r="G870" s="1" t="str">
        <f>TEXT(pizza_sales[[#This Row],[order_date]],"dddd")</f>
        <v>Wednesday</v>
      </c>
      <c r="H870" s="2">
        <v>36526.535949074074</v>
      </c>
      <c r="I870">
        <v>12</v>
      </c>
      <c r="J870">
        <v>12</v>
      </c>
      <c r="K870" t="s">
        <v>41</v>
      </c>
      <c r="L870" t="s">
        <v>14</v>
      </c>
      <c r="M870" t="s">
        <v>45</v>
      </c>
      <c r="N870" t="s">
        <v>46</v>
      </c>
    </row>
    <row r="871" spans="1:14" x14ac:dyDescent="0.3">
      <c r="A871">
        <v>870</v>
      </c>
      <c r="B871">
        <v>385</v>
      </c>
      <c r="C871">
        <f>1/COUNTIF(pizza_sales[[#All],[order_id]],pizza_sales[[#This Row],[order_id]])</f>
        <v>1</v>
      </c>
      <c r="D871" t="s">
        <v>122</v>
      </c>
      <c r="E871">
        <v>1</v>
      </c>
      <c r="F871" s="1">
        <v>42011</v>
      </c>
      <c r="G871" s="1" t="str">
        <f>TEXT(pizza_sales[[#This Row],[order_date]],"dddd")</f>
        <v>Wednesday</v>
      </c>
      <c r="H871" s="2">
        <v>36526.537719907406</v>
      </c>
      <c r="I871">
        <v>20.25</v>
      </c>
      <c r="J871">
        <v>20.25</v>
      </c>
      <c r="K871" t="s">
        <v>21</v>
      </c>
      <c r="L871" t="s">
        <v>22</v>
      </c>
      <c r="M871" t="s">
        <v>66</v>
      </c>
      <c r="N871" t="s">
        <v>67</v>
      </c>
    </row>
    <row r="872" spans="1:14" x14ac:dyDescent="0.3">
      <c r="A872">
        <v>871</v>
      </c>
      <c r="B872">
        <v>386</v>
      </c>
      <c r="C872">
        <f>1/COUNTIF(pizza_sales[[#All],[order_id]],pizza_sales[[#This Row],[order_id]])</f>
        <v>0.33333333333333331</v>
      </c>
      <c r="D872" t="s">
        <v>100</v>
      </c>
      <c r="E872">
        <v>1</v>
      </c>
      <c r="F872" s="1">
        <v>42011</v>
      </c>
      <c r="G872" s="1" t="str">
        <f>TEXT(pizza_sales[[#This Row],[order_date]],"dddd")</f>
        <v>Wednesday</v>
      </c>
      <c r="H872" s="2">
        <v>36526.540462962963</v>
      </c>
      <c r="I872">
        <v>12.75</v>
      </c>
      <c r="J872">
        <v>12.75</v>
      </c>
      <c r="K872" t="s">
        <v>41</v>
      </c>
      <c r="L872" t="s">
        <v>22</v>
      </c>
      <c r="M872" t="s">
        <v>101</v>
      </c>
      <c r="N872" t="s">
        <v>102</v>
      </c>
    </row>
    <row r="873" spans="1:14" x14ac:dyDescent="0.3">
      <c r="A873">
        <v>872</v>
      </c>
      <c r="B873">
        <v>386</v>
      </c>
      <c r="C873">
        <f>1/COUNTIF(pizza_sales[[#All],[order_id]],pizza_sales[[#This Row],[order_id]])</f>
        <v>0.33333333333333331</v>
      </c>
      <c r="D873" t="s">
        <v>171</v>
      </c>
      <c r="E873">
        <v>1</v>
      </c>
      <c r="F873" s="1">
        <v>42011</v>
      </c>
      <c r="G873" s="1" t="str">
        <f>TEXT(pizza_sales[[#This Row],[order_date]],"dddd")</f>
        <v>Wednesday</v>
      </c>
      <c r="H873" s="2">
        <v>36526.540462962963</v>
      </c>
      <c r="I873">
        <v>16.5</v>
      </c>
      <c r="J873">
        <v>16.5</v>
      </c>
      <c r="K873" t="s">
        <v>13</v>
      </c>
      <c r="L873" t="s">
        <v>26</v>
      </c>
      <c r="M873" t="s">
        <v>88</v>
      </c>
      <c r="N873" t="s">
        <v>89</v>
      </c>
    </row>
    <row r="874" spans="1:14" x14ac:dyDescent="0.3">
      <c r="A874">
        <v>873</v>
      </c>
      <c r="B874">
        <v>386</v>
      </c>
      <c r="C874">
        <f>1/COUNTIF(pizza_sales[[#All],[order_id]],pizza_sales[[#This Row],[order_id]])</f>
        <v>0.33333333333333331</v>
      </c>
      <c r="D874" t="s">
        <v>137</v>
      </c>
      <c r="E874">
        <v>1</v>
      </c>
      <c r="F874" s="1">
        <v>42011</v>
      </c>
      <c r="G874" s="1" t="str">
        <f>TEXT(pizza_sales[[#This Row],[order_date]],"dddd")</f>
        <v>Wednesday</v>
      </c>
      <c r="H874" s="2">
        <v>36526.540462962963</v>
      </c>
      <c r="I874">
        <v>16.75</v>
      </c>
      <c r="J874">
        <v>16.75</v>
      </c>
      <c r="K874" t="s">
        <v>13</v>
      </c>
      <c r="L874" t="s">
        <v>33</v>
      </c>
      <c r="M874" t="s">
        <v>34</v>
      </c>
      <c r="N874" t="s">
        <v>35</v>
      </c>
    </row>
    <row r="875" spans="1:14" x14ac:dyDescent="0.3">
      <c r="A875">
        <v>874</v>
      </c>
      <c r="B875">
        <v>387</v>
      </c>
      <c r="C875">
        <f>1/COUNTIF(pizza_sales[[#All],[order_id]],pizza_sales[[#This Row],[order_id]])</f>
        <v>0.14285714285714285</v>
      </c>
      <c r="D875" t="s">
        <v>40</v>
      </c>
      <c r="E875">
        <v>1</v>
      </c>
      <c r="F875" s="1">
        <v>42011</v>
      </c>
      <c r="G875" s="1" t="str">
        <f>TEXT(pizza_sales[[#This Row],[order_date]],"dddd")</f>
        <v>Wednesday</v>
      </c>
      <c r="H875" s="2">
        <v>36526.543912037036</v>
      </c>
      <c r="I875">
        <v>12.75</v>
      </c>
      <c r="J875">
        <v>12.75</v>
      </c>
      <c r="K875" t="s">
        <v>41</v>
      </c>
      <c r="L875" t="s">
        <v>33</v>
      </c>
      <c r="M875" t="s">
        <v>42</v>
      </c>
      <c r="N875" t="s">
        <v>43</v>
      </c>
    </row>
    <row r="876" spans="1:14" x14ac:dyDescent="0.3">
      <c r="A876">
        <v>875</v>
      </c>
      <c r="B876">
        <v>387</v>
      </c>
      <c r="C876">
        <f>1/COUNTIF(pizza_sales[[#All],[order_id]],pizza_sales[[#This Row],[order_id]])</f>
        <v>0.14285714285714285</v>
      </c>
      <c r="D876" t="s">
        <v>84</v>
      </c>
      <c r="E876">
        <v>1</v>
      </c>
      <c r="F876" s="1">
        <v>42011</v>
      </c>
      <c r="G876" s="1" t="str">
        <f>TEXT(pizza_sales[[#This Row],[order_date]],"dddd")</f>
        <v>Wednesday</v>
      </c>
      <c r="H876" s="2">
        <v>36526.543912037036</v>
      </c>
      <c r="I876">
        <v>12</v>
      </c>
      <c r="J876">
        <v>12</v>
      </c>
      <c r="K876" t="s">
        <v>41</v>
      </c>
      <c r="L876" t="s">
        <v>14</v>
      </c>
      <c r="M876" t="s">
        <v>85</v>
      </c>
      <c r="N876" t="s">
        <v>86</v>
      </c>
    </row>
    <row r="877" spans="1:14" x14ac:dyDescent="0.3">
      <c r="A877">
        <v>876</v>
      </c>
      <c r="B877">
        <v>387</v>
      </c>
      <c r="C877">
        <f>1/COUNTIF(pizza_sales[[#All],[order_id]],pizza_sales[[#This Row],[order_id]])</f>
        <v>0.14285714285714285</v>
      </c>
      <c r="D877" t="s">
        <v>139</v>
      </c>
      <c r="E877">
        <v>1</v>
      </c>
      <c r="F877" s="1">
        <v>42011</v>
      </c>
      <c r="G877" s="1" t="str">
        <f>TEXT(pizza_sales[[#This Row],[order_date]],"dddd")</f>
        <v>Wednesday</v>
      </c>
      <c r="H877" s="2">
        <v>36526.543912037036</v>
      </c>
      <c r="I877">
        <v>16.75</v>
      </c>
      <c r="J877">
        <v>16.75</v>
      </c>
      <c r="K877" t="s">
        <v>13</v>
      </c>
      <c r="L877" t="s">
        <v>33</v>
      </c>
      <c r="M877" t="s">
        <v>82</v>
      </c>
      <c r="N877" t="s">
        <v>83</v>
      </c>
    </row>
    <row r="878" spans="1:14" x14ac:dyDescent="0.3">
      <c r="A878">
        <v>877</v>
      </c>
      <c r="B878">
        <v>387</v>
      </c>
      <c r="C878">
        <f>1/COUNTIF(pizza_sales[[#All],[order_id]],pizza_sales[[#This Row],[order_id]])</f>
        <v>0.14285714285714285</v>
      </c>
      <c r="D878" t="s">
        <v>20</v>
      </c>
      <c r="E878">
        <v>1</v>
      </c>
      <c r="F878" s="1">
        <v>42011</v>
      </c>
      <c r="G878" s="1" t="str">
        <f>TEXT(pizza_sales[[#This Row],[order_date]],"dddd")</f>
        <v>Wednesday</v>
      </c>
      <c r="H878" s="2">
        <v>36526.543912037036</v>
      </c>
      <c r="I878">
        <v>18.5</v>
      </c>
      <c r="J878">
        <v>18.5</v>
      </c>
      <c r="K878" t="s">
        <v>21</v>
      </c>
      <c r="L878" t="s">
        <v>22</v>
      </c>
      <c r="M878" t="s">
        <v>23</v>
      </c>
      <c r="N878" t="s">
        <v>24</v>
      </c>
    </row>
    <row r="879" spans="1:14" x14ac:dyDescent="0.3">
      <c r="A879">
        <v>878</v>
      </c>
      <c r="B879">
        <v>387</v>
      </c>
      <c r="C879">
        <f>1/COUNTIF(pizza_sales[[#All],[order_id]],pizza_sales[[#This Row],[order_id]])</f>
        <v>0.14285714285714285</v>
      </c>
      <c r="D879" t="s">
        <v>126</v>
      </c>
      <c r="E879">
        <v>1</v>
      </c>
      <c r="F879" s="1">
        <v>42011</v>
      </c>
      <c r="G879" s="1" t="str">
        <f>TEXT(pizza_sales[[#This Row],[order_date]],"dddd")</f>
        <v>Wednesday</v>
      </c>
      <c r="H879" s="2">
        <v>36526.543912037036</v>
      </c>
      <c r="I879">
        <v>9.75</v>
      </c>
      <c r="J879">
        <v>9.75</v>
      </c>
      <c r="K879" t="s">
        <v>41</v>
      </c>
      <c r="L879" t="s">
        <v>14</v>
      </c>
      <c r="M879" t="s">
        <v>78</v>
      </c>
      <c r="N879" t="s">
        <v>79</v>
      </c>
    </row>
    <row r="880" spans="1:14" x14ac:dyDescent="0.3">
      <c r="A880">
        <v>879</v>
      </c>
      <c r="B880">
        <v>387</v>
      </c>
      <c r="C880">
        <f>1/COUNTIF(pizza_sales[[#All],[order_id]],pizza_sales[[#This Row],[order_id]])</f>
        <v>0.14285714285714285</v>
      </c>
      <c r="D880" t="s">
        <v>59</v>
      </c>
      <c r="E880">
        <v>1</v>
      </c>
      <c r="F880" s="1">
        <v>42011</v>
      </c>
      <c r="G880" s="1" t="str">
        <f>TEXT(pizza_sales[[#This Row],[order_date]],"dddd")</f>
        <v>Wednesday</v>
      </c>
      <c r="H880" s="2">
        <v>36526.543912037036</v>
      </c>
      <c r="I880">
        <v>20.75</v>
      </c>
      <c r="J880">
        <v>20.75</v>
      </c>
      <c r="K880" t="s">
        <v>21</v>
      </c>
      <c r="L880" t="s">
        <v>26</v>
      </c>
      <c r="M880" t="s">
        <v>60</v>
      </c>
      <c r="N880" t="s">
        <v>61</v>
      </c>
    </row>
    <row r="881" spans="1:14" x14ac:dyDescent="0.3">
      <c r="A881">
        <v>880</v>
      </c>
      <c r="B881">
        <v>387</v>
      </c>
      <c r="C881">
        <f>1/COUNTIF(pizza_sales[[#All],[order_id]],pizza_sales[[#This Row],[order_id]])</f>
        <v>0.14285714285714285</v>
      </c>
      <c r="D881" t="s">
        <v>157</v>
      </c>
      <c r="E881">
        <v>1</v>
      </c>
      <c r="F881" s="1">
        <v>42011</v>
      </c>
      <c r="G881" s="1" t="str">
        <f>TEXT(pizza_sales[[#This Row],[order_date]],"dddd")</f>
        <v>Wednesday</v>
      </c>
      <c r="H881" s="2">
        <v>36526.543912037036</v>
      </c>
      <c r="I881">
        <v>12</v>
      </c>
      <c r="J881">
        <v>12</v>
      </c>
      <c r="K881" t="s">
        <v>41</v>
      </c>
      <c r="L881" t="s">
        <v>22</v>
      </c>
      <c r="M881" t="s">
        <v>110</v>
      </c>
      <c r="N881" t="s">
        <v>111</v>
      </c>
    </row>
    <row r="882" spans="1:14" x14ac:dyDescent="0.3">
      <c r="A882">
        <v>881</v>
      </c>
      <c r="B882">
        <v>388</v>
      </c>
      <c r="C882">
        <f>1/COUNTIF(pizza_sales[[#All],[order_id]],pizza_sales[[#This Row],[order_id]])</f>
        <v>0.25</v>
      </c>
      <c r="D882" t="s">
        <v>40</v>
      </c>
      <c r="E882">
        <v>1</v>
      </c>
      <c r="F882" s="1">
        <v>42011</v>
      </c>
      <c r="G882" s="1" t="str">
        <f>TEXT(pizza_sales[[#This Row],[order_date]],"dddd")</f>
        <v>Wednesday</v>
      </c>
      <c r="H882" s="2">
        <v>36526.545092592591</v>
      </c>
      <c r="I882">
        <v>12.75</v>
      </c>
      <c r="J882">
        <v>12.75</v>
      </c>
      <c r="K882" t="s">
        <v>41</v>
      </c>
      <c r="L882" t="s">
        <v>33</v>
      </c>
      <c r="M882" t="s">
        <v>42</v>
      </c>
      <c r="N882" t="s">
        <v>43</v>
      </c>
    </row>
    <row r="883" spans="1:14" x14ac:dyDescent="0.3">
      <c r="A883">
        <v>882</v>
      </c>
      <c r="B883">
        <v>388</v>
      </c>
      <c r="C883">
        <f>1/COUNTIF(pizza_sales[[#All],[order_id]],pizza_sales[[#This Row],[order_id]])</f>
        <v>0.25</v>
      </c>
      <c r="D883" t="s">
        <v>134</v>
      </c>
      <c r="E883">
        <v>1</v>
      </c>
      <c r="F883" s="1">
        <v>42011</v>
      </c>
      <c r="G883" s="1" t="str">
        <f>TEXT(pizza_sales[[#This Row],[order_date]],"dddd")</f>
        <v>Wednesday</v>
      </c>
      <c r="H883" s="2">
        <v>36526.545092592591</v>
      </c>
      <c r="I883">
        <v>16.75</v>
      </c>
      <c r="J883">
        <v>16.75</v>
      </c>
      <c r="K883" t="s">
        <v>13</v>
      </c>
      <c r="L883" t="s">
        <v>33</v>
      </c>
      <c r="M883" t="s">
        <v>124</v>
      </c>
      <c r="N883" t="s">
        <v>125</v>
      </c>
    </row>
    <row r="884" spans="1:14" x14ac:dyDescent="0.3">
      <c r="A884">
        <v>883</v>
      </c>
      <c r="B884">
        <v>388</v>
      </c>
      <c r="C884">
        <f>1/COUNTIF(pizza_sales[[#All],[order_id]],pizza_sales[[#This Row],[order_id]])</f>
        <v>0.25</v>
      </c>
      <c r="D884" t="s">
        <v>103</v>
      </c>
      <c r="E884">
        <v>1</v>
      </c>
      <c r="F884" s="1">
        <v>42011</v>
      </c>
      <c r="G884" s="1" t="str">
        <f>TEXT(pizza_sales[[#This Row],[order_date]],"dddd")</f>
        <v>Wednesday</v>
      </c>
      <c r="H884" s="2">
        <v>36526.545092592591</v>
      </c>
      <c r="I884">
        <v>16</v>
      </c>
      <c r="J884">
        <v>16</v>
      </c>
      <c r="K884" t="s">
        <v>13</v>
      </c>
      <c r="L884" t="s">
        <v>22</v>
      </c>
      <c r="M884" t="s">
        <v>104</v>
      </c>
      <c r="N884" t="s">
        <v>105</v>
      </c>
    </row>
    <row r="885" spans="1:14" x14ac:dyDescent="0.3">
      <c r="A885">
        <v>884</v>
      </c>
      <c r="B885">
        <v>388</v>
      </c>
      <c r="C885">
        <f>1/COUNTIF(pizza_sales[[#All],[order_id]],pizza_sales[[#This Row],[order_id]])</f>
        <v>0.25</v>
      </c>
      <c r="D885" t="s">
        <v>65</v>
      </c>
      <c r="E885">
        <v>1</v>
      </c>
      <c r="F885" s="1">
        <v>42011</v>
      </c>
      <c r="G885" s="1" t="str">
        <f>TEXT(pizza_sales[[#This Row],[order_date]],"dddd")</f>
        <v>Wednesday</v>
      </c>
      <c r="H885" s="2">
        <v>36526.545092592591</v>
      </c>
      <c r="I885">
        <v>12</v>
      </c>
      <c r="J885">
        <v>12</v>
      </c>
      <c r="K885" t="s">
        <v>41</v>
      </c>
      <c r="L885" t="s">
        <v>22</v>
      </c>
      <c r="M885" t="s">
        <v>66</v>
      </c>
      <c r="N885" t="s">
        <v>67</v>
      </c>
    </row>
    <row r="886" spans="1:14" x14ac:dyDescent="0.3">
      <c r="A886">
        <v>885</v>
      </c>
      <c r="B886">
        <v>389</v>
      </c>
      <c r="C886">
        <f>1/COUNTIF(pizza_sales[[#All],[order_id]],pizza_sales[[#This Row],[order_id]])</f>
        <v>1</v>
      </c>
      <c r="D886" t="s">
        <v>62</v>
      </c>
      <c r="E886">
        <v>1</v>
      </c>
      <c r="F886" s="1">
        <v>42011</v>
      </c>
      <c r="G886" s="1" t="str">
        <f>TEXT(pizza_sales[[#This Row],[order_date]],"dddd")</f>
        <v>Wednesday</v>
      </c>
      <c r="H886" s="2">
        <v>36526.548807870371</v>
      </c>
      <c r="I886">
        <v>20.75</v>
      </c>
      <c r="J886">
        <v>20.75</v>
      </c>
      <c r="K886" t="s">
        <v>21</v>
      </c>
      <c r="L886" t="s">
        <v>22</v>
      </c>
      <c r="M886" t="s">
        <v>63</v>
      </c>
      <c r="N886" t="s">
        <v>64</v>
      </c>
    </row>
    <row r="887" spans="1:14" x14ac:dyDescent="0.3">
      <c r="A887">
        <v>886</v>
      </c>
      <c r="B887">
        <v>390</v>
      </c>
      <c r="C887">
        <f>1/COUNTIF(pizza_sales[[#All],[order_id]],pizza_sales[[#This Row],[order_id]])</f>
        <v>1</v>
      </c>
      <c r="D887" t="s">
        <v>129</v>
      </c>
      <c r="E887">
        <v>1</v>
      </c>
      <c r="F887" s="1">
        <v>42011</v>
      </c>
      <c r="G887" s="1" t="str">
        <f>TEXT(pizza_sales[[#This Row],[order_date]],"dddd")</f>
        <v>Wednesday</v>
      </c>
      <c r="H887" s="2">
        <v>36526.552453703705</v>
      </c>
      <c r="I887">
        <v>17.5</v>
      </c>
      <c r="J887">
        <v>17.5</v>
      </c>
      <c r="K887" t="s">
        <v>21</v>
      </c>
      <c r="L887" t="s">
        <v>14</v>
      </c>
      <c r="M887" t="s">
        <v>130</v>
      </c>
      <c r="N887" t="s">
        <v>131</v>
      </c>
    </row>
    <row r="888" spans="1:14" x14ac:dyDescent="0.3">
      <c r="A888">
        <v>887</v>
      </c>
      <c r="B888">
        <v>391</v>
      </c>
      <c r="C888">
        <f>1/COUNTIF(pizza_sales[[#All],[order_id]],pizza_sales[[#This Row],[order_id]])</f>
        <v>1</v>
      </c>
      <c r="D888" t="s">
        <v>155</v>
      </c>
      <c r="E888">
        <v>1</v>
      </c>
      <c r="F888" s="1">
        <v>42011</v>
      </c>
      <c r="G888" s="1" t="str">
        <f>TEXT(pizza_sales[[#This Row],[order_date]],"dddd")</f>
        <v>Wednesday</v>
      </c>
      <c r="H888" s="2">
        <v>36526.559386574074</v>
      </c>
      <c r="I888">
        <v>16</v>
      </c>
      <c r="J888">
        <v>16</v>
      </c>
      <c r="K888" t="s">
        <v>13</v>
      </c>
      <c r="L888" t="s">
        <v>14</v>
      </c>
      <c r="M888" t="s">
        <v>45</v>
      </c>
      <c r="N888" t="s">
        <v>46</v>
      </c>
    </row>
    <row r="889" spans="1:14" x14ac:dyDescent="0.3">
      <c r="A889">
        <v>888</v>
      </c>
      <c r="B889">
        <v>392</v>
      </c>
      <c r="C889">
        <f>1/COUNTIF(pizza_sales[[#All],[order_id]],pizza_sales[[#This Row],[order_id]])</f>
        <v>0.125</v>
      </c>
      <c r="D889" t="s">
        <v>84</v>
      </c>
      <c r="E889">
        <v>1</v>
      </c>
      <c r="F889" s="1">
        <v>42011</v>
      </c>
      <c r="G889" s="1" t="str">
        <f>TEXT(pizza_sales[[#This Row],[order_date]],"dddd")</f>
        <v>Wednesday</v>
      </c>
      <c r="H889" s="2">
        <v>36526.567210648151</v>
      </c>
      <c r="I889">
        <v>12</v>
      </c>
      <c r="J889">
        <v>12</v>
      </c>
      <c r="K889" t="s">
        <v>41</v>
      </c>
      <c r="L889" t="s">
        <v>14</v>
      </c>
      <c r="M889" t="s">
        <v>85</v>
      </c>
      <c r="N889" t="s">
        <v>86</v>
      </c>
    </row>
    <row r="890" spans="1:14" x14ac:dyDescent="0.3">
      <c r="A890">
        <v>889</v>
      </c>
      <c r="B890">
        <v>392</v>
      </c>
      <c r="C890">
        <f>1/COUNTIF(pizza_sales[[#All],[order_id]],pizza_sales[[#This Row],[order_id]])</f>
        <v>0.125</v>
      </c>
      <c r="D890" t="s">
        <v>169</v>
      </c>
      <c r="E890">
        <v>1</v>
      </c>
      <c r="F890" s="1">
        <v>42011</v>
      </c>
      <c r="G890" s="1" t="str">
        <f>TEXT(pizza_sales[[#This Row],[order_date]],"dddd")</f>
        <v>Wednesday</v>
      </c>
      <c r="H890" s="2">
        <v>36526.567210648151</v>
      </c>
      <c r="I890">
        <v>12.25</v>
      </c>
      <c r="J890">
        <v>12.25</v>
      </c>
      <c r="K890" t="s">
        <v>41</v>
      </c>
      <c r="L890" t="s">
        <v>26</v>
      </c>
      <c r="M890" t="s">
        <v>97</v>
      </c>
      <c r="N890" t="s">
        <v>98</v>
      </c>
    </row>
    <row r="891" spans="1:14" x14ac:dyDescent="0.3">
      <c r="A891">
        <v>890</v>
      </c>
      <c r="B891">
        <v>392</v>
      </c>
      <c r="C891">
        <f>1/COUNTIF(pizza_sales[[#All],[order_id]],pizza_sales[[#This Row],[order_id]])</f>
        <v>0.125</v>
      </c>
      <c r="D891" t="s">
        <v>73</v>
      </c>
      <c r="E891">
        <v>1</v>
      </c>
      <c r="F891" s="1">
        <v>42011</v>
      </c>
      <c r="G891" s="1" t="str">
        <f>TEXT(pizza_sales[[#This Row],[order_date]],"dddd")</f>
        <v>Wednesday</v>
      </c>
      <c r="H891" s="2">
        <v>36526.567210648151</v>
      </c>
      <c r="I891">
        <v>20.75</v>
      </c>
      <c r="J891">
        <v>20.75</v>
      </c>
      <c r="K891" t="s">
        <v>21</v>
      </c>
      <c r="L891" t="s">
        <v>33</v>
      </c>
      <c r="M891" t="s">
        <v>74</v>
      </c>
      <c r="N891" t="s">
        <v>75</v>
      </c>
    </row>
    <row r="892" spans="1:14" x14ac:dyDescent="0.3">
      <c r="A892">
        <v>891</v>
      </c>
      <c r="B892">
        <v>392</v>
      </c>
      <c r="C892">
        <f>1/COUNTIF(pizza_sales[[#All],[order_id]],pizza_sales[[#This Row],[order_id]])</f>
        <v>0.125</v>
      </c>
      <c r="D892" t="s">
        <v>126</v>
      </c>
      <c r="E892">
        <v>2</v>
      </c>
      <c r="F892" s="1">
        <v>42011</v>
      </c>
      <c r="G892" s="1" t="str">
        <f>TEXT(pizza_sales[[#This Row],[order_date]],"dddd")</f>
        <v>Wednesday</v>
      </c>
      <c r="H892" s="2">
        <v>36526.567210648151</v>
      </c>
      <c r="I892">
        <v>9.75</v>
      </c>
      <c r="J892">
        <v>19.5</v>
      </c>
      <c r="K892" t="s">
        <v>41</v>
      </c>
      <c r="L892" t="s">
        <v>14</v>
      </c>
      <c r="M892" t="s">
        <v>78</v>
      </c>
      <c r="N892" t="s">
        <v>79</v>
      </c>
    </row>
    <row r="893" spans="1:14" x14ac:dyDescent="0.3">
      <c r="A893">
        <v>892</v>
      </c>
      <c r="B893">
        <v>392</v>
      </c>
      <c r="C893">
        <f>1/COUNTIF(pizza_sales[[#All],[order_id]],pizza_sales[[#This Row],[order_id]])</f>
        <v>0.125</v>
      </c>
      <c r="D893" t="s">
        <v>37</v>
      </c>
      <c r="E893">
        <v>1</v>
      </c>
      <c r="F893" s="1">
        <v>42011</v>
      </c>
      <c r="G893" s="1" t="str">
        <f>TEXT(pizza_sales[[#This Row],[order_date]],"dddd")</f>
        <v>Wednesday</v>
      </c>
      <c r="H893" s="2">
        <v>36526.567210648151</v>
      </c>
      <c r="I893">
        <v>20.75</v>
      </c>
      <c r="J893">
        <v>20.75</v>
      </c>
      <c r="K893" t="s">
        <v>21</v>
      </c>
      <c r="L893" t="s">
        <v>26</v>
      </c>
      <c r="M893" t="s">
        <v>38</v>
      </c>
      <c r="N893" t="s">
        <v>39</v>
      </c>
    </row>
    <row r="894" spans="1:14" x14ac:dyDescent="0.3">
      <c r="A894">
        <v>893</v>
      </c>
      <c r="B894">
        <v>392</v>
      </c>
      <c r="C894">
        <f>1/COUNTIF(pizza_sales[[#All],[order_id]],pizza_sales[[#This Row],[order_id]])</f>
        <v>0.125</v>
      </c>
      <c r="D894" t="s">
        <v>113</v>
      </c>
      <c r="E894">
        <v>1</v>
      </c>
      <c r="F894" s="1">
        <v>42011</v>
      </c>
      <c r="G894" s="1" t="str">
        <f>TEXT(pizza_sales[[#This Row],[order_date]],"dddd")</f>
        <v>Wednesday</v>
      </c>
      <c r="H894" s="2">
        <v>36526.567210648151</v>
      </c>
      <c r="I894">
        <v>20.25</v>
      </c>
      <c r="J894">
        <v>20.25</v>
      </c>
      <c r="K894" t="s">
        <v>21</v>
      </c>
      <c r="L894" t="s">
        <v>26</v>
      </c>
      <c r="M894" t="s">
        <v>114</v>
      </c>
      <c r="N894" t="s">
        <v>115</v>
      </c>
    </row>
    <row r="895" spans="1:14" x14ac:dyDescent="0.3">
      <c r="A895">
        <v>894</v>
      </c>
      <c r="B895">
        <v>392</v>
      </c>
      <c r="C895">
        <f>1/COUNTIF(pizza_sales[[#All],[order_id]],pizza_sales[[#This Row],[order_id]])</f>
        <v>0.125</v>
      </c>
      <c r="D895" t="s">
        <v>87</v>
      </c>
      <c r="E895">
        <v>1</v>
      </c>
      <c r="F895" s="1">
        <v>42011</v>
      </c>
      <c r="G895" s="1" t="str">
        <f>TEXT(pizza_sales[[#This Row],[order_date]],"dddd")</f>
        <v>Wednesday</v>
      </c>
      <c r="H895" s="2">
        <v>36526.567210648151</v>
      </c>
      <c r="I895">
        <v>20.75</v>
      </c>
      <c r="J895">
        <v>20.75</v>
      </c>
      <c r="K895" t="s">
        <v>21</v>
      </c>
      <c r="L895" t="s">
        <v>26</v>
      </c>
      <c r="M895" t="s">
        <v>88</v>
      </c>
      <c r="N895" t="s">
        <v>89</v>
      </c>
    </row>
    <row r="896" spans="1:14" x14ac:dyDescent="0.3">
      <c r="A896">
        <v>895</v>
      </c>
      <c r="B896">
        <v>392</v>
      </c>
      <c r="C896">
        <f>1/COUNTIF(pizza_sales[[#All],[order_id]],pizza_sales[[#This Row],[order_id]])</f>
        <v>0.125</v>
      </c>
      <c r="D896" t="s">
        <v>59</v>
      </c>
      <c r="E896">
        <v>1</v>
      </c>
      <c r="F896" s="1">
        <v>42011</v>
      </c>
      <c r="G896" s="1" t="str">
        <f>TEXT(pizza_sales[[#This Row],[order_date]],"dddd")</f>
        <v>Wednesday</v>
      </c>
      <c r="H896" s="2">
        <v>36526.567210648151</v>
      </c>
      <c r="I896">
        <v>20.75</v>
      </c>
      <c r="J896">
        <v>20.75</v>
      </c>
      <c r="K896" t="s">
        <v>21</v>
      </c>
      <c r="L896" t="s">
        <v>26</v>
      </c>
      <c r="M896" t="s">
        <v>60</v>
      </c>
      <c r="N896" t="s">
        <v>61</v>
      </c>
    </row>
    <row r="897" spans="1:14" x14ac:dyDescent="0.3">
      <c r="A897">
        <v>896</v>
      </c>
      <c r="B897">
        <v>393</v>
      </c>
      <c r="C897">
        <f>1/COUNTIF(pizza_sales[[#All],[order_id]],pizza_sales[[#This Row],[order_id]])</f>
        <v>0.5</v>
      </c>
      <c r="D897" t="s">
        <v>51</v>
      </c>
      <c r="E897">
        <v>1</v>
      </c>
      <c r="F897" s="1">
        <v>42011</v>
      </c>
      <c r="G897" s="1" t="str">
        <f>TEXT(pizza_sales[[#This Row],[order_date]],"dddd")</f>
        <v>Wednesday</v>
      </c>
      <c r="H897" s="2">
        <v>36526.575358796297</v>
      </c>
      <c r="I897">
        <v>12</v>
      </c>
      <c r="J897">
        <v>12</v>
      </c>
      <c r="K897" t="s">
        <v>41</v>
      </c>
      <c r="L897" t="s">
        <v>22</v>
      </c>
      <c r="M897" t="s">
        <v>52</v>
      </c>
      <c r="N897" t="s">
        <v>53</v>
      </c>
    </row>
    <row r="898" spans="1:14" x14ac:dyDescent="0.3">
      <c r="A898">
        <v>897</v>
      </c>
      <c r="B898">
        <v>393</v>
      </c>
      <c r="C898">
        <f>1/COUNTIF(pizza_sales[[#All],[order_id]],pizza_sales[[#This Row],[order_id]])</f>
        <v>0.5</v>
      </c>
      <c r="D898" t="s">
        <v>142</v>
      </c>
      <c r="E898">
        <v>1</v>
      </c>
      <c r="F898" s="1">
        <v>42011</v>
      </c>
      <c r="G898" s="1" t="str">
        <f>TEXT(pizza_sales[[#This Row],[order_date]],"dddd")</f>
        <v>Wednesday</v>
      </c>
      <c r="H898" s="2">
        <v>36526.575358796297</v>
      </c>
      <c r="I898">
        <v>16.5</v>
      </c>
      <c r="J898">
        <v>16.5</v>
      </c>
      <c r="K898" t="s">
        <v>21</v>
      </c>
      <c r="L898" t="s">
        <v>14</v>
      </c>
      <c r="M898" t="s">
        <v>15</v>
      </c>
      <c r="N898" t="s">
        <v>16</v>
      </c>
    </row>
    <row r="899" spans="1:14" x14ac:dyDescent="0.3">
      <c r="A899">
        <v>898</v>
      </c>
      <c r="B899">
        <v>394</v>
      </c>
      <c r="C899">
        <f>1/COUNTIF(pizza_sales[[#All],[order_id]],pizza_sales[[#This Row],[order_id]])</f>
        <v>8.3333333333333329E-2</v>
      </c>
      <c r="D899" t="s">
        <v>84</v>
      </c>
      <c r="E899">
        <v>1</v>
      </c>
      <c r="F899" s="1">
        <v>42011</v>
      </c>
      <c r="G899" s="1" t="str">
        <f>TEXT(pizza_sales[[#This Row],[order_date]],"dddd")</f>
        <v>Wednesday</v>
      </c>
      <c r="H899" s="2">
        <v>36526.584930555553</v>
      </c>
      <c r="I899">
        <v>12</v>
      </c>
      <c r="J899">
        <v>12</v>
      </c>
      <c r="K899" t="s">
        <v>41</v>
      </c>
      <c r="L899" t="s">
        <v>14</v>
      </c>
      <c r="M899" t="s">
        <v>85</v>
      </c>
      <c r="N899" t="s">
        <v>86</v>
      </c>
    </row>
    <row r="900" spans="1:14" x14ac:dyDescent="0.3">
      <c r="A900">
        <v>899</v>
      </c>
      <c r="B900">
        <v>394</v>
      </c>
      <c r="C900">
        <f>1/COUNTIF(pizza_sales[[#All],[order_id]],pizza_sales[[#This Row],[order_id]])</f>
        <v>8.3333333333333329E-2</v>
      </c>
      <c r="D900" t="s">
        <v>156</v>
      </c>
      <c r="E900">
        <v>1</v>
      </c>
      <c r="F900" s="1">
        <v>42011</v>
      </c>
      <c r="G900" s="1" t="str">
        <f>TEXT(pizza_sales[[#This Row],[order_date]],"dddd")</f>
        <v>Wednesday</v>
      </c>
      <c r="H900" s="2">
        <v>36526.584930555553</v>
      </c>
      <c r="I900">
        <v>12.75</v>
      </c>
      <c r="J900">
        <v>12.75</v>
      </c>
      <c r="K900" t="s">
        <v>41</v>
      </c>
      <c r="L900" t="s">
        <v>33</v>
      </c>
      <c r="M900" t="s">
        <v>82</v>
      </c>
      <c r="N900" t="s">
        <v>83</v>
      </c>
    </row>
    <row r="901" spans="1:14" x14ac:dyDescent="0.3">
      <c r="A901">
        <v>900</v>
      </c>
      <c r="B901">
        <v>394</v>
      </c>
      <c r="C901">
        <f>1/COUNTIF(pizza_sales[[#All],[order_id]],pizza_sales[[#This Row],[order_id]])</f>
        <v>8.3333333333333329E-2</v>
      </c>
      <c r="D901" t="s">
        <v>142</v>
      </c>
      <c r="E901">
        <v>1</v>
      </c>
      <c r="F901" s="1">
        <v>42011</v>
      </c>
      <c r="G901" s="1" t="str">
        <f>TEXT(pizza_sales[[#This Row],[order_date]],"dddd")</f>
        <v>Wednesday</v>
      </c>
      <c r="H901" s="2">
        <v>36526.584930555553</v>
      </c>
      <c r="I901">
        <v>16.5</v>
      </c>
      <c r="J901">
        <v>16.5</v>
      </c>
      <c r="K901" t="s">
        <v>21</v>
      </c>
      <c r="L901" t="s">
        <v>14</v>
      </c>
      <c r="M901" t="s">
        <v>15</v>
      </c>
      <c r="N901" t="s">
        <v>16</v>
      </c>
    </row>
    <row r="902" spans="1:14" x14ac:dyDescent="0.3">
      <c r="A902">
        <v>901</v>
      </c>
      <c r="B902">
        <v>394</v>
      </c>
      <c r="C902">
        <f>1/COUNTIF(pizza_sales[[#All],[order_id]],pizza_sales[[#This Row],[order_id]])</f>
        <v>8.3333333333333329E-2</v>
      </c>
      <c r="D902" t="s">
        <v>132</v>
      </c>
      <c r="E902">
        <v>1</v>
      </c>
      <c r="F902" s="1">
        <v>42011</v>
      </c>
      <c r="G902" s="1" t="str">
        <f>TEXT(pizza_sales[[#This Row],[order_date]],"dddd")</f>
        <v>Wednesday</v>
      </c>
      <c r="H902" s="2">
        <v>36526.584930555553</v>
      </c>
      <c r="I902">
        <v>10.5</v>
      </c>
      <c r="J902">
        <v>10.5</v>
      </c>
      <c r="K902" t="s">
        <v>41</v>
      </c>
      <c r="L902" t="s">
        <v>14</v>
      </c>
      <c r="M902" t="s">
        <v>15</v>
      </c>
      <c r="N902" t="s">
        <v>16</v>
      </c>
    </row>
    <row r="903" spans="1:14" x14ac:dyDescent="0.3">
      <c r="A903">
        <v>902</v>
      </c>
      <c r="B903">
        <v>394</v>
      </c>
      <c r="C903">
        <f>1/COUNTIF(pizza_sales[[#All],[order_id]],pizza_sales[[#This Row],[order_id]])</f>
        <v>8.3333333333333329E-2</v>
      </c>
      <c r="D903" t="s">
        <v>129</v>
      </c>
      <c r="E903">
        <v>1</v>
      </c>
      <c r="F903" s="1">
        <v>42011</v>
      </c>
      <c r="G903" s="1" t="str">
        <f>TEXT(pizza_sales[[#This Row],[order_date]],"dddd")</f>
        <v>Wednesday</v>
      </c>
      <c r="H903" s="2">
        <v>36526.584930555553</v>
      </c>
      <c r="I903">
        <v>17.5</v>
      </c>
      <c r="J903">
        <v>17.5</v>
      </c>
      <c r="K903" t="s">
        <v>21</v>
      </c>
      <c r="L903" t="s">
        <v>14</v>
      </c>
      <c r="M903" t="s">
        <v>130</v>
      </c>
      <c r="N903" t="s">
        <v>131</v>
      </c>
    </row>
    <row r="904" spans="1:14" x14ac:dyDescent="0.3">
      <c r="A904">
        <v>903</v>
      </c>
      <c r="B904">
        <v>394</v>
      </c>
      <c r="C904">
        <f>1/COUNTIF(pizza_sales[[#All],[order_id]],pizza_sales[[#This Row],[order_id]])</f>
        <v>8.3333333333333329E-2</v>
      </c>
      <c r="D904" t="s">
        <v>119</v>
      </c>
      <c r="E904">
        <v>3</v>
      </c>
      <c r="F904" s="1">
        <v>42011</v>
      </c>
      <c r="G904" s="1" t="str">
        <f>TEXT(pizza_sales[[#This Row],[order_date]],"dddd")</f>
        <v>Wednesday</v>
      </c>
      <c r="H904" s="2">
        <v>36526.584930555553</v>
      </c>
      <c r="I904">
        <v>12.5</v>
      </c>
      <c r="J904">
        <v>37.5</v>
      </c>
      <c r="K904" t="s">
        <v>13</v>
      </c>
      <c r="L904" t="s">
        <v>14</v>
      </c>
      <c r="M904" t="s">
        <v>78</v>
      </c>
      <c r="N904" t="s">
        <v>79</v>
      </c>
    </row>
    <row r="905" spans="1:14" x14ac:dyDescent="0.3">
      <c r="A905">
        <v>904</v>
      </c>
      <c r="B905">
        <v>394</v>
      </c>
      <c r="C905">
        <f>1/COUNTIF(pizza_sales[[#All],[order_id]],pizza_sales[[#This Row],[order_id]])</f>
        <v>8.3333333333333329E-2</v>
      </c>
      <c r="D905" t="s">
        <v>126</v>
      </c>
      <c r="E905">
        <v>1</v>
      </c>
      <c r="F905" s="1">
        <v>42011</v>
      </c>
      <c r="G905" s="1" t="str">
        <f>TEXT(pizza_sales[[#This Row],[order_date]],"dddd")</f>
        <v>Wednesday</v>
      </c>
      <c r="H905" s="2">
        <v>36526.584930555553</v>
      </c>
      <c r="I905">
        <v>9.75</v>
      </c>
      <c r="J905">
        <v>9.75</v>
      </c>
      <c r="K905" t="s">
        <v>41</v>
      </c>
      <c r="L905" t="s">
        <v>14</v>
      </c>
      <c r="M905" t="s">
        <v>78</v>
      </c>
      <c r="N905" t="s">
        <v>79</v>
      </c>
    </row>
    <row r="906" spans="1:14" x14ac:dyDescent="0.3">
      <c r="A906">
        <v>905</v>
      </c>
      <c r="B906">
        <v>394</v>
      </c>
      <c r="C906">
        <f>1/COUNTIF(pizza_sales[[#All],[order_id]],pizza_sales[[#This Row],[order_id]])</f>
        <v>8.3333333333333329E-2</v>
      </c>
      <c r="D906" t="s">
        <v>113</v>
      </c>
      <c r="E906">
        <v>1</v>
      </c>
      <c r="F906" s="1">
        <v>42011</v>
      </c>
      <c r="G906" s="1" t="str">
        <f>TEXT(pizza_sales[[#This Row],[order_date]],"dddd")</f>
        <v>Wednesday</v>
      </c>
      <c r="H906" s="2">
        <v>36526.584930555553</v>
      </c>
      <c r="I906">
        <v>20.25</v>
      </c>
      <c r="J906">
        <v>20.25</v>
      </c>
      <c r="K906" t="s">
        <v>21</v>
      </c>
      <c r="L906" t="s">
        <v>26</v>
      </c>
      <c r="M906" t="s">
        <v>114</v>
      </c>
      <c r="N906" t="s">
        <v>115</v>
      </c>
    </row>
    <row r="907" spans="1:14" x14ac:dyDescent="0.3">
      <c r="A907">
        <v>906</v>
      </c>
      <c r="B907">
        <v>394</v>
      </c>
      <c r="C907">
        <f>1/COUNTIF(pizza_sales[[#All],[order_id]],pizza_sales[[#This Row],[order_id]])</f>
        <v>8.3333333333333329E-2</v>
      </c>
      <c r="D907" t="s">
        <v>59</v>
      </c>
      <c r="E907">
        <v>1</v>
      </c>
      <c r="F907" s="1">
        <v>42011</v>
      </c>
      <c r="G907" s="1" t="str">
        <f>TEXT(pizza_sales[[#This Row],[order_date]],"dddd")</f>
        <v>Wednesday</v>
      </c>
      <c r="H907" s="2">
        <v>36526.584930555553</v>
      </c>
      <c r="I907">
        <v>20.75</v>
      </c>
      <c r="J907">
        <v>20.75</v>
      </c>
      <c r="K907" t="s">
        <v>21</v>
      </c>
      <c r="L907" t="s">
        <v>26</v>
      </c>
      <c r="M907" t="s">
        <v>60</v>
      </c>
      <c r="N907" t="s">
        <v>61</v>
      </c>
    </row>
    <row r="908" spans="1:14" x14ac:dyDescent="0.3">
      <c r="A908">
        <v>907</v>
      </c>
      <c r="B908">
        <v>394</v>
      </c>
      <c r="C908">
        <f>1/COUNTIF(pizza_sales[[#All],[order_id]],pizza_sales[[#This Row],[order_id]])</f>
        <v>8.3333333333333329E-2</v>
      </c>
      <c r="D908" t="s">
        <v>136</v>
      </c>
      <c r="E908">
        <v>1</v>
      </c>
      <c r="F908" s="1">
        <v>42011</v>
      </c>
      <c r="G908" s="1" t="str">
        <f>TEXT(pizza_sales[[#This Row],[order_date]],"dddd")</f>
        <v>Wednesday</v>
      </c>
      <c r="H908" s="2">
        <v>36526.584930555553</v>
      </c>
      <c r="I908">
        <v>12.5</v>
      </c>
      <c r="J908">
        <v>12.5</v>
      </c>
      <c r="K908" t="s">
        <v>41</v>
      </c>
      <c r="L908" t="s">
        <v>22</v>
      </c>
      <c r="M908" t="s">
        <v>63</v>
      </c>
      <c r="N908" t="s">
        <v>64</v>
      </c>
    </row>
    <row r="909" spans="1:14" x14ac:dyDescent="0.3">
      <c r="A909">
        <v>908</v>
      </c>
      <c r="B909">
        <v>394</v>
      </c>
      <c r="C909">
        <f>1/COUNTIF(pizza_sales[[#All],[order_id]],pizza_sales[[#This Row],[order_id]])</f>
        <v>8.3333333333333329E-2</v>
      </c>
      <c r="D909" t="s">
        <v>32</v>
      </c>
      <c r="E909">
        <v>1</v>
      </c>
      <c r="F909" s="1">
        <v>42011</v>
      </c>
      <c r="G909" s="1" t="str">
        <f>TEXT(pizza_sales[[#This Row],[order_date]],"dddd")</f>
        <v>Wednesday</v>
      </c>
      <c r="H909" s="2">
        <v>36526.584930555553</v>
      </c>
      <c r="I909">
        <v>20.75</v>
      </c>
      <c r="J909">
        <v>20.75</v>
      </c>
      <c r="K909" t="s">
        <v>21</v>
      </c>
      <c r="L909" t="s">
        <v>33</v>
      </c>
      <c r="M909" t="s">
        <v>34</v>
      </c>
      <c r="N909" t="s">
        <v>35</v>
      </c>
    </row>
    <row r="910" spans="1:14" x14ac:dyDescent="0.3">
      <c r="A910">
        <v>909</v>
      </c>
      <c r="B910">
        <v>394</v>
      </c>
      <c r="C910">
        <f>1/COUNTIF(pizza_sales[[#All],[order_id]],pizza_sales[[#This Row],[order_id]])</f>
        <v>8.3333333333333329E-2</v>
      </c>
      <c r="D910" t="s">
        <v>65</v>
      </c>
      <c r="E910">
        <v>1</v>
      </c>
      <c r="F910" s="1">
        <v>42011</v>
      </c>
      <c r="G910" s="1" t="str">
        <f>TEXT(pizza_sales[[#This Row],[order_date]],"dddd")</f>
        <v>Wednesday</v>
      </c>
      <c r="H910" s="2">
        <v>36526.584930555553</v>
      </c>
      <c r="I910">
        <v>12</v>
      </c>
      <c r="J910">
        <v>12</v>
      </c>
      <c r="K910" t="s">
        <v>41</v>
      </c>
      <c r="L910" t="s">
        <v>22</v>
      </c>
      <c r="M910" t="s">
        <v>66</v>
      </c>
      <c r="N910" t="s">
        <v>67</v>
      </c>
    </row>
    <row r="911" spans="1:14" x14ac:dyDescent="0.3">
      <c r="A911">
        <v>910</v>
      </c>
      <c r="B911">
        <v>395</v>
      </c>
      <c r="C911">
        <f>1/COUNTIF(pizza_sales[[#All],[order_id]],pizza_sales[[#This Row],[order_id]])</f>
        <v>1</v>
      </c>
      <c r="D911" t="s">
        <v>163</v>
      </c>
      <c r="E911">
        <v>1</v>
      </c>
      <c r="F911" s="1">
        <v>42011</v>
      </c>
      <c r="G911" s="1" t="str">
        <f>TEXT(pizza_sales[[#This Row],[order_date]],"dddd")</f>
        <v>Wednesday</v>
      </c>
      <c r="H911" s="2">
        <v>36526.591064814813</v>
      </c>
      <c r="I911">
        <v>16</v>
      </c>
      <c r="J911">
        <v>16</v>
      </c>
      <c r="K911" t="s">
        <v>13</v>
      </c>
      <c r="L911" t="s">
        <v>14</v>
      </c>
      <c r="M911" t="s">
        <v>94</v>
      </c>
      <c r="N911" t="s">
        <v>95</v>
      </c>
    </row>
    <row r="912" spans="1:14" x14ac:dyDescent="0.3">
      <c r="A912">
        <v>911</v>
      </c>
      <c r="B912">
        <v>396</v>
      </c>
      <c r="C912">
        <f>1/COUNTIF(pizza_sales[[#All],[order_id]],pizza_sales[[#This Row],[order_id]])</f>
        <v>1</v>
      </c>
      <c r="D912" t="s">
        <v>157</v>
      </c>
      <c r="E912">
        <v>1</v>
      </c>
      <c r="F912" s="1">
        <v>42011</v>
      </c>
      <c r="G912" s="1" t="str">
        <f>TEXT(pizza_sales[[#This Row],[order_date]],"dddd")</f>
        <v>Wednesday</v>
      </c>
      <c r="H912" s="2">
        <v>36526.591909722221</v>
      </c>
      <c r="I912">
        <v>12</v>
      </c>
      <c r="J912">
        <v>12</v>
      </c>
      <c r="K912" t="s">
        <v>41</v>
      </c>
      <c r="L912" t="s">
        <v>22</v>
      </c>
      <c r="M912" t="s">
        <v>110</v>
      </c>
      <c r="N912" t="s">
        <v>111</v>
      </c>
    </row>
    <row r="913" spans="1:14" x14ac:dyDescent="0.3">
      <c r="A913">
        <v>912</v>
      </c>
      <c r="B913">
        <v>397</v>
      </c>
      <c r="C913">
        <f>1/COUNTIF(pizza_sales[[#All],[order_id]],pizza_sales[[#This Row],[order_id]])</f>
        <v>0.33333333333333331</v>
      </c>
      <c r="D913" t="s">
        <v>20</v>
      </c>
      <c r="E913">
        <v>2</v>
      </c>
      <c r="F913" s="1">
        <v>42011</v>
      </c>
      <c r="G913" s="1" t="str">
        <f>TEXT(pizza_sales[[#This Row],[order_date]],"dddd")</f>
        <v>Wednesday</v>
      </c>
      <c r="H913" s="2">
        <v>36526.60497685185</v>
      </c>
      <c r="I913">
        <v>18.5</v>
      </c>
      <c r="J913">
        <v>37</v>
      </c>
      <c r="K913" t="s">
        <v>21</v>
      </c>
      <c r="L913" t="s">
        <v>22</v>
      </c>
      <c r="M913" t="s">
        <v>23</v>
      </c>
      <c r="N913" t="s">
        <v>24</v>
      </c>
    </row>
    <row r="914" spans="1:14" x14ac:dyDescent="0.3">
      <c r="A914">
        <v>913</v>
      </c>
      <c r="B914">
        <v>397</v>
      </c>
      <c r="C914">
        <f>1/COUNTIF(pizza_sales[[#All],[order_id]],pizza_sales[[#This Row],[order_id]])</f>
        <v>0.33333333333333331</v>
      </c>
      <c r="D914" t="s">
        <v>142</v>
      </c>
      <c r="E914">
        <v>1</v>
      </c>
      <c r="F914" s="1">
        <v>42011</v>
      </c>
      <c r="G914" s="1" t="str">
        <f>TEXT(pizza_sales[[#This Row],[order_date]],"dddd")</f>
        <v>Wednesday</v>
      </c>
      <c r="H914" s="2">
        <v>36526.60497685185</v>
      </c>
      <c r="I914">
        <v>16.5</v>
      </c>
      <c r="J914">
        <v>16.5</v>
      </c>
      <c r="K914" t="s">
        <v>21</v>
      </c>
      <c r="L914" t="s">
        <v>14</v>
      </c>
      <c r="M914" t="s">
        <v>15</v>
      </c>
      <c r="N914" t="s">
        <v>16</v>
      </c>
    </row>
    <row r="915" spans="1:14" x14ac:dyDescent="0.3">
      <c r="A915">
        <v>914</v>
      </c>
      <c r="B915">
        <v>397</v>
      </c>
      <c r="C915">
        <f>1/COUNTIF(pizza_sales[[#All],[order_id]],pizza_sales[[#This Row],[order_id]])</f>
        <v>0.33333333333333331</v>
      </c>
      <c r="D915" t="s">
        <v>119</v>
      </c>
      <c r="E915">
        <v>1</v>
      </c>
      <c r="F915" s="1">
        <v>42011</v>
      </c>
      <c r="G915" s="1" t="str">
        <f>TEXT(pizza_sales[[#This Row],[order_date]],"dddd")</f>
        <v>Wednesday</v>
      </c>
      <c r="H915" s="2">
        <v>36526.60497685185</v>
      </c>
      <c r="I915">
        <v>12.5</v>
      </c>
      <c r="J915">
        <v>12.5</v>
      </c>
      <c r="K915" t="s">
        <v>13</v>
      </c>
      <c r="L915" t="s">
        <v>14</v>
      </c>
      <c r="M915" t="s">
        <v>78</v>
      </c>
      <c r="N915" t="s">
        <v>79</v>
      </c>
    </row>
    <row r="916" spans="1:14" x14ac:dyDescent="0.3">
      <c r="A916">
        <v>915</v>
      </c>
      <c r="B916">
        <v>398</v>
      </c>
      <c r="C916">
        <f>1/COUNTIF(pizza_sales[[#All],[order_id]],pizza_sales[[#This Row],[order_id]])</f>
        <v>1</v>
      </c>
      <c r="D916" t="s">
        <v>126</v>
      </c>
      <c r="E916">
        <v>1</v>
      </c>
      <c r="F916" s="1">
        <v>42011</v>
      </c>
      <c r="G916" s="1" t="str">
        <f>TEXT(pizza_sales[[#This Row],[order_date]],"dddd")</f>
        <v>Wednesday</v>
      </c>
      <c r="H916" s="2">
        <v>36526.622523148151</v>
      </c>
      <c r="I916">
        <v>9.75</v>
      </c>
      <c r="J916">
        <v>9.75</v>
      </c>
      <c r="K916" t="s">
        <v>41</v>
      </c>
      <c r="L916" t="s">
        <v>14</v>
      </c>
      <c r="M916" t="s">
        <v>78</v>
      </c>
      <c r="N916" t="s">
        <v>79</v>
      </c>
    </row>
    <row r="917" spans="1:14" x14ac:dyDescent="0.3">
      <c r="A917">
        <v>916</v>
      </c>
      <c r="B917">
        <v>399</v>
      </c>
      <c r="C917">
        <f>1/COUNTIF(pizza_sales[[#All],[order_id]],pizza_sales[[#This Row],[order_id]])</f>
        <v>0.25</v>
      </c>
      <c r="D917" t="s">
        <v>118</v>
      </c>
      <c r="E917">
        <v>1</v>
      </c>
      <c r="F917" s="1">
        <v>42011</v>
      </c>
      <c r="G917" s="1" t="str">
        <f>TEXT(pizza_sales[[#This Row],[order_date]],"dddd")</f>
        <v>Wednesday</v>
      </c>
      <c r="H917" s="2">
        <v>36526.658206018517</v>
      </c>
      <c r="I917">
        <v>16.75</v>
      </c>
      <c r="J917">
        <v>16.75</v>
      </c>
      <c r="K917" t="s">
        <v>13</v>
      </c>
      <c r="L917" t="s">
        <v>33</v>
      </c>
      <c r="M917" t="s">
        <v>42</v>
      </c>
      <c r="N917" t="s">
        <v>43</v>
      </c>
    </row>
    <row r="918" spans="1:14" x14ac:dyDescent="0.3">
      <c r="A918">
        <v>917</v>
      </c>
      <c r="B918">
        <v>399</v>
      </c>
      <c r="C918">
        <f>1/COUNTIF(pizza_sales[[#All],[order_id]],pizza_sales[[#This Row],[order_id]])</f>
        <v>0.25</v>
      </c>
      <c r="D918" t="s">
        <v>73</v>
      </c>
      <c r="E918">
        <v>1</v>
      </c>
      <c r="F918" s="1">
        <v>42011</v>
      </c>
      <c r="G918" s="1" t="str">
        <f>TEXT(pizza_sales[[#This Row],[order_date]],"dddd")</f>
        <v>Wednesday</v>
      </c>
      <c r="H918" s="2">
        <v>36526.658206018517</v>
      </c>
      <c r="I918">
        <v>20.75</v>
      </c>
      <c r="J918">
        <v>20.75</v>
      </c>
      <c r="K918" t="s">
        <v>21</v>
      </c>
      <c r="L918" t="s">
        <v>33</v>
      </c>
      <c r="M918" t="s">
        <v>74</v>
      </c>
      <c r="N918" t="s">
        <v>75</v>
      </c>
    </row>
    <row r="919" spans="1:14" x14ac:dyDescent="0.3">
      <c r="A919">
        <v>918</v>
      </c>
      <c r="B919">
        <v>399</v>
      </c>
      <c r="C919">
        <f>1/COUNTIF(pizza_sales[[#All],[order_id]],pizza_sales[[#This Row],[order_id]])</f>
        <v>0.25</v>
      </c>
      <c r="D919" t="s">
        <v>99</v>
      </c>
      <c r="E919">
        <v>1</v>
      </c>
      <c r="F919" s="1">
        <v>42011</v>
      </c>
      <c r="G919" s="1" t="str">
        <f>TEXT(pizza_sales[[#This Row],[order_date]],"dddd")</f>
        <v>Wednesday</v>
      </c>
      <c r="H919" s="2">
        <v>36526.658206018517</v>
      </c>
      <c r="I919">
        <v>14.75</v>
      </c>
      <c r="J919">
        <v>14.75</v>
      </c>
      <c r="K919" t="s">
        <v>13</v>
      </c>
      <c r="L919" t="s">
        <v>22</v>
      </c>
      <c r="M919" t="s">
        <v>91</v>
      </c>
      <c r="N919" t="s">
        <v>92</v>
      </c>
    </row>
    <row r="920" spans="1:14" x14ac:dyDescent="0.3">
      <c r="A920">
        <v>919</v>
      </c>
      <c r="B920">
        <v>399</v>
      </c>
      <c r="C920">
        <f>1/COUNTIF(pizza_sales[[#All],[order_id]],pizza_sales[[#This Row],[order_id]])</f>
        <v>0.25</v>
      </c>
      <c r="D920" t="s">
        <v>155</v>
      </c>
      <c r="E920">
        <v>1</v>
      </c>
      <c r="F920" s="1">
        <v>42011</v>
      </c>
      <c r="G920" s="1" t="str">
        <f>TEXT(pizza_sales[[#This Row],[order_date]],"dddd")</f>
        <v>Wednesday</v>
      </c>
      <c r="H920" s="2">
        <v>36526.658206018517</v>
      </c>
      <c r="I920">
        <v>16</v>
      </c>
      <c r="J920">
        <v>16</v>
      </c>
      <c r="K920" t="s">
        <v>13</v>
      </c>
      <c r="L920" t="s">
        <v>14</v>
      </c>
      <c r="M920" t="s">
        <v>45</v>
      </c>
      <c r="N920" t="s">
        <v>46</v>
      </c>
    </row>
    <row r="921" spans="1:14" x14ac:dyDescent="0.3">
      <c r="A921">
        <v>920</v>
      </c>
      <c r="B921">
        <v>400</v>
      </c>
      <c r="C921">
        <f>1/COUNTIF(pizza_sales[[#All],[order_id]],pizza_sales[[#This Row],[order_id]])</f>
        <v>0.5</v>
      </c>
      <c r="D921" t="s">
        <v>119</v>
      </c>
      <c r="E921">
        <v>1</v>
      </c>
      <c r="F921" s="1">
        <v>42011</v>
      </c>
      <c r="G921" s="1" t="str">
        <f>TEXT(pizza_sales[[#This Row],[order_date]],"dddd")</f>
        <v>Wednesday</v>
      </c>
      <c r="H921" s="2">
        <v>36526.66883101852</v>
      </c>
      <c r="I921">
        <v>12.5</v>
      </c>
      <c r="J921">
        <v>12.5</v>
      </c>
      <c r="K921" t="s">
        <v>13</v>
      </c>
      <c r="L921" t="s">
        <v>14</v>
      </c>
      <c r="M921" t="s">
        <v>78</v>
      </c>
      <c r="N921" t="s">
        <v>79</v>
      </c>
    </row>
    <row r="922" spans="1:14" x14ac:dyDescent="0.3">
      <c r="A922">
        <v>921</v>
      </c>
      <c r="B922">
        <v>400</v>
      </c>
      <c r="C922">
        <f>1/COUNTIF(pizza_sales[[#All],[order_id]],pizza_sales[[#This Row],[order_id]])</f>
        <v>0.5</v>
      </c>
      <c r="D922" t="s">
        <v>32</v>
      </c>
      <c r="E922">
        <v>1</v>
      </c>
      <c r="F922" s="1">
        <v>42011</v>
      </c>
      <c r="G922" s="1" t="str">
        <f>TEXT(pizza_sales[[#This Row],[order_date]],"dddd")</f>
        <v>Wednesday</v>
      </c>
      <c r="H922" s="2">
        <v>36526.66883101852</v>
      </c>
      <c r="I922">
        <v>20.75</v>
      </c>
      <c r="J922">
        <v>20.75</v>
      </c>
      <c r="K922" t="s">
        <v>21</v>
      </c>
      <c r="L922" t="s">
        <v>33</v>
      </c>
      <c r="M922" t="s">
        <v>34</v>
      </c>
      <c r="N922" t="s">
        <v>35</v>
      </c>
    </row>
    <row r="923" spans="1:14" x14ac:dyDescent="0.3">
      <c r="A923">
        <v>922</v>
      </c>
      <c r="B923">
        <v>401</v>
      </c>
      <c r="C923">
        <f>1/COUNTIF(pizza_sales[[#All],[order_id]],pizza_sales[[#This Row],[order_id]])</f>
        <v>1</v>
      </c>
      <c r="D923" t="s">
        <v>154</v>
      </c>
      <c r="E923">
        <v>1</v>
      </c>
      <c r="F923" s="1">
        <v>42011</v>
      </c>
      <c r="G923" s="1" t="str">
        <f>TEXT(pizza_sales[[#This Row],[order_date]],"dddd")</f>
        <v>Wednesday</v>
      </c>
      <c r="H923" s="2">
        <v>36526.672627314816</v>
      </c>
      <c r="I923">
        <v>16</v>
      </c>
      <c r="J923">
        <v>16</v>
      </c>
      <c r="K923" t="s">
        <v>13</v>
      </c>
      <c r="L923" t="s">
        <v>22</v>
      </c>
      <c r="M923" t="s">
        <v>66</v>
      </c>
      <c r="N923" t="s">
        <v>67</v>
      </c>
    </row>
    <row r="924" spans="1:14" x14ac:dyDescent="0.3">
      <c r="A924">
        <v>923</v>
      </c>
      <c r="B924">
        <v>402</v>
      </c>
      <c r="C924">
        <f>1/COUNTIF(pizza_sales[[#All],[order_id]],pizza_sales[[#This Row],[order_id]])</f>
        <v>0.5</v>
      </c>
      <c r="D924" t="s">
        <v>90</v>
      </c>
      <c r="E924">
        <v>1</v>
      </c>
      <c r="F924" s="1">
        <v>42011</v>
      </c>
      <c r="G924" s="1" t="str">
        <f>TEXT(pizza_sales[[#This Row],[order_date]],"dddd")</f>
        <v>Wednesday</v>
      </c>
      <c r="H924" s="2">
        <v>36526.683865740742</v>
      </c>
      <c r="I924">
        <v>17.95</v>
      </c>
      <c r="J924">
        <v>17.95</v>
      </c>
      <c r="K924" t="s">
        <v>21</v>
      </c>
      <c r="L924" t="s">
        <v>22</v>
      </c>
      <c r="M924" t="s">
        <v>91</v>
      </c>
      <c r="N924" t="s">
        <v>92</v>
      </c>
    </row>
    <row r="925" spans="1:14" x14ac:dyDescent="0.3">
      <c r="A925">
        <v>924</v>
      </c>
      <c r="B925">
        <v>402</v>
      </c>
      <c r="C925">
        <f>1/COUNTIF(pizza_sales[[#All],[order_id]],pizza_sales[[#This Row],[order_id]])</f>
        <v>0.5</v>
      </c>
      <c r="D925" t="s">
        <v>36</v>
      </c>
      <c r="E925">
        <v>1</v>
      </c>
      <c r="F925" s="1">
        <v>42011</v>
      </c>
      <c r="G925" s="1" t="str">
        <f>TEXT(pizza_sales[[#This Row],[order_date]],"dddd")</f>
        <v>Wednesday</v>
      </c>
      <c r="H925" s="2">
        <v>36526.683865740742</v>
      </c>
      <c r="I925">
        <v>16.5</v>
      </c>
      <c r="J925">
        <v>16.5</v>
      </c>
      <c r="K925" t="s">
        <v>13</v>
      </c>
      <c r="L925" t="s">
        <v>26</v>
      </c>
      <c r="M925" t="s">
        <v>27</v>
      </c>
      <c r="N925" t="s">
        <v>28</v>
      </c>
    </row>
    <row r="926" spans="1:14" x14ac:dyDescent="0.3">
      <c r="A926">
        <v>925</v>
      </c>
      <c r="B926">
        <v>403</v>
      </c>
      <c r="C926">
        <f>1/COUNTIF(pizza_sales[[#All],[order_id]],pizza_sales[[#This Row],[order_id]])</f>
        <v>0.33333333333333331</v>
      </c>
      <c r="D926" t="s">
        <v>40</v>
      </c>
      <c r="E926">
        <v>1</v>
      </c>
      <c r="F926" s="1">
        <v>42011</v>
      </c>
      <c r="G926" s="1" t="str">
        <f>TEXT(pizza_sales[[#This Row],[order_date]],"dddd")</f>
        <v>Wednesday</v>
      </c>
      <c r="H926" s="2">
        <v>36526.684837962966</v>
      </c>
      <c r="I926">
        <v>12.75</v>
      </c>
      <c r="J926">
        <v>12.75</v>
      </c>
      <c r="K926" t="s">
        <v>41</v>
      </c>
      <c r="L926" t="s">
        <v>33</v>
      </c>
      <c r="M926" t="s">
        <v>42</v>
      </c>
      <c r="N926" t="s">
        <v>43</v>
      </c>
    </row>
    <row r="927" spans="1:14" x14ac:dyDescent="0.3">
      <c r="A927">
        <v>926</v>
      </c>
      <c r="B927">
        <v>403</v>
      </c>
      <c r="C927">
        <f>1/COUNTIF(pizza_sales[[#All],[order_id]],pizza_sales[[#This Row],[order_id]])</f>
        <v>0.33333333333333331</v>
      </c>
      <c r="D927" t="s">
        <v>138</v>
      </c>
      <c r="E927">
        <v>1</v>
      </c>
      <c r="F927" s="1">
        <v>42011</v>
      </c>
      <c r="G927" s="1" t="str">
        <f>TEXT(pizza_sales[[#This Row],[order_date]],"dddd")</f>
        <v>Wednesday</v>
      </c>
      <c r="H927" s="2">
        <v>36526.684837962966</v>
      </c>
      <c r="I927">
        <v>20.5</v>
      </c>
      <c r="J927">
        <v>20.5</v>
      </c>
      <c r="K927" t="s">
        <v>21</v>
      </c>
      <c r="L927" t="s">
        <v>14</v>
      </c>
      <c r="M927" t="s">
        <v>18</v>
      </c>
      <c r="N927" t="s">
        <v>19</v>
      </c>
    </row>
    <row r="928" spans="1:14" x14ac:dyDescent="0.3">
      <c r="A928">
        <v>927</v>
      </c>
      <c r="B928">
        <v>403</v>
      </c>
      <c r="C928">
        <f>1/COUNTIF(pizza_sales[[#All],[order_id]],pizza_sales[[#This Row],[order_id]])</f>
        <v>0.33333333333333331</v>
      </c>
      <c r="D928" t="s">
        <v>120</v>
      </c>
      <c r="E928">
        <v>1</v>
      </c>
      <c r="F928" s="1">
        <v>42011</v>
      </c>
      <c r="G928" s="1" t="str">
        <f>TEXT(pizza_sales[[#This Row],[order_date]],"dddd")</f>
        <v>Wednesday</v>
      </c>
      <c r="H928" s="2">
        <v>36526.684837962966</v>
      </c>
      <c r="I928">
        <v>12.5</v>
      </c>
      <c r="J928">
        <v>12.5</v>
      </c>
      <c r="K928" t="s">
        <v>41</v>
      </c>
      <c r="L928" t="s">
        <v>26</v>
      </c>
      <c r="M928" t="s">
        <v>38</v>
      </c>
      <c r="N928" t="s">
        <v>39</v>
      </c>
    </row>
    <row r="929" spans="1:14" x14ac:dyDescent="0.3">
      <c r="A929">
        <v>928</v>
      </c>
      <c r="B929">
        <v>404</v>
      </c>
      <c r="C929">
        <f>1/COUNTIF(pizza_sales[[#All],[order_id]],pizza_sales[[#This Row],[order_id]])</f>
        <v>1</v>
      </c>
      <c r="D929" t="s">
        <v>81</v>
      </c>
      <c r="E929">
        <v>1</v>
      </c>
      <c r="F929" s="1">
        <v>42011</v>
      </c>
      <c r="G929" s="1" t="str">
        <f>TEXT(pizza_sales[[#This Row],[order_date]],"dddd")</f>
        <v>Wednesday</v>
      </c>
      <c r="H929" s="2">
        <v>36526.694062499999</v>
      </c>
      <c r="I929">
        <v>20.75</v>
      </c>
      <c r="J929">
        <v>20.75</v>
      </c>
      <c r="K929" t="s">
        <v>21</v>
      </c>
      <c r="L929" t="s">
        <v>33</v>
      </c>
      <c r="M929" t="s">
        <v>82</v>
      </c>
      <c r="N929" t="s">
        <v>83</v>
      </c>
    </row>
    <row r="930" spans="1:14" x14ac:dyDescent="0.3">
      <c r="A930">
        <v>929</v>
      </c>
      <c r="B930">
        <v>405</v>
      </c>
      <c r="C930">
        <f>1/COUNTIF(pizza_sales[[#All],[order_id]],pizza_sales[[#This Row],[order_id]])</f>
        <v>1</v>
      </c>
      <c r="D930" t="s">
        <v>113</v>
      </c>
      <c r="E930">
        <v>1</v>
      </c>
      <c r="F930" s="1">
        <v>42011</v>
      </c>
      <c r="G930" s="1" t="str">
        <f>TEXT(pizza_sales[[#This Row],[order_date]],"dddd")</f>
        <v>Wednesday</v>
      </c>
      <c r="H930" s="2">
        <v>36526.69740740741</v>
      </c>
      <c r="I930">
        <v>20.25</v>
      </c>
      <c r="J930">
        <v>20.25</v>
      </c>
      <c r="K930" t="s">
        <v>21</v>
      </c>
      <c r="L930" t="s">
        <v>26</v>
      </c>
      <c r="M930" t="s">
        <v>114</v>
      </c>
      <c r="N930" t="s">
        <v>115</v>
      </c>
    </row>
    <row r="931" spans="1:14" x14ac:dyDescent="0.3">
      <c r="A931">
        <v>930</v>
      </c>
      <c r="B931">
        <v>406</v>
      </c>
      <c r="C931">
        <f>1/COUNTIF(pizza_sales[[#All],[order_id]],pizza_sales[[#This Row],[order_id]])</f>
        <v>0.33333333333333331</v>
      </c>
      <c r="D931" t="s">
        <v>134</v>
      </c>
      <c r="E931">
        <v>1</v>
      </c>
      <c r="F931" s="1">
        <v>42011</v>
      </c>
      <c r="G931" s="1" t="str">
        <f>TEXT(pizza_sales[[#This Row],[order_date]],"dddd")</f>
        <v>Wednesday</v>
      </c>
      <c r="H931" s="2">
        <v>36526.701956018522</v>
      </c>
      <c r="I931">
        <v>16.75</v>
      </c>
      <c r="J931">
        <v>16.75</v>
      </c>
      <c r="K931" t="s">
        <v>13</v>
      </c>
      <c r="L931" t="s">
        <v>33</v>
      </c>
      <c r="M931" t="s">
        <v>124</v>
      </c>
      <c r="N931" t="s">
        <v>125</v>
      </c>
    </row>
    <row r="932" spans="1:14" x14ac:dyDescent="0.3">
      <c r="A932">
        <v>931</v>
      </c>
      <c r="B932">
        <v>406</v>
      </c>
      <c r="C932">
        <f>1/COUNTIF(pizza_sales[[#All],[order_id]],pizza_sales[[#This Row],[order_id]])</f>
        <v>0.33333333333333331</v>
      </c>
      <c r="D932" t="s">
        <v>17</v>
      </c>
      <c r="E932">
        <v>1</v>
      </c>
      <c r="F932" s="1">
        <v>42011</v>
      </c>
      <c r="G932" s="1" t="str">
        <f>TEXT(pizza_sales[[#This Row],[order_date]],"dddd")</f>
        <v>Wednesday</v>
      </c>
      <c r="H932" s="2">
        <v>36526.701956018522</v>
      </c>
      <c r="I932">
        <v>16</v>
      </c>
      <c r="J932">
        <v>16</v>
      </c>
      <c r="K932" t="s">
        <v>13</v>
      </c>
      <c r="L932" t="s">
        <v>14</v>
      </c>
      <c r="M932" t="s">
        <v>18</v>
      </c>
      <c r="N932" t="s">
        <v>19</v>
      </c>
    </row>
    <row r="933" spans="1:14" x14ac:dyDescent="0.3">
      <c r="A933">
        <v>932</v>
      </c>
      <c r="B933">
        <v>406</v>
      </c>
      <c r="C933">
        <f>1/COUNTIF(pizza_sales[[#All],[order_id]],pizza_sales[[#This Row],[order_id]])</f>
        <v>0.33333333333333331</v>
      </c>
      <c r="D933" t="s">
        <v>100</v>
      </c>
      <c r="E933">
        <v>1</v>
      </c>
      <c r="F933" s="1">
        <v>42011</v>
      </c>
      <c r="G933" s="1" t="str">
        <f>TEXT(pizza_sales[[#This Row],[order_date]],"dddd")</f>
        <v>Wednesday</v>
      </c>
      <c r="H933" s="2">
        <v>36526.701956018522</v>
      </c>
      <c r="I933">
        <v>12.75</v>
      </c>
      <c r="J933">
        <v>12.75</v>
      </c>
      <c r="K933" t="s">
        <v>41</v>
      </c>
      <c r="L933" t="s">
        <v>22</v>
      </c>
      <c r="M933" t="s">
        <v>101</v>
      </c>
      <c r="N933" t="s">
        <v>102</v>
      </c>
    </row>
    <row r="934" spans="1:14" x14ac:dyDescent="0.3">
      <c r="A934">
        <v>933</v>
      </c>
      <c r="B934">
        <v>407</v>
      </c>
      <c r="C934">
        <f>1/COUNTIF(pizza_sales[[#All],[order_id]],pizza_sales[[#This Row],[order_id]])</f>
        <v>0.33333333333333331</v>
      </c>
      <c r="D934" t="s">
        <v>76</v>
      </c>
      <c r="E934">
        <v>1</v>
      </c>
      <c r="F934" s="1">
        <v>42011</v>
      </c>
      <c r="G934" s="1" t="str">
        <f>TEXT(pizza_sales[[#This Row],[order_date]],"dddd")</f>
        <v>Wednesday</v>
      </c>
      <c r="H934" s="2">
        <v>36526.706041666665</v>
      </c>
      <c r="I934">
        <v>16.75</v>
      </c>
      <c r="J934">
        <v>16.75</v>
      </c>
      <c r="K934" t="s">
        <v>13</v>
      </c>
      <c r="L934" t="s">
        <v>33</v>
      </c>
      <c r="M934" t="s">
        <v>74</v>
      </c>
      <c r="N934" t="s">
        <v>75</v>
      </c>
    </row>
    <row r="935" spans="1:14" x14ac:dyDescent="0.3">
      <c r="A935">
        <v>934</v>
      </c>
      <c r="B935">
        <v>407</v>
      </c>
      <c r="C935">
        <f>1/COUNTIF(pizza_sales[[#All],[order_id]],pizza_sales[[#This Row],[order_id]])</f>
        <v>0.33333333333333331</v>
      </c>
      <c r="D935" t="s">
        <v>138</v>
      </c>
      <c r="E935">
        <v>1</v>
      </c>
      <c r="F935" s="1">
        <v>42011</v>
      </c>
      <c r="G935" s="1" t="str">
        <f>TEXT(pizza_sales[[#This Row],[order_date]],"dddd")</f>
        <v>Wednesday</v>
      </c>
      <c r="H935" s="2">
        <v>36526.706041666665</v>
      </c>
      <c r="I935">
        <v>20.5</v>
      </c>
      <c r="J935">
        <v>20.5</v>
      </c>
      <c r="K935" t="s">
        <v>21</v>
      </c>
      <c r="L935" t="s">
        <v>14</v>
      </c>
      <c r="M935" t="s">
        <v>18</v>
      </c>
      <c r="N935" t="s">
        <v>19</v>
      </c>
    </row>
    <row r="936" spans="1:14" x14ac:dyDescent="0.3">
      <c r="A936">
        <v>935</v>
      </c>
      <c r="B936">
        <v>407</v>
      </c>
      <c r="C936">
        <f>1/COUNTIF(pizza_sales[[#All],[order_id]],pizza_sales[[#This Row],[order_id]])</f>
        <v>0.33333333333333331</v>
      </c>
      <c r="D936" t="s">
        <v>119</v>
      </c>
      <c r="E936">
        <v>1</v>
      </c>
      <c r="F936" s="1">
        <v>42011</v>
      </c>
      <c r="G936" s="1" t="str">
        <f>TEXT(pizza_sales[[#This Row],[order_date]],"dddd")</f>
        <v>Wednesday</v>
      </c>
      <c r="H936" s="2">
        <v>36526.706041666665</v>
      </c>
      <c r="I936">
        <v>12.5</v>
      </c>
      <c r="J936">
        <v>12.5</v>
      </c>
      <c r="K936" t="s">
        <v>13</v>
      </c>
      <c r="L936" t="s">
        <v>14</v>
      </c>
      <c r="M936" t="s">
        <v>78</v>
      </c>
      <c r="N936" t="s">
        <v>79</v>
      </c>
    </row>
    <row r="937" spans="1:14" x14ac:dyDescent="0.3">
      <c r="A937">
        <v>936</v>
      </c>
      <c r="B937">
        <v>408</v>
      </c>
      <c r="C937">
        <f>1/COUNTIF(pizza_sales[[#All],[order_id]],pizza_sales[[#This Row],[order_id]])</f>
        <v>0.5</v>
      </c>
      <c r="D937" t="s">
        <v>165</v>
      </c>
      <c r="E937">
        <v>1</v>
      </c>
      <c r="F937" s="1">
        <v>42011</v>
      </c>
      <c r="G937" s="1" t="str">
        <f>TEXT(pizza_sales[[#This Row],[order_date]],"dddd")</f>
        <v>Wednesday</v>
      </c>
      <c r="H937" s="2">
        <v>36526.714687500003</v>
      </c>
      <c r="I937">
        <v>23.65</v>
      </c>
      <c r="J937">
        <v>23.65</v>
      </c>
      <c r="K937" t="s">
        <v>41</v>
      </c>
      <c r="L937" t="s">
        <v>26</v>
      </c>
      <c r="M937" t="s">
        <v>166</v>
      </c>
      <c r="N937" t="s">
        <v>167</v>
      </c>
    </row>
    <row r="938" spans="1:14" x14ac:dyDescent="0.3">
      <c r="A938">
        <v>937</v>
      </c>
      <c r="B938">
        <v>408</v>
      </c>
      <c r="C938">
        <f>1/COUNTIF(pizza_sales[[#All],[order_id]],pizza_sales[[#This Row],[order_id]])</f>
        <v>0.5</v>
      </c>
      <c r="D938" t="s">
        <v>133</v>
      </c>
      <c r="E938">
        <v>1</v>
      </c>
      <c r="F938" s="1">
        <v>42011</v>
      </c>
      <c r="G938" s="1" t="str">
        <f>TEXT(pizza_sales[[#This Row],[order_date]],"dddd")</f>
        <v>Wednesday</v>
      </c>
      <c r="H938" s="2">
        <v>36526.714687500003</v>
      </c>
      <c r="I938">
        <v>16.5</v>
      </c>
      <c r="J938">
        <v>16.5</v>
      </c>
      <c r="K938" t="s">
        <v>13</v>
      </c>
      <c r="L938" t="s">
        <v>26</v>
      </c>
      <c r="M938" t="s">
        <v>107</v>
      </c>
      <c r="N938" t="s">
        <v>108</v>
      </c>
    </row>
    <row r="939" spans="1:14" x14ac:dyDescent="0.3">
      <c r="A939">
        <v>938</v>
      </c>
      <c r="B939">
        <v>409</v>
      </c>
      <c r="C939">
        <f>1/COUNTIF(pizza_sales[[#All],[order_id]],pizza_sales[[#This Row],[order_id]])</f>
        <v>1</v>
      </c>
      <c r="D939" t="s">
        <v>77</v>
      </c>
      <c r="E939">
        <v>1</v>
      </c>
      <c r="F939" s="1">
        <v>42011</v>
      </c>
      <c r="G939" s="1" t="str">
        <f>TEXT(pizza_sales[[#This Row],[order_date]],"dddd")</f>
        <v>Wednesday</v>
      </c>
      <c r="H939" s="2">
        <v>36526.7187962963</v>
      </c>
      <c r="I939">
        <v>15.25</v>
      </c>
      <c r="J939">
        <v>15.25</v>
      </c>
      <c r="K939" t="s">
        <v>21</v>
      </c>
      <c r="L939" t="s">
        <v>14</v>
      </c>
      <c r="M939" t="s">
        <v>78</v>
      </c>
      <c r="N939" t="s">
        <v>79</v>
      </c>
    </row>
    <row r="940" spans="1:14" x14ac:dyDescent="0.3">
      <c r="A940">
        <v>939</v>
      </c>
      <c r="B940">
        <v>410</v>
      </c>
      <c r="C940">
        <f>1/COUNTIF(pizza_sales[[#All],[order_id]],pizza_sales[[#This Row],[order_id]])</f>
        <v>0.33333333333333331</v>
      </c>
      <c r="D940" t="s">
        <v>84</v>
      </c>
      <c r="E940">
        <v>2</v>
      </c>
      <c r="F940" s="1">
        <v>42011</v>
      </c>
      <c r="G940" s="1" t="str">
        <f>TEXT(pizza_sales[[#This Row],[order_date]],"dddd")</f>
        <v>Wednesday</v>
      </c>
      <c r="H940" s="2">
        <v>36526.731817129628</v>
      </c>
      <c r="I940">
        <v>12</v>
      </c>
      <c r="J940">
        <v>24</v>
      </c>
      <c r="K940" t="s">
        <v>41</v>
      </c>
      <c r="L940" t="s">
        <v>14</v>
      </c>
      <c r="M940" t="s">
        <v>85</v>
      </c>
      <c r="N940" t="s">
        <v>86</v>
      </c>
    </row>
    <row r="941" spans="1:14" x14ac:dyDescent="0.3">
      <c r="A941">
        <v>940</v>
      </c>
      <c r="B941">
        <v>410</v>
      </c>
      <c r="C941">
        <f>1/COUNTIF(pizza_sales[[#All],[order_id]],pizza_sales[[#This Row],[order_id]])</f>
        <v>0.33333333333333331</v>
      </c>
      <c r="D941" t="s">
        <v>103</v>
      </c>
      <c r="E941">
        <v>1</v>
      </c>
      <c r="F941" s="1">
        <v>42011</v>
      </c>
      <c r="G941" s="1" t="str">
        <f>TEXT(pizza_sales[[#This Row],[order_date]],"dddd")</f>
        <v>Wednesday</v>
      </c>
      <c r="H941" s="2">
        <v>36526.731817129628</v>
      </c>
      <c r="I941">
        <v>16</v>
      </c>
      <c r="J941">
        <v>16</v>
      </c>
      <c r="K941" t="s">
        <v>13</v>
      </c>
      <c r="L941" t="s">
        <v>22</v>
      </c>
      <c r="M941" t="s">
        <v>104</v>
      </c>
      <c r="N941" t="s">
        <v>105</v>
      </c>
    </row>
    <row r="942" spans="1:14" x14ac:dyDescent="0.3">
      <c r="A942">
        <v>941</v>
      </c>
      <c r="B942">
        <v>410</v>
      </c>
      <c r="C942">
        <f>1/COUNTIF(pizza_sales[[#All],[order_id]],pizza_sales[[#This Row],[order_id]])</f>
        <v>0.33333333333333331</v>
      </c>
      <c r="D942" t="s">
        <v>140</v>
      </c>
      <c r="E942">
        <v>1</v>
      </c>
      <c r="F942" s="1">
        <v>42011</v>
      </c>
      <c r="G942" s="1" t="str">
        <f>TEXT(pizza_sales[[#This Row],[order_date]],"dddd")</f>
        <v>Wednesday</v>
      </c>
      <c r="H942" s="2">
        <v>36526.731817129628</v>
      </c>
      <c r="I942">
        <v>25.5</v>
      </c>
      <c r="J942">
        <v>25.5</v>
      </c>
      <c r="K942" t="s">
        <v>141</v>
      </c>
      <c r="L942" t="s">
        <v>14</v>
      </c>
      <c r="M942" t="s">
        <v>45</v>
      </c>
      <c r="N942" t="s">
        <v>46</v>
      </c>
    </row>
    <row r="943" spans="1:14" x14ac:dyDescent="0.3">
      <c r="A943">
        <v>942</v>
      </c>
      <c r="B943">
        <v>411</v>
      </c>
      <c r="C943">
        <f>1/COUNTIF(pizza_sales[[#All],[order_id]],pizza_sales[[#This Row],[order_id]])</f>
        <v>0.5</v>
      </c>
      <c r="D943" t="s">
        <v>36</v>
      </c>
      <c r="E943">
        <v>1</v>
      </c>
      <c r="F943" s="1">
        <v>42011</v>
      </c>
      <c r="G943" s="1" t="str">
        <f>TEXT(pizza_sales[[#This Row],[order_date]],"dddd")</f>
        <v>Wednesday</v>
      </c>
      <c r="H943" s="2">
        <v>36526.748715277776</v>
      </c>
      <c r="I943">
        <v>16.5</v>
      </c>
      <c r="J943">
        <v>16.5</v>
      </c>
      <c r="K943" t="s">
        <v>13</v>
      </c>
      <c r="L943" t="s">
        <v>26</v>
      </c>
      <c r="M943" t="s">
        <v>27</v>
      </c>
      <c r="N943" t="s">
        <v>28</v>
      </c>
    </row>
    <row r="944" spans="1:14" x14ac:dyDescent="0.3">
      <c r="A944">
        <v>943</v>
      </c>
      <c r="B944">
        <v>411</v>
      </c>
      <c r="C944">
        <f>1/COUNTIF(pizza_sales[[#All],[order_id]],pizza_sales[[#This Row],[order_id]])</f>
        <v>0.5</v>
      </c>
      <c r="D944" t="s">
        <v>69</v>
      </c>
      <c r="E944">
        <v>1</v>
      </c>
      <c r="F944" s="1">
        <v>42011</v>
      </c>
      <c r="G944" s="1" t="str">
        <f>TEXT(pizza_sales[[#This Row],[order_date]],"dddd")</f>
        <v>Wednesday</v>
      </c>
      <c r="H944" s="2">
        <v>36526.748715277776</v>
      </c>
      <c r="I944">
        <v>20.75</v>
      </c>
      <c r="J944">
        <v>20.75</v>
      </c>
      <c r="K944" t="s">
        <v>21</v>
      </c>
      <c r="L944" t="s">
        <v>33</v>
      </c>
      <c r="M944" t="s">
        <v>70</v>
      </c>
      <c r="N944" t="s">
        <v>71</v>
      </c>
    </row>
    <row r="945" spans="1:14" x14ac:dyDescent="0.3">
      <c r="A945">
        <v>944</v>
      </c>
      <c r="B945">
        <v>412</v>
      </c>
      <c r="C945">
        <f>1/COUNTIF(pizza_sales[[#All],[order_id]],pizza_sales[[#This Row],[order_id]])</f>
        <v>0.5</v>
      </c>
      <c r="D945" t="s">
        <v>165</v>
      </c>
      <c r="E945">
        <v>1</v>
      </c>
      <c r="F945" s="1">
        <v>42011</v>
      </c>
      <c r="G945" s="1" t="str">
        <f>TEXT(pizza_sales[[#This Row],[order_date]],"dddd")</f>
        <v>Wednesday</v>
      </c>
      <c r="H945" s="2">
        <v>36526.755393518521</v>
      </c>
      <c r="I945">
        <v>23.65</v>
      </c>
      <c r="J945">
        <v>23.65</v>
      </c>
      <c r="K945" t="s">
        <v>41</v>
      </c>
      <c r="L945" t="s">
        <v>26</v>
      </c>
      <c r="M945" t="s">
        <v>166</v>
      </c>
      <c r="N945" t="s">
        <v>167</v>
      </c>
    </row>
    <row r="946" spans="1:14" x14ac:dyDescent="0.3">
      <c r="A946">
        <v>945</v>
      </c>
      <c r="B946">
        <v>412</v>
      </c>
      <c r="C946">
        <f>1/COUNTIF(pizza_sales[[#All],[order_id]],pizza_sales[[#This Row],[order_id]])</f>
        <v>0.5</v>
      </c>
      <c r="D946" t="s">
        <v>144</v>
      </c>
      <c r="E946">
        <v>1</v>
      </c>
      <c r="F946" s="1">
        <v>42011</v>
      </c>
      <c r="G946" s="1" t="str">
        <f>TEXT(pizza_sales[[#This Row],[order_date]],"dddd")</f>
        <v>Wednesday</v>
      </c>
      <c r="H946" s="2">
        <v>36526.755393518521</v>
      </c>
      <c r="I946">
        <v>16.5</v>
      </c>
      <c r="J946">
        <v>16.5</v>
      </c>
      <c r="K946" t="s">
        <v>13</v>
      </c>
      <c r="L946" t="s">
        <v>26</v>
      </c>
      <c r="M946" t="s">
        <v>48</v>
      </c>
      <c r="N946" t="s">
        <v>49</v>
      </c>
    </row>
    <row r="947" spans="1:14" x14ac:dyDescent="0.3">
      <c r="A947">
        <v>946</v>
      </c>
      <c r="B947">
        <v>413</v>
      </c>
      <c r="C947">
        <f>1/COUNTIF(pizza_sales[[#All],[order_id]],pizza_sales[[#This Row],[order_id]])</f>
        <v>1</v>
      </c>
      <c r="D947" t="s">
        <v>44</v>
      </c>
      <c r="E947">
        <v>1</v>
      </c>
      <c r="F947" s="1">
        <v>42011</v>
      </c>
      <c r="G947" s="1" t="str">
        <f>TEXT(pizza_sales[[#This Row],[order_date]],"dddd")</f>
        <v>Wednesday</v>
      </c>
      <c r="H947" s="2">
        <v>36526.758009259262</v>
      </c>
      <c r="I947">
        <v>12</v>
      </c>
      <c r="J947">
        <v>12</v>
      </c>
      <c r="K947" t="s">
        <v>41</v>
      </c>
      <c r="L947" t="s">
        <v>14</v>
      </c>
      <c r="M947" t="s">
        <v>45</v>
      </c>
      <c r="N947" t="s">
        <v>46</v>
      </c>
    </row>
    <row r="948" spans="1:14" x14ac:dyDescent="0.3">
      <c r="A948">
        <v>947</v>
      </c>
      <c r="B948">
        <v>414</v>
      </c>
      <c r="C948">
        <f>1/COUNTIF(pizza_sales[[#All],[order_id]],pizza_sales[[#This Row],[order_id]])</f>
        <v>0.33333333333333331</v>
      </c>
      <c r="D948" t="s">
        <v>50</v>
      </c>
      <c r="E948">
        <v>1</v>
      </c>
      <c r="F948" s="1">
        <v>42011</v>
      </c>
      <c r="G948" s="1" t="str">
        <f>TEXT(pizza_sales[[#This Row],[order_date]],"dddd")</f>
        <v>Wednesday</v>
      </c>
      <c r="H948" s="2">
        <v>36526.759282407409</v>
      </c>
      <c r="I948">
        <v>12</v>
      </c>
      <c r="J948">
        <v>12</v>
      </c>
      <c r="K948" t="s">
        <v>41</v>
      </c>
      <c r="L948" t="s">
        <v>14</v>
      </c>
      <c r="M948" t="s">
        <v>18</v>
      </c>
      <c r="N948" t="s">
        <v>19</v>
      </c>
    </row>
    <row r="949" spans="1:14" x14ac:dyDescent="0.3">
      <c r="A949">
        <v>948</v>
      </c>
      <c r="B949">
        <v>414</v>
      </c>
      <c r="C949">
        <f>1/COUNTIF(pizza_sales[[#All],[order_id]],pizza_sales[[#This Row],[order_id]])</f>
        <v>0.33333333333333331</v>
      </c>
      <c r="D949" t="s">
        <v>20</v>
      </c>
      <c r="E949">
        <v>1</v>
      </c>
      <c r="F949" s="1">
        <v>42011</v>
      </c>
      <c r="G949" s="1" t="str">
        <f>TEXT(pizza_sales[[#This Row],[order_date]],"dddd")</f>
        <v>Wednesday</v>
      </c>
      <c r="H949" s="2">
        <v>36526.759282407409</v>
      </c>
      <c r="I949">
        <v>18.5</v>
      </c>
      <c r="J949">
        <v>18.5</v>
      </c>
      <c r="K949" t="s">
        <v>21</v>
      </c>
      <c r="L949" t="s">
        <v>22</v>
      </c>
      <c r="M949" t="s">
        <v>23</v>
      </c>
      <c r="N949" t="s">
        <v>24</v>
      </c>
    </row>
    <row r="950" spans="1:14" x14ac:dyDescent="0.3">
      <c r="A950">
        <v>949</v>
      </c>
      <c r="B950">
        <v>414</v>
      </c>
      <c r="C950">
        <f>1/COUNTIF(pizza_sales[[#All],[order_id]],pizza_sales[[#This Row],[order_id]])</f>
        <v>0.33333333333333331</v>
      </c>
      <c r="D950" t="s">
        <v>36</v>
      </c>
      <c r="E950">
        <v>1</v>
      </c>
      <c r="F950" s="1">
        <v>42011</v>
      </c>
      <c r="G950" s="1" t="str">
        <f>TEXT(pizza_sales[[#This Row],[order_date]],"dddd")</f>
        <v>Wednesday</v>
      </c>
      <c r="H950" s="2">
        <v>36526.759282407409</v>
      </c>
      <c r="I950">
        <v>16.5</v>
      </c>
      <c r="J950">
        <v>16.5</v>
      </c>
      <c r="K950" t="s">
        <v>13</v>
      </c>
      <c r="L950" t="s">
        <v>26</v>
      </c>
      <c r="M950" t="s">
        <v>27</v>
      </c>
      <c r="N950" t="s">
        <v>28</v>
      </c>
    </row>
    <row r="951" spans="1:14" x14ac:dyDescent="0.3">
      <c r="A951">
        <v>950</v>
      </c>
      <c r="B951">
        <v>415</v>
      </c>
      <c r="C951">
        <f>1/COUNTIF(pizza_sales[[#All],[order_id]],pizza_sales[[#This Row],[order_id]])</f>
        <v>1</v>
      </c>
      <c r="D951" t="s">
        <v>80</v>
      </c>
      <c r="E951">
        <v>1</v>
      </c>
      <c r="F951" s="1">
        <v>42011</v>
      </c>
      <c r="G951" s="1" t="str">
        <f>TEXT(pizza_sales[[#This Row],[order_date]],"dddd")</f>
        <v>Wednesday</v>
      </c>
      <c r="H951" s="2">
        <v>36526.761377314811</v>
      </c>
      <c r="I951">
        <v>12.75</v>
      </c>
      <c r="J951">
        <v>12.75</v>
      </c>
      <c r="K951" t="s">
        <v>41</v>
      </c>
      <c r="L951" t="s">
        <v>33</v>
      </c>
      <c r="M951" t="s">
        <v>74</v>
      </c>
      <c r="N951" t="s">
        <v>75</v>
      </c>
    </row>
    <row r="952" spans="1:14" x14ac:dyDescent="0.3">
      <c r="A952">
        <v>951</v>
      </c>
      <c r="B952">
        <v>416</v>
      </c>
      <c r="C952">
        <f>1/COUNTIF(pizza_sales[[#All],[order_id]],pizza_sales[[#This Row],[order_id]])</f>
        <v>1</v>
      </c>
      <c r="D952" t="s">
        <v>109</v>
      </c>
      <c r="E952">
        <v>1</v>
      </c>
      <c r="F952" s="1">
        <v>42011</v>
      </c>
      <c r="G952" s="1" t="str">
        <f>TEXT(pizza_sales[[#This Row],[order_date]],"dddd")</f>
        <v>Wednesday</v>
      </c>
      <c r="H952" s="2">
        <v>36526.762291666666</v>
      </c>
      <c r="I952">
        <v>20.25</v>
      </c>
      <c r="J952">
        <v>20.25</v>
      </c>
      <c r="K952" t="s">
        <v>21</v>
      </c>
      <c r="L952" t="s">
        <v>22</v>
      </c>
      <c r="M952" t="s">
        <v>110</v>
      </c>
      <c r="N952" t="s">
        <v>111</v>
      </c>
    </row>
    <row r="953" spans="1:14" x14ac:dyDescent="0.3">
      <c r="A953">
        <v>952</v>
      </c>
      <c r="B953">
        <v>417</v>
      </c>
      <c r="C953">
        <f>1/COUNTIF(pizza_sales[[#All],[order_id]],pizza_sales[[#This Row],[order_id]])</f>
        <v>1</v>
      </c>
      <c r="D953" t="s">
        <v>126</v>
      </c>
      <c r="E953">
        <v>1</v>
      </c>
      <c r="F953" s="1">
        <v>42011</v>
      </c>
      <c r="G953" s="1" t="str">
        <f>TEXT(pizza_sales[[#This Row],[order_date]],"dddd")</f>
        <v>Wednesday</v>
      </c>
      <c r="H953" s="2">
        <v>36526.767129629632</v>
      </c>
      <c r="I953">
        <v>9.75</v>
      </c>
      <c r="J953">
        <v>9.75</v>
      </c>
      <c r="K953" t="s">
        <v>41</v>
      </c>
      <c r="L953" t="s">
        <v>14</v>
      </c>
      <c r="M953" t="s">
        <v>78</v>
      </c>
      <c r="N953" t="s">
        <v>79</v>
      </c>
    </row>
    <row r="954" spans="1:14" x14ac:dyDescent="0.3">
      <c r="A954">
        <v>953</v>
      </c>
      <c r="B954">
        <v>418</v>
      </c>
      <c r="C954">
        <f>1/COUNTIF(pizza_sales[[#All],[order_id]],pizza_sales[[#This Row],[order_id]])</f>
        <v>0.5</v>
      </c>
      <c r="D954" t="s">
        <v>139</v>
      </c>
      <c r="E954">
        <v>1</v>
      </c>
      <c r="F954" s="1">
        <v>42011</v>
      </c>
      <c r="G954" s="1" t="str">
        <f>TEXT(pizza_sales[[#This Row],[order_date]],"dddd")</f>
        <v>Wednesday</v>
      </c>
      <c r="H954" s="2">
        <v>36526.777905092589</v>
      </c>
      <c r="I954">
        <v>16.75</v>
      </c>
      <c r="J954">
        <v>16.75</v>
      </c>
      <c r="K954" t="s">
        <v>13</v>
      </c>
      <c r="L954" t="s">
        <v>33</v>
      </c>
      <c r="M954" t="s">
        <v>82</v>
      </c>
      <c r="N954" t="s">
        <v>83</v>
      </c>
    </row>
    <row r="955" spans="1:14" x14ac:dyDescent="0.3">
      <c r="A955">
        <v>954</v>
      </c>
      <c r="B955">
        <v>418</v>
      </c>
      <c r="C955">
        <f>1/COUNTIF(pizza_sales[[#All],[order_id]],pizza_sales[[#This Row],[order_id]])</f>
        <v>0.5</v>
      </c>
      <c r="D955" t="s">
        <v>121</v>
      </c>
      <c r="E955">
        <v>1</v>
      </c>
      <c r="F955" s="1">
        <v>42011</v>
      </c>
      <c r="G955" s="1" t="str">
        <f>TEXT(pizza_sales[[#This Row],[order_date]],"dddd")</f>
        <v>Wednesday</v>
      </c>
      <c r="H955" s="2">
        <v>36526.777905092589</v>
      </c>
      <c r="I955">
        <v>16.25</v>
      </c>
      <c r="J955">
        <v>16.25</v>
      </c>
      <c r="K955" t="s">
        <v>13</v>
      </c>
      <c r="L955" t="s">
        <v>26</v>
      </c>
      <c r="M955" t="s">
        <v>114</v>
      </c>
      <c r="N955" t="s">
        <v>115</v>
      </c>
    </row>
    <row r="956" spans="1:14" x14ac:dyDescent="0.3">
      <c r="A956">
        <v>955</v>
      </c>
      <c r="B956">
        <v>419</v>
      </c>
      <c r="C956">
        <f>1/COUNTIF(pizza_sales[[#All],[order_id]],pizza_sales[[#This Row],[order_id]])</f>
        <v>0.25</v>
      </c>
      <c r="D956" t="s">
        <v>72</v>
      </c>
      <c r="E956">
        <v>1</v>
      </c>
      <c r="F956" s="1">
        <v>42011</v>
      </c>
      <c r="G956" s="1" t="str">
        <f>TEXT(pizza_sales[[#This Row],[order_date]],"dddd")</f>
        <v>Wednesday</v>
      </c>
      <c r="H956" s="2">
        <v>36526.793414351851</v>
      </c>
      <c r="I956">
        <v>20.75</v>
      </c>
      <c r="J956">
        <v>20.75</v>
      </c>
      <c r="K956" t="s">
        <v>21</v>
      </c>
      <c r="L956" t="s">
        <v>33</v>
      </c>
      <c r="M956" t="s">
        <v>42</v>
      </c>
      <c r="N956" t="s">
        <v>43</v>
      </c>
    </row>
    <row r="957" spans="1:14" x14ac:dyDescent="0.3">
      <c r="A957">
        <v>956</v>
      </c>
      <c r="B957">
        <v>419</v>
      </c>
      <c r="C957">
        <f>1/COUNTIF(pizza_sales[[#All],[order_id]],pizza_sales[[#This Row],[order_id]])</f>
        <v>0.25</v>
      </c>
      <c r="D957" t="s">
        <v>142</v>
      </c>
      <c r="E957">
        <v>1</v>
      </c>
      <c r="F957" s="1">
        <v>42011</v>
      </c>
      <c r="G957" s="1" t="str">
        <f>TEXT(pizza_sales[[#This Row],[order_date]],"dddd")</f>
        <v>Wednesday</v>
      </c>
      <c r="H957" s="2">
        <v>36526.793414351851</v>
      </c>
      <c r="I957">
        <v>16.5</v>
      </c>
      <c r="J957">
        <v>16.5</v>
      </c>
      <c r="K957" t="s">
        <v>21</v>
      </c>
      <c r="L957" t="s">
        <v>14</v>
      </c>
      <c r="M957" t="s">
        <v>15</v>
      </c>
      <c r="N957" t="s">
        <v>16</v>
      </c>
    </row>
    <row r="958" spans="1:14" x14ac:dyDescent="0.3">
      <c r="A958">
        <v>957</v>
      </c>
      <c r="B958">
        <v>419</v>
      </c>
      <c r="C958">
        <f>1/COUNTIF(pizza_sales[[#All],[order_id]],pizza_sales[[#This Row],[order_id]])</f>
        <v>0.25</v>
      </c>
      <c r="D958" t="s">
        <v>159</v>
      </c>
      <c r="E958">
        <v>1</v>
      </c>
      <c r="F958" s="1">
        <v>42011</v>
      </c>
      <c r="G958" s="1" t="str">
        <f>TEXT(pizza_sales[[#This Row],[order_date]],"dddd")</f>
        <v>Wednesday</v>
      </c>
      <c r="H958" s="2">
        <v>36526.793414351851</v>
      </c>
      <c r="I958">
        <v>16.75</v>
      </c>
      <c r="J958">
        <v>16.75</v>
      </c>
      <c r="K958" t="s">
        <v>13</v>
      </c>
      <c r="L958" t="s">
        <v>22</v>
      </c>
      <c r="M958" t="s">
        <v>101</v>
      </c>
      <c r="N958" t="s">
        <v>102</v>
      </c>
    </row>
    <row r="959" spans="1:14" x14ac:dyDescent="0.3">
      <c r="A959">
        <v>958</v>
      </c>
      <c r="B959">
        <v>419</v>
      </c>
      <c r="C959">
        <f>1/COUNTIF(pizza_sales[[#All],[order_id]],pizza_sales[[#This Row],[order_id]])</f>
        <v>0.25</v>
      </c>
      <c r="D959" t="s">
        <v>65</v>
      </c>
      <c r="E959">
        <v>1</v>
      </c>
      <c r="F959" s="1">
        <v>42011</v>
      </c>
      <c r="G959" s="1" t="str">
        <f>TEXT(pizza_sales[[#This Row],[order_date]],"dddd")</f>
        <v>Wednesday</v>
      </c>
      <c r="H959" s="2">
        <v>36526.793414351851</v>
      </c>
      <c r="I959">
        <v>12</v>
      </c>
      <c r="J959">
        <v>12</v>
      </c>
      <c r="K959" t="s">
        <v>41</v>
      </c>
      <c r="L959" t="s">
        <v>22</v>
      </c>
      <c r="M959" t="s">
        <v>66</v>
      </c>
      <c r="N959" t="s">
        <v>67</v>
      </c>
    </row>
    <row r="960" spans="1:14" x14ac:dyDescent="0.3">
      <c r="A960">
        <v>959</v>
      </c>
      <c r="B960">
        <v>420</v>
      </c>
      <c r="C960">
        <f>1/COUNTIF(pizza_sales[[#All],[order_id]],pizza_sales[[#This Row],[order_id]])</f>
        <v>0.5</v>
      </c>
      <c r="D960" t="s">
        <v>20</v>
      </c>
      <c r="E960">
        <v>1</v>
      </c>
      <c r="F960" s="1">
        <v>42011</v>
      </c>
      <c r="G960" s="1" t="str">
        <f>TEXT(pizza_sales[[#This Row],[order_date]],"dddd")</f>
        <v>Wednesday</v>
      </c>
      <c r="H960" s="2">
        <v>36526.794907407406</v>
      </c>
      <c r="I960">
        <v>18.5</v>
      </c>
      <c r="J960">
        <v>18.5</v>
      </c>
      <c r="K960" t="s">
        <v>21</v>
      </c>
      <c r="L960" t="s">
        <v>22</v>
      </c>
      <c r="M960" t="s">
        <v>23</v>
      </c>
      <c r="N960" t="s">
        <v>24</v>
      </c>
    </row>
    <row r="961" spans="1:14" x14ac:dyDescent="0.3">
      <c r="A961">
        <v>960</v>
      </c>
      <c r="B961">
        <v>420</v>
      </c>
      <c r="C961">
        <f>1/COUNTIF(pizza_sales[[#All],[order_id]],pizza_sales[[#This Row],[order_id]])</f>
        <v>0.5</v>
      </c>
      <c r="D961" t="s">
        <v>143</v>
      </c>
      <c r="E961">
        <v>1</v>
      </c>
      <c r="F961" s="1">
        <v>42011</v>
      </c>
      <c r="G961" s="1" t="str">
        <f>TEXT(pizza_sales[[#This Row],[order_date]],"dddd")</f>
        <v>Wednesday</v>
      </c>
      <c r="H961" s="2">
        <v>36526.794907407406</v>
      </c>
      <c r="I961">
        <v>11</v>
      </c>
      <c r="J961">
        <v>11</v>
      </c>
      <c r="K961" t="s">
        <v>41</v>
      </c>
      <c r="L961" t="s">
        <v>14</v>
      </c>
      <c r="M961" t="s">
        <v>130</v>
      </c>
      <c r="N961" t="s">
        <v>131</v>
      </c>
    </row>
    <row r="962" spans="1:14" x14ac:dyDescent="0.3">
      <c r="A962">
        <v>961</v>
      </c>
      <c r="B962">
        <v>421</v>
      </c>
      <c r="C962">
        <f>1/COUNTIF(pizza_sales[[#All],[order_id]],pizza_sales[[#This Row],[order_id]])</f>
        <v>0.33333333333333331</v>
      </c>
      <c r="D962" t="s">
        <v>72</v>
      </c>
      <c r="E962">
        <v>1</v>
      </c>
      <c r="F962" s="1">
        <v>42011</v>
      </c>
      <c r="G962" s="1" t="str">
        <f>TEXT(pizza_sales[[#This Row],[order_date]],"dddd")</f>
        <v>Wednesday</v>
      </c>
      <c r="H962" s="2">
        <v>36526.806921296295</v>
      </c>
      <c r="I962">
        <v>20.75</v>
      </c>
      <c r="J962">
        <v>20.75</v>
      </c>
      <c r="K962" t="s">
        <v>21</v>
      </c>
      <c r="L962" t="s">
        <v>33</v>
      </c>
      <c r="M962" t="s">
        <v>42</v>
      </c>
      <c r="N962" t="s">
        <v>43</v>
      </c>
    </row>
    <row r="963" spans="1:14" x14ac:dyDescent="0.3">
      <c r="A963">
        <v>962</v>
      </c>
      <c r="B963">
        <v>421</v>
      </c>
      <c r="C963">
        <f>1/COUNTIF(pizza_sales[[#All],[order_id]],pizza_sales[[#This Row],[order_id]])</f>
        <v>0.33333333333333331</v>
      </c>
      <c r="D963" t="s">
        <v>173</v>
      </c>
      <c r="E963">
        <v>1</v>
      </c>
      <c r="F963" s="1">
        <v>42011</v>
      </c>
      <c r="G963" s="1" t="str">
        <f>TEXT(pizza_sales[[#This Row],[order_date]],"dddd")</f>
        <v>Wednesday</v>
      </c>
      <c r="H963" s="2">
        <v>36526.806921296295</v>
      </c>
      <c r="I963">
        <v>20.25</v>
      </c>
      <c r="J963">
        <v>20.25</v>
      </c>
      <c r="K963" t="s">
        <v>21</v>
      </c>
      <c r="L963" t="s">
        <v>26</v>
      </c>
      <c r="M963" t="s">
        <v>97</v>
      </c>
      <c r="N963" t="s">
        <v>98</v>
      </c>
    </row>
    <row r="964" spans="1:14" x14ac:dyDescent="0.3">
      <c r="A964">
        <v>963</v>
      </c>
      <c r="B964">
        <v>421</v>
      </c>
      <c r="C964">
        <f>1/COUNTIF(pizza_sales[[#All],[order_id]],pizza_sales[[#This Row],[order_id]])</f>
        <v>0.33333333333333331</v>
      </c>
      <c r="D964" t="s">
        <v>156</v>
      </c>
      <c r="E964">
        <v>1</v>
      </c>
      <c r="F964" s="1">
        <v>42011</v>
      </c>
      <c r="G964" s="1" t="str">
        <f>TEXT(pizza_sales[[#This Row],[order_date]],"dddd")</f>
        <v>Wednesday</v>
      </c>
      <c r="H964" s="2">
        <v>36526.806921296295</v>
      </c>
      <c r="I964">
        <v>12.75</v>
      </c>
      <c r="J964">
        <v>12.75</v>
      </c>
      <c r="K964" t="s">
        <v>41</v>
      </c>
      <c r="L964" t="s">
        <v>33</v>
      </c>
      <c r="M964" t="s">
        <v>82</v>
      </c>
      <c r="N964" t="s">
        <v>83</v>
      </c>
    </row>
    <row r="965" spans="1:14" x14ac:dyDescent="0.3">
      <c r="A965">
        <v>964</v>
      </c>
      <c r="B965">
        <v>422</v>
      </c>
      <c r="C965">
        <f>1/COUNTIF(pizza_sales[[#All],[order_id]],pizza_sales[[#This Row],[order_id]])</f>
        <v>0.33333333333333331</v>
      </c>
      <c r="D965" t="s">
        <v>90</v>
      </c>
      <c r="E965">
        <v>1</v>
      </c>
      <c r="F965" s="1">
        <v>42011</v>
      </c>
      <c r="G965" s="1" t="str">
        <f>TEXT(pizza_sales[[#This Row],[order_date]],"dddd")</f>
        <v>Wednesday</v>
      </c>
      <c r="H965" s="2">
        <v>36526.812789351854</v>
      </c>
      <c r="I965">
        <v>17.95</v>
      </c>
      <c r="J965">
        <v>17.95</v>
      </c>
      <c r="K965" t="s">
        <v>21</v>
      </c>
      <c r="L965" t="s">
        <v>22</v>
      </c>
      <c r="M965" t="s">
        <v>91</v>
      </c>
      <c r="N965" t="s">
        <v>92</v>
      </c>
    </row>
    <row r="966" spans="1:14" x14ac:dyDescent="0.3">
      <c r="A966">
        <v>965</v>
      </c>
      <c r="B966">
        <v>422</v>
      </c>
      <c r="C966">
        <f>1/COUNTIF(pizza_sales[[#All],[order_id]],pizza_sales[[#This Row],[order_id]])</f>
        <v>0.33333333333333331</v>
      </c>
      <c r="D966" t="s">
        <v>36</v>
      </c>
      <c r="E966">
        <v>1</v>
      </c>
      <c r="F966" s="1">
        <v>42011</v>
      </c>
      <c r="G966" s="1" t="str">
        <f>TEXT(pizza_sales[[#This Row],[order_date]],"dddd")</f>
        <v>Wednesday</v>
      </c>
      <c r="H966" s="2">
        <v>36526.812789351854</v>
      </c>
      <c r="I966">
        <v>16.5</v>
      </c>
      <c r="J966">
        <v>16.5</v>
      </c>
      <c r="K966" t="s">
        <v>13</v>
      </c>
      <c r="L966" t="s">
        <v>26</v>
      </c>
      <c r="M966" t="s">
        <v>27</v>
      </c>
      <c r="N966" t="s">
        <v>28</v>
      </c>
    </row>
    <row r="967" spans="1:14" x14ac:dyDescent="0.3">
      <c r="A967">
        <v>966</v>
      </c>
      <c r="B967">
        <v>422</v>
      </c>
      <c r="C967">
        <f>1/COUNTIF(pizza_sales[[#All],[order_id]],pizza_sales[[#This Row],[order_id]])</f>
        <v>0.33333333333333331</v>
      </c>
      <c r="D967" t="s">
        <v>162</v>
      </c>
      <c r="E967">
        <v>1</v>
      </c>
      <c r="F967" s="1">
        <v>42011</v>
      </c>
      <c r="G967" s="1" t="str">
        <f>TEXT(pizza_sales[[#This Row],[order_date]],"dddd")</f>
        <v>Wednesday</v>
      </c>
      <c r="H967" s="2">
        <v>36526.812789351854</v>
      </c>
      <c r="I967">
        <v>16</v>
      </c>
      <c r="J967">
        <v>16</v>
      </c>
      <c r="K967" t="s">
        <v>13</v>
      </c>
      <c r="L967" t="s">
        <v>22</v>
      </c>
      <c r="M967" t="s">
        <v>110</v>
      </c>
      <c r="N967" t="s">
        <v>111</v>
      </c>
    </row>
    <row r="968" spans="1:14" x14ac:dyDescent="0.3">
      <c r="A968">
        <v>967</v>
      </c>
      <c r="B968">
        <v>423</v>
      </c>
      <c r="C968">
        <f>1/COUNTIF(pizza_sales[[#All],[order_id]],pizza_sales[[#This Row],[order_id]])</f>
        <v>0.5</v>
      </c>
      <c r="D968" t="s">
        <v>25</v>
      </c>
      <c r="E968">
        <v>1</v>
      </c>
      <c r="F968" s="1">
        <v>42011</v>
      </c>
      <c r="G968" s="1" t="str">
        <f>TEXT(pizza_sales[[#This Row],[order_date]],"dddd")</f>
        <v>Wednesday</v>
      </c>
      <c r="H968" s="2">
        <v>36526.822997685187</v>
      </c>
      <c r="I968">
        <v>20.75</v>
      </c>
      <c r="J968">
        <v>20.75</v>
      </c>
      <c r="K968" t="s">
        <v>21</v>
      </c>
      <c r="L968" t="s">
        <v>26</v>
      </c>
      <c r="M968" t="s">
        <v>27</v>
      </c>
      <c r="N968" t="s">
        <v>28</v>
      </c>
    </row>
    <row r="969" spans="1:14" x14ac:dyDescent="0.3">
      <c r="A969">
        <v>968</v>
      </c>
      <c r="B969">
        <v>423</v>
      </c>
      <c r="C969">
        <f>1/COUNTIF(pizza_sales[[#All],[order_id]],pizza_sales[[#This Row],[order_id]])</f>
        <v>0.5</v>
      </c>
      <c r="D969" t="s">
        <v>149</v>
      </c>
      <c r="E969">
        <v>1</v>
      </c>
      <c r="F969" s="1">
        <v>42011</v>
      </c>
      <c r="G969" s="1" t="str">
        <f>TEXT(pizza_sales[[#This Row],[order_date]],"dddd")</f>
        <v>Wednesday</v>
      </c>
      <c r="H969" s="2">
        <v>36526.822997685187</v>
      </c>
      <c r="I969">
        <v>12.25</v>
      </c>
      <c r="J969">
        <v>12.25</v>
      </c>
      <c r="K969" t="s">
        <v>41</v>
      </c>
      <c r="L969" t="s">
        <v>26</v>
      </c>
      <c r="M969" t="s">
        <v>114</v>
      </c>
      <c r="N969" t="s">
        <v>115</v>
      </c>
    </row>
    <row r="970" spans="1:14" x14ac:dyDescent="0.3">
      <c r="A970">
        <v>969</v>
      </c>
      <c r="B970">
        <v>424</v>
      </c>
      <c r="C970">
        <f>1/COUNTIF(pizza_sales[[#All],[order_id]],pizza_sales[[#This Row],[order_id]])</f>
        <v>1</v>
      </c>
      <c r="D970" t="s">
        <v>119</v>
      </c>
      <c r="E970">
        <v>1</v>
      </c>
      <c r="F970" s="1">
        <v>42011</v>
      </c>
      <c r="G970" s="1" t="str">
        <f>TEXT(pizza_sales[[#This Row],[order_date]],"dddd")</f>
        <v>Wednesday</v>
      </c>
      <c r="H970" s="2">
        <v>36526.834351851852</v>
      </c>
      <c r="I970">
        <v>12.5</v>
      </c>
      <c r="J970">
        <v>12.5</v>
      </c>
      <c r="K970" t="s">
        <v>13</v>
      </c>
      <c r="L970" t="s">
        <v>14</v>
      </c>
      <c r="M970" t="s">
        <v>78</v>
      </c>
      <c r="N970" t="s">
        <v>79</v>
      </c>
    </row>
    <row r="971" spans="1:14" x14ac:dyDescent="0.3">
      <c r="A971">
        <v>970</v>
      </c>
      <c r="B971">
        <v>425</v>
      </c>
      <c r="C971">
        <f>1/COUNTIF(pizza_sales[[#All],[order_id]],pizza_sales[[#This Row],[order_id]])</f>
        <v>1</v>
      </c>
      <c r="D971" t="s">
        <v>171</v>
      </c>
      <c r="E971">
        <v>1</v>
      </c>
      <c r="F971" s="1">
        <v>42011</v>
      </c>
      <c r="G971" s="1" t="str">
        <f>TEXT(pizza_sales[[#This Row],[order_date]],"dddd")</f>
        <v>Wednesday</v>
      </c>
      <c r="H971" s="2">
        <v>36526.848136574074</v>
      </c>
      <c r="I971">
        <v>16.5</v>
      </c>
      <c r="J971">
        <v>16.5</v>
      </c>
      <c r="K971" t="s">
        <v>13</v>
      </c>
      <c r="L971" t="s">
        <v>26</v>
      </c>
      <c r="M971" t="s">
        <v>88</v>
      </c>
      <c r="N971" t="s">
        <v>89</v>
      </c>
    </row>
    <row r="972" spans="1:14" x14ac:dyDescent="0.3">
      <c r="A972">
        <v>971</v>
      </c>
      <c r="B972">
        <v>426</v>
      </c>
      <c r="C972">
        <f>1/COUNTIF(pizza_sales[[#All],[order_id]],pizza_sales[[#This Row],[order_id]])</f>
        <v>0.33333333333333331</v>
      </c>
      <c r="D972" t="s">
        <v>17</v>
      </c>
      <c r="E972">
        <v>1</v>
      </c>
      <c r="F972" s="1">
        <v>42011</v>
      </c>
      <c r="G972" s="1" t="str">
        <f>TEXT(pizza_sales[[#This Row],[order_date]],"dddd")</f>
        <v>Wednesday</v>
      </c>
      <c r="H972" s="2">
        <v>36526.851215277777</v>
      </c>
      <c r="I972">
        <v>16</v>
      </c>
      <c r="J972">
        <v>16</v>
      </c>
      <c r="K972" t="s">
        <v>13</v>
      </c>
      <c r="L972" t="s">
        <v>14</v>
      </c>
      <c r="M972" t="s">
        <v>18</v>
      </c>
      <c r="N972" t="s">
        <v>19</v>
      </c>
    </row>
    <row r="973" spans="1:14" x14ac:dyDescent="0.3">
      <c r="A973">
        <v>972</v>
      </c>
      <c r="B973">
        <v>426</v>
      </c>
      <c r="C973">
        <f>1/COUNTIF(pizza_sales[[#All],[order_id]],pizza_sales[[#This Row],[order_id]])</f>
        <v>0.33333333333333331</v>
      </c>
      <c r="D973" t="s">
        <v>149</v>
      </c>
      <c r="E973">
        <v>1</v>
      </c>
      <c r="F973" s="1">
        <v>42011</v>
      </c>
      <c r="G973" s="1" t="str">
        <f>TEXT(pizza_sales[[#This Row],[order_date]],"dddd")</f>
        <v>Wednesday</v>
      </c>
      <c r="H973" s="2">
        <v>36526.851215277777</v>
      </c>
      <c r="I973">
        <v>12.25</v>
      </c>
      <c r="J973">
        <v>12.25</v>
      </c>
      <c r="K973" t="s">
        <v>41</v>
      </c>
      <c r="L973" t="s">
        <v>26</v>
      </c>
      <c r="M973" t="s">
        <v>114</v>
      </c>
      <c r="N973" t="s">
        <v>115</v>
      </c>
    </row>
    <row r="974" spans="1:14" x14ac:dyDescent="0.3">
      <c r="A974">
        <v>973</v>
      </c>
      <c r="B974">
        <v>426</v>
      </c>
      <c r="C974">
        <f>1/COUNTIF(pizza_sales[[#All],[order_id]],pizza_sales[[#This Row],[order_id]])</f>
        <v>0.33333333333333331</v>
      </c>
      <c r="D974" t="s">
        <v>171</v>
      </c>
      <c r="E974">
        <v>1</v>
      </c>
      <c r="F974" s="1">
        <v>42011</v>
      </c>
      <c r="G974" s="1" t="str">
        <f>TEXT(pizza_sales[[#This Row],[order_date]],"dddd")</f>
        <v>Wednesday</v>
      </c>
      <c r="H974" s="2">
        <v>36526.851215277777</v>
      </c>
      <c r="I974">
        <v>16.5</v>
      </c>
      <c r="J974">
        <v>16.5</v>
      </c>
      <c r="K974" t="s">
        <v>13</v>
      </c>
      <c r="L974" t="s">
        <v>26</v>
      </c>
      <c r="M974" t="s">
        <v>88</v>
      </c>
      <c r="N974" t="s">
        <v>89</v>
      </c>
    </row>
    <row r="975" spans="1:14" x14ac:dyDescent="0.3">
      <c r="A975">
        <v>974</v>
      </c>
      <c r="B975">
        <v>427</v>
      </c>
      <c r="C975">
        <f>1/COUNTIF(pizza_sales[[#All],[order_id]],pizza_sales[[#This Row],[order_id]])</f>
        <v>1</v>
      </c>
      <c r="D975" t="s">
        <v>109</v>
      </c>
      <c r="E975">
        <v>1</v>
      </c>
      <c r="F975" s="1">
        <v>42011</v>
      </c>
      <c r="G975" s="1" t="str">
        <f>TEXT(pizza_sales[[#This Row],[order_date]],"dddd")</f>
        <v>Wednesday</v>
      </c>
      <c r="H975" s="2">
        <v>36526.90902777778</v>
      </c>
      <c r="I975">
        <v>20.25</v>
      </c>
      <c r="J975">
        <v>20.25</v>
      </c>
      <c r="K975" t="s">
        <v>21</v>
      </c>
      <c r="L975" t="s">
        <v>22</v>
      </c>
      <c r="M975" t="s">
        <v>110</v>
      </c>
      <c r="N975" t="s">
        <v>111</v>
      </c>
    </row>
    <row r="976" spans="1:14" x14ac:dyDescent="0.3">
      <c r="A976">
        <v>975</v>
      </c>
      <c r="B976">
        <v>428</v>
      </c>
      <c r="C976">
        <f>1/COUNTIF(pizza_sales[[#All],[order_id]],pizza_sales[[#This Row],[order_id]])</f>
        <v>0.5</v>
      </c>
      <c r="D976" t="s">
        <v>173</v>
      </c>
      <c r="E976">
        <v>1</v>
      </c>
      <c r="F976" s="1">
        <v>42011</v>
      </c>
      <c r="G976" s="1" t="str">
        <f>TEXT(pizza_sales[[#This Row],[order_date]],"dddd")</f>
        <v>Wednesday</v>
      </c>
      <c r="H976" s="2">
        <v>36526.920138888891</v>
      </c>
      <c r="I976">
        <v>20.25</v>
      </c>
      <c r="J976">
        <v>20.25</v>
      </c>
      <c r="K976" t="s">
        <v>21</v>
      </c>
      <c r="L976" t="s">
        <v>26</v>
      </c>
      <c r="M976" t="s">
        <v>97</v>
      </c>
      <c r="N976" t="s">
        <v>98</v>
      </c>
    </row>
    <row r="977" spans="1:14" x14ac:dyDescent="0.3">
      <c r="A977">
        <v>976</v>
      </c>
      <c r="B977">
        <v>428</v>
      </c>
      <c r="C977">
        <f>1/COUNTIF(pizza_sales[[#All],[order_id]],pizza_sales[[#This Row],[order_id]])</f>
        <v>0.5</v>
      </c>
      <c r="D977" t="s">
        <v>160</v>
      </c>
      <c r="E977">
        <v>1</v>
      </c>
      <c r="F977" s="1">
        <v>42011</v>
      </c>
      <c r="G977" s="1" t="str">
        <f>TEXT(pizza_sales[[#This Row],[order_date]],"dddd")</f>
        <v>Wednesday</v>
      </c>
      <c r="H977" s="2">
        <v>36526.920138888891</v>
      </c>
      <c r="I977">
        <v>12</v>
      </c>
      <c r="J977">
        <v>12</v>
      </c>
      <c r="K977" t="s">
        <v>41</v>
      </c>
      <c r="L977" t="s">
        <v>14</v>
      </c>
      <c r="M977" t="s">
        <v>55</v>
      </c>
      <c r="N977" t="s">
        <v>56</v>
      </c>
    </row>
    <row r="978" spans="1:14" x14ac:dyDescent="0.3">
      <c r="A978">
        <v>977</v>
      </c>
      <c r="B978">
        <v>429</v>
      </c>
      <c r="C978">
        <f>1/COUNTIF(pizza_sales[[#All],[order_id]],pizza_sales[[#This Row],[order_id]])</f>
        <v>1</v>
      </c>
      <c r="D978" t="s">
        <v>158</v>
      </c>
      <c r="E978">
        <v>1</v>
      </c>
      <c r="F978" s="1">
        <v>42011</v>
      </c>
      <c r="G978" s="1" t="str">
        <f>TEXT(pizza_sales[[#This Row],[order_date]],"dddd")</f>
        <v>Wednesday</v>
      </c>
      <c r="H978" s="2">
        <v>36526.928391203706</v>
      </c>
      <c r="I978">
        <v>16.5</v>
      </c>
      <c r="J978">
        <v>16.5</v>
      </c>
      <c r="K978" t="s">
        <v>13</v>
      </c>
      <c r="L978" t="s">
        <v>26</v>
      </c>
      <c r="M978" t="s">
        <v>60</v>
      </c>
      <c r="N978" t="s">
        <v>61</v>
      </c>
    </row>
    <row r="979" spans="1:14" x14ac:dyDescent="0.3">
      <c r="A979">
        <v>978</v>
      </c>
      <c r="B979">
        <v>430</v>
      </c>
      <c r="C979">
        <f>1/COUNTIF(pizza_sales[[#All],[order_id]],pizza_sales[[#This Row],[order_id]])</f>
        <v>0.5</v>
      </c>
      <c r="D979" t="s">
        <v>128</v>
      </c>
      <c r="E979">
        <v>1</v>
      </c>
      <c r="F979" s="1">
        <v>42011</v>
      </c>
      <c r="G979" s="1" t="str">
        <f>TEXT(pizza_sales[[#This Row],[order_date]],"dddd")</f>
        <v>Wednesday</v>
      </c>
      <c r="H979" s="2">
        <v>36526.948761574073</v>
      </c>
      <c r="I979">
        <v>16</v>
      </c>
      <c r="J979">
        <v>16</v>
      </c>
      <c r="K979" t="s">
        <v>13</v>
      </c>
      <c r="L979" t="s">
        <v>22</v>
      </c>
      <c r="M979" t="s">
        <v>52</v>
      </c>
      <c r="N979" t="s">
        <v>53</v>
      </c>
    </row>
    <row r="980" spans="1:14" x14ac:dyDescent="0.3">
      <c r="A980">
        <v>979</v>
      </c>
      <c r="B980">
        <v>430</v>
      </c>
      <c r="C980">
        <f>1/COUNTIF(pizza_sales[[#All],[order_id]],pizza_sales[[#This Row],[order_id]])</f>
        <v>0.5</v>
      </c>
      <c r="D980" t="s">
        <v>149</v>
      </c>
      <c r="E980">
        <v>1</v>
      </c>
      <c r="F980" s="1">
        <v>42011</v>
      </c>
      <c r="G980" s="1" t="str">
        <f>TEXT(pizza_sales[[#This Row],[order_date]],"dddd")</f>
        <v>Wednesday</v>
      </c>
      <c r="H980" s="2">
        <v>36526.948761574073</v>
      </c>
      <c r="I980">
        <v>12.25</v>
      </c>
      <c r="J980">
        <v>12.25</v>
      </c>
      <c r="K980" t="s">
        <v>41</v>
      </c>
      <c r="L980" t="s">
        <v>26</v>
      </c>
      <c r="M980" t="s">
        <v>114</v>
      </c>
      <c r="N980" t="s">
        <v>115</v>
      </c>
    </row>
    <row r="981" spans="1:14" x14ac:dyDescent="0.3">
      <c r="A981">
        <v>980</v>
      </c>
      <c r="B981">
        <v>431</v>
      </c>
      <c r="C981">
        <f>1/COUNTIF(pizza_sales[[#All],[order_id]],pizza_sales[[#This Row],[order_id]])</f>
        <v>0.25</v>
      </c>
      <c r="D981" t="s">
        <v>84</v>
      </c>
      <c r="E981">
        <v>1</v>
      </c>
      <c r="F981" s="1">
        <v>42012</v>
      </c>
      <c r="G981" s="1" t="str">
        <f>TEXT(pizza_sales[[#This Row],[order_date]],"dddd")</f>
        <v>Thursday</v>
      </c>
      <c r="H981" s="2">
        <v>36526.470289351855</v>
      </c>
      <c r="I981">
        <v>12</v>
      </c>
      <c r="J981">
        <v>12</v>
      </c>
      <c r="K981" t="s">
        <v>41</v>
      </c>
      <c r="L981" t="s">
        <v>14</v>
      </c>
      <c r="M981" t="s">
        <v>85</v>
      </c>
      <c r="N981" t="s">
        <v>86</v>
      </c>
    </row>
    <row r="982" spans="1:14" x14ac:dyDescent="0.3">
      <c r="A982">
        <v>981</v>
      </c>
      <c r="B982">
        <v>431</v>
      </c>
      <c r="C982">
        <f>1/COUNTIF(pizza_sales[[#All],[order_id]],pizza_sales[[#This Row],[order_id]])</f>
        <v>0.25</v>
      </c>
      <c r="D982" t="s">
        <v>123</v>
      </c>
      <c r="E982">
        <v>1</v>
      </c>
      <c r="F982" s="1">
        <v>42012</v>
      </c>
      <c r="G982" s="1" t="str">
        <f>TEXT(pizza_sales[[#This Row],[order_date]],"dddd")</f>
        <v>Thursday</v>
      </c>
      <c r="H982" s="2">
        <v>36526.470289351855</v>
      </c>
      <c r="I982">
        <v>12.75</v>
      </c>
      <c r="J982">
        <v>12.75</v>
      </c>
      <c r="K982" t="s">
        <v>41</v>
      </c>
      <c r="L982" t="s">
        <v>33</v>
      </c>
      <c r="M982" t="s">
        <v>124</v>
      </c>
      <c r="N982" t="s">
        <v>125</v>
      </c>
    </row>
    <row r="983" spans="1:14" x14ac:dyDescent="0.3">
      <c r="A983">
        <v>982</v>
      </c>
      <c r="B983">
        <v>431</v>
      </c>
      <c r="C983">
        <f>1/COUNTIF(pizza_sales[[#All],[order_id]],pizza_sales[[#This Row],[order_id]])</f>
        <v>0.25</v>
      </c>
      <c r="D983" t="s">
        <v>90</v>
      </c>
      <c r="E983">
        <v>1</v>
      </c>
      <c r="F983" s="1">
        <v>42012</v>
      </c>
      <c r="G983" s="1" t="str">
        <f>TEXT(pizza_sales[[#This Row],[order_date]],"dddd")</f>
        <v>Thursday</v>
      </c>
      <c r="H983" s="2">
        <v>36526.470289351855</v>
      </c>
      <c r="I983">
        <v>17.95</v>
      </c>
      <c r="J983">
        <v>17.95</v>
      </c>
      <c r="K983" t="s">
        <v>21</v>
      </c>
      <c r="L983" t="s">
        <v>22</v>
      </c>
      <c r="M983" t="s">
        <v>91</v>
      </c>
      <c r="N983" t="s">
        <v>92</v>
      </c>
    </row>
    <row r="984" spans="1:14" x14ac:dyDescent="0.3">
      <c r="A984">
        <v>983</v>
      </c>
      <c r="B984">
        <v>431</v>
      </c>
      <c r="C984">
        <f>1/COUNTIF(pizza_sales[[#All],[order_id]],pizza_sales[[#This Row],[order_id]])</f>
        <v>0.25</v>
      </c>
      <c r="D984" t="s">
        <v>142</v>
      </c>
      <c r="E984">
        <v>1</v>
      </c>
      <c r="F984" s="1">
        <v>42012</v>
      </c>
      <c r="G984" s="1" t="str">
        <f>TEXT(pizza_sales[[#This Row],[order_date]],"dddd")</f>
        <v>Thursday</v>
      </c>
      <c r="H984" s="2">
        <v>36526.470289351855</v>
      </c>
      <c r="I984">
        <v>16.5</v>
      </c>
      <c r="J984">
        <v>16.5</v>
      </c>
      <c r="K984" t="s">
        <v>21</v>
      </c>
      <c r="L984" t="s">
        <v>14</v>
      </c>
      <c r="M984" t="s">
        <v>15</v>
      </c>
      <c r="N984" t="s">
        <v>16</v>
      </c>
    </row>
    <row r="985" spans="1:14" x14ac:dyDescent="0.3">
      <c r="A985">
        <v>984</v>
      </c>
      <c r="B985">
        <v>432</v>
      </c>
      <c r="C985">
        <f>1/COUNTIF(pizza_sales[[#All],[order_id]],pizza_sales[[#This Row],[order_id]])</f>
        <v>0.33333333333333331</v>
      </c>
      <c r="D985" t="s">
        <v>160</v>
      </c>
      <c r="E985">
        <v>1</v>
      </c>
      <c r="F985" s="1">
        <v>42012</v>
      </c>
      <c r="G985" s="1" t="str">
        <f>TEXT(pizza_sales[[#This Row],[order_date]],"dddd")</f>
        <v>Thursday</v>
      </c>
      <c r="H985" s="2">
        <v>36526.485497685186</v>
      </c>
      <c r="I985">
        <v>12</v>
      </c>
      <c r="J985">
        <v>12</v>
      </c>
      <c r="K985" t="s">
        <v>41</v>
      </c>
      <c r="L985" t="s">
        <v>14</v>
      </c>
      <c r="M985" t="s">
        <v>55</v>
      </c>
      <c r="N985" t="s">
        <v>56</v>
      </c>
    </row>
    <row r="986" spans="1:14" x14ac:dyDescent="0.3">
      <c r="A986">
        <v>985</v>
      </c>
      <c r="B986">
        <v>432</v>
      </c>
      <c r="C986">
        <f>1/COUNTIF(pizza_sales[[#All],[order_id]],pizza_sales[[#This Row],[order_id]])</f>
        <v>0.33333333333333331</v>
      </c>
      <c r="D986" t="s">
        <v>32</v>
      </c>
      <c r="E986">
        <v>1</v>
      </c>
      <c r="F986" s="1">
        <v>42012</v>
      </c>
      <c r="G986" s="1" t="str">
        <f>TEXT(pizza_sales[[#This Row],[order_date]],"dddd")</f>
        <v>Thursday</v>
      </c>
      <c r="H986" s="2">
        <v>36526.485497685186</v>
      </c>
      <c r="I986">
        <v>20.75</v>
      </c>
      <c r="J986">
        <v>20.75</v>
      </c>
      <c r="K986" t="s">
        <v>21</v>
      </c>
      <c r="L986" t="s">
        <v>33</v>
      </c>
      <c r="M986" t="s">
        <v>34</v>
      </c>
      <c r="N986" t="s">
        <v>35</v>
      </c>
    </row>
    <row r="987" spans="1:14" x14ac:dyDescent="0.3">
      <c r="A987">
        <v>986</v>
      </c>
      <c r="B987">
        <v>432</v>
      </c>
      <c r="C987">
        <f>1/COUNTIF(pizza_sales[[#All],[order_id]],pizza_sales[[#This Row],[order_id]])</f>
        <v>0.33333333333333331</v>
      </c>
      <c r="D987" t="s">
        <v>65</v>
      </c>
      <c r="E987">
        <v>1</v>
      </c>
      <c r="F987" s="1">
        <v>42012</v>
      </c>
      <c r="G987" s="1" t="str">
        <f>TEXT(pizza_sales[[#This Row],[order_date]],"dddd")</f>
        <v>Thursday</v>
      </c>
      <c r="H987" s="2">
        <v>36526.485497685186</v>
      </c>
      <c r="I987">
        <v>12</v>
      </c>
      <c r="J987">
        <v>12</v>
      </c>
      <c r="K987" t="s">
        <v>41</v>
      </c>
      <c r="L987" t="s">
        <v>22</v>
      </c>
      <c r="M987" t="s">
        <v>66</v>
      </c>
      <c r="N987" t="s">
        <v>67</v>
      </c>
    </row>
    <row r="988" spans="1:14" x14ac:dyDescent="0.3">
      <c r="A988">
        <v>987</v>
      </c>
      <c r="B988">
        <v>433</v>
      </c>
      <c r="C988">
        <f>1/COUNTIF(pizza_sales[[#All],[order_id]],pizza_sales[[#This Row],[order_id]])</f>
        <v>1</v>
      </c>
      <c r="D988" t="s">
        <v>59</v>
      </c>
      <c r="E988">
        <v>1</v>
      </c>
      <c r="F988" s="1">
        <v>42012</v>
      </c>
      <c r="G988" s="1" t="str">
        <f>TEXT(pizza_sales[[#This Row],[order_date]],"dddd")</f>
        <v>Thursday</v>
      </c>
      <c r="H988" s="2">
        <v>36526.492939814816</v>
      </c>
      <c r="I988">
        <v>20.75</v>
      </c>
      <c r="J988">
        <v>20.75</v>
      </c>
      <c r="K988" t="s">
        <v>21</v>
      </c>
      <c r="L988" t="s">
        <v>26</v>
      </c>
      <c r="M988" t="s">
        <v>60</v>
      </c>
      <c r="N988" t="s">
        <v>61</v>
      </c>
    </row>
    <row r="989" spans="1:14" x14ac:dyDescent="0.3">
      <c r="A989">
        <v>988</v>
      </c>
      <c r="B989">
        <v>434</v>
      </c>
      <c r="C989">
        <f>1/COUNTIF(pizza_sales[[#All],[order_id]],pizza_sales[[#This Row],[order_id]])</f>
        <v>0.33333333333333331</v>
      </c>
      <c r="D989" t="s">
        <v>163</v>
      </c>
      <c r="E989">
        <v>1</v>
      </c>
      <c r="F989" s="1">
        <v>42012</v>
      </c>
      <c r="G989" s="1" t="str">
        <f>TEXT(pizza_sales[[#This Row],[order_date]],"dddd")</f>
        <v>Thursday</v>
      </c>
      <c r="H989" s="2">
        <v>36526.495995370373</v>
      </c>
      <c r="I989">
        <v>16</v>
      </c>
      <c r="J989">
        <v>16</v>
      </c>
      <c r="K989" t="s">
        <v>13</v>
      </c>
      <c r="L989" t="s">
        <v>14</v>
      </c>
      <c r="M989" t="s">
        <v>94</v>
      </c>
      <c r="N989" t="s">
        <v>95</v>
      </c>
    </row>
    <row r="990" spans="1:14" x14ac:dyDescent="0.3">
      <c r="A990">
        <v>989</v>
      </c>
      <c r="B990">
        <v>434</v>
      </c>
      <c r="C990">
        <f>1/COUNTIF(pizza_sales[[#All],[order_id]],pizza_sales[[#This Row],[order_id]])</f>
        <v>0.33333333333333331</v>
      </c>
      <c r="D990" t="s">
        <v>59</v>
      </c>
      <c r="E990">
        <v>1</v>
      </c>
      <c r="F990" s="1">
        <v>42012</v>
      </c>
      <c r="G990" s="1" t="str">
        <f>TEXT(pizza_sales[[#This Row],[order_date]],"dddd")</f>
        <v>Thursday</v>
      </c>
      <c r="H990" s="2">
        <v>36526.495995370373</v>
      </c>
      <c r="I990">
        <v>20.75</v>
      </c>
      <c r="J990">
        <v>20.75</v>
      </c>
      <c r="K990" t="s">
        <v>21</v>
      </c>
      <c r="L990" t="s">
        <v>26</v>
      </c>
      <c r="M990" t="s">
        <v>60</v>
      </c>
      <c r="N990" t="s">
        <v>61</v>
      </c>
    </row>
    <row r="991" spans="1:14" x14ac:dyDescent="0.3">
      <c r="A991">
        <v>990</v>
      </c>
      <c r="B991">
        <v>434</v>
      </c>
      <c r="C991">
        <f>1/COUNTIF(pizza_sales[[#All],[order_id]],pizza_sales[[#This Row],[order_id]])</f>
        <v>0.33333333333333331</v>
      </c>
      <c r="D991" t="s">
        <v>122</v>
      </c>
      <c r="E991">
        <v>1</v>
      </c>
      <c r="F991" s="1">
        <v>42012</v>
      </c>
      <c r="G991" s="1" t="str">
        <f>TEXT(pizza_sales[[#This Row],[order_date]],"dddd")</f>
        <v>Thursday</v>
      </c>
      <c r="H991" s="2">
        <v>36526.495995370373</v>
      </c>
      <c r="I991">
        <v>20.25</v>
      </c>
      <c r="J991">
        <v>20.25</v>
      </c>
      <c r="K991" t="s">
        <v>21</v>
      </c>
      <c r="L991" t="s">
        <v>22</v>
      </c>
      <c r="M991" t="s">
        <v>66</v>
      </c>
      <c r="N991" t="s">
        <v>67</v>
      </c>
    </row>
    <row r="992" spans="1:14" x14ac:dyDescent="0.3">
      <c r="A992">
        <v>991</v>
      </c>
      <c r="B992">
        <v>435</v>
      </c>
      <c r="C992">
        <f>1/COUNTIF(pizza_sales[[#All],[order_id]],pizza_sales[[#This Row],[order_id]])</f>
        <v>0.33333333333333331</v>
      </c>
      <c r="D992" t="s">
        <v>17</v>
      </c>
      <c r="E992">
        <v>1</v>
      </c>
      <c r="F992" s="1">
        <v>42012</v>
      </c>
      <c r="G992" s="1" t="str">
        <f>TEXT(pizza_sales[[#This Row],[order_date]],"dddd")</f>
        <v>Thursday</v>
      </c>
      <c r="H992" s="2">
        <v>36526.504270833335</v>
      </c>
      <c r="I992">
        <v>16</v>
      </c>
      <c r="J992">
        <v>16</v>
      </c>
      <c r="K992" t="s">
        <v>13</v>
      </c>
      <c r="L992" t="s">
        <v>14</v>
      </c>
      <c r="M992" t="s">
        <v>18</v>
      </c>
      <c r="N992" t="s">
        <v>19</v>
      </c>
    </row>
    <row r="993" spans="1:14" x14ac:dyDescent="0.3">
      <c r="A993">
        <v>992</v>
      </c>
      <c r="B993">
        <v>435</v>
      </c>
      <c r="C993">
        <f>1/COUNTIF(pizza_sales[[#All],[order_id]],pizza_sales[[#This Row],[order_id]])</f>
        <v>0.33333333333333331</v>
      </c>
      <c r="D993" t="s">
        <v>148</v>
      </c>
      <c r="E993">
        <v>1</v>
      </c>
      <c r="F993" s="1">
        <v>42012</v>
      </c>
      <c r="G993" s="1" t="str">
        <f>TEXT(pizza_sales[[#This Row],[order_date]],"dddd")</f>
        <v>Thursday</v>
      </c>
      <c r="H993" s="2">
        <v>36526.504270833335</v>
      </c>
      <c r="I993">
        <v>14.5</v>
      </c>
      <c r="J993">
        <v>14.5</v>
      </c>
      <c r="K993" t="s">
        <v>13</v>
      </c>
      <c r="L993" t="s">
        <v>14</v>
      </c>
      <c r="M993" t="s">
        <v>130</v>
      </c>
      <c r="N993" t="s">
        <v>131</v>
      </c>
    </row>
    <row r="994" spans="1:14" x14ac:dyDescent="0.3">
      <c r="A994">
        <v>993</v>
      </c>
      <c r="B994">
        <v>435</v>
      </c>
      <c r="C994">
        <f>1/COUNTIF(pizza_sales[[#All],[order_id]],pizza_sales[[#This Row],[order_id]])</f>
        <v>0.33333333333333331</v>
      </c>
      <c r="D994" t="s">
        <v>47</v>
      </c>
      <c r="E994">
        <v>1</v>
      </c>
      <c r="F994" s="1">
        <v>42012</v>
      </c>
      <c r="G994" s="1" t="str">
        <f>TEXT(pizza_sales[[#This Row],[order_date]],"dddd")</f>
        <v>Thursday</v>
      </c>
      <c r="H994" s="2">
        <v>36526.504270833335</v>
      </c>
      <c r="I994">
        <v>12.5</v>
      </c>
      <c r="J994">
        <v>12.5</v>
      </c>
      <c r="K994" t="s">
        <v>41</v>
      </c>
      <c r="L994" t="s">
        <v>26</v>
      </c>
      <c r="M994" t="s">
        <v>48</v>
      </c>
      <c r="N994" t="s">
        <v>49</v>
      </c>
    </row>
    <row r="995" spans="1:14" x14ac:dyDescent="0.3">
      <c r="A995">
        <v>994</v>
      </c>
      <c r="B995">
        <v>436</v>
      </c>
      <c r="C995">
        <f>1/COUNTIF(pizza_sales[[#All],[order_id]],pizza_sales[[#This Row],[order_id]])</f>
        <v>0.25</v>
      </c>
      <c r="D995" t="s">
        <v>138</v>
      </c>
      <c r="E995">
        <v>1</v>
      </c>
      <c r="F995" s="1">
        <v>42012</v>
      </c>
      <c r="G995" s="1" t="str">
        <f>TEXT(pizza_sales[[#This Row],[order_date]],"dddd")</f>
        <v>Thursday</v>
      </c>
      <c r="H995" s="2">
        <v>36526.505104166667</v>
      </c>
      <c r="I995">
        <v>20.5</v>
      </c>
      <c r="J995">
        <v>20.5</v>
      </c>
      <c r="K995" t="s">
        <v>21</v>
      </c>
      <c r="L995" t="s">
        <v>14</v>
      </c>
      <c r="M995" t="s">
        <v>18</v>
      </c>
      <c r="N995" t="s">
        <v>19</v>
      </c>
    </row>
    <row r="996" spans="1:14" x14ac:dyDescent="0.3">
      <c r="A996">
        <v>995</v>
      </c>
      <c r="B996">
        <v>436</v>
      </c>
      <c r="C996">
        <f>1/COUNTIF(pizza_sales[[#All],[order_id]],pizza_sales[[#This Row],[order_id]])</f>
        <v>0.25</v>
      </c>
      <c r="D996" t="s">
        <v>36</v>
      </c>
      <c r="E996">
        <v>1</v>
      </c>
      <c r="F996" s="1">
        <v>42012</v>
      </c>
      <c r="G996" s="1" t="str">
        <f>TEXT(pizza_sales[[#This Row],[order_date]],"dddd")</f>
        <v>Thursday</v>
      </c>
      <c r="H996" s="2">
        <v>36526.505104166667</v>
      </c>
      <c r="I996">
        <v>16.5</v>
      </c>
      <c r="J996">
        <v>16.5</v>
      </c>
      <c r="K996" t="s">
        <v>13</v>
      </c>
      <c r="L996" t="s">
        <v>26</v>
      </c>
      <c r="M996" t="s">
        <v>27</v>
      </c>
      <c r="N996" t="s">
        <v>28</v>
      </c>
    </row>
    <row r="997" spans="1:14" x14ac:dyDescent="0.3">
      <c r="A997">
        <v>996</v>
      </c>
      <c r="B997">
        <v>436</v>
      </c>
      <c r="C997">
        <f>1/COUNTIF(pizza_sales[[#All],[order_id]],pizza_sales[[#This Row],[order_id]])</f>
        <v>0.25</v>
      </c>
      <c r="D997" t="s">
        <v>143</v>
      </c>
      <c r="E997">
        <v>1</v>
      </c>
      <c r="F997" s="1">
        <v>42012</v>
      </c>
      <c r="G997" s="1" t="str">
        <f>TEXT(pizza_sales[[#This Row],[order_date]],"dddd")</f>
        <v>Thursday</v>
      </c>
      <c r="H997" s="2">
        <v>36526.505104166667</v>
      </c>
      <c r="I997">
        <v>11</v>
      </c>
      <c r="J997">
        <v>11</v>
      </c>
      <c r="K997" t="s">
        <v>41</v>
      </c>
      <c r="L997" t="s">
        <v>14</v>
      </c>
      <c r="M997" t="s">
        <v>130</v>
      </c>
      <c r="N997" t="s">
        <v>131</v>
      </c>
    </row>
    <row r="998" spans="1:14" x14ac:dyDescent="0.3">
      <c r="A998">
        <v>997</v>
      </c>
      <c r="B998">
        <v>436</v>
      </c>
      <c r="C998">
        <f>1/COUNTIF(pizza_sales[[#All],[order_id]],pizza_sales[[#This Row],[order_id]])</f>
        <v>0.25</v>
      </c>
      <c r="D998" t="s">
        <v>106</v>
      </c>
      <c r="E998">
        <v>1</v>
      </c>
      <c r="F998" s="1">
        <v>42012</v>
      </c>
      <c r="G998" s="1" t="str">
        <f>TEXT(pizza_sales[[#This Row],[order_date]],"dddd")</f>
        <v>Thursday</v>
      </c>
      <c r="H998" s="2">
        <v>36526.505104166667</v>
      </c>
      <c r="I998">
        <v>12.5</v>
      </c>
      <c r="J998">
        <v>12.5</v>
      </c>
      <c r="K998" t="s">
        <v>41</v>
      </c>
      <c r="L998" t="s">
        <v>26</v>
      </c>
      <c r="M998" t="s">
        <v>107</v>
      </c>
      <c r="N998" t="s">
        <v>108</v>
      </c>
    </row>
    <row r="999" spans="1:14" x14ac:dyDescent="0.3">
      <c r="A999">
        <v>998</v>
      </c>
      <c r="B999">
        <v>437</v>
      </c>
      <c r="C999">
        <f>1/COUNTIF(pizza_sales[[#All],[order_id]],pizza_sales[[#This Row],[order_id]])</f>
        <v>1</v>
      </c>
      <c r="D999" t="s">
        <v>118</v>
      </c>
      <c r="E999">
        <v>1</v>
      </c>
      <c r="F999" s="1">
        <v>42012</v>
      </c>
      <c r="G999" s="1" t="str">
        <f>TEXT(pizza_sales[[#This Row],[order_date]],"dddd")</f>
        <v>Thursday</v>
      </c>
      <c r="H999" s="2">
        <v>36526.505486111113</v>
      </c>
      <c r="I999">
        <v>16.75</v>
      </c>
      <c r="J999">
        <v>16.75</v>
      </c>
      <c r="K999" t="s">
        <v>13</v>
      </c>
      <c r="L999" t="s">
        <v>33</v>
      </c>
      <c r="M999" t="s">
        <v>42</v>
      </c>
      <c r="N999" t="s">
        <v>43</v>
      </c>
    </row>
    <row r="1000" spans="1:14" x14ac:dyDescent="0.3">
      <c r="A1000">
        <v>999</v>
      </c>
      <c r="B1000">
        <v>438</v>
      </c>
      <c r="C1000">
        <f>1/COUNTIF(pizza_sales[[#All],[order_id]],pizza_sales[[#This Row],[order_id]])</f>
        <v>1</v>
      </c>
      <c r="D1000" t="s">
        <v>154</v>
      </c>
      <c r="E1000">
        <v>1</v>
      </c>
      <c r="F1000" s="1">
        <v>42012</v>
      </c>
      <c r="G1000" s="1" t="str">
        <f>TEXT(pizza_sales[[#This Row],[order_date]],"dddd")</f>
        <v>Thursday</v>
      </c>
      <c r="H1000" s="2">
        <v>36526.505995370368</v>
      </c>
      <c r="I1000">
        <v>16</v>
      </c>
      <c r="J1000">
        <v>16</v>
      </c>
      <c r="K1000" t="s">
        <v>13</v>
      </c>
      <c r="L1000" t="s">
        <v>22</v>
      </c>
      <c r="M1000" t="s">
        <v>66</v>
      </c>
      <c r="N1000" t="s">
        <v>67</v>
      </c>
    </row>
    <row r="1001" spans="1:14" x14ac:dyDescent="0.3">
      <c r="A1001">
        <v>1000</v>
      </c>
      <c r="B1001">
        <v>439</v>
      </c>
      <c r="C1001">
        <f>1/COUNTIF(pizza_sales[[#All],[order_id]],pizza_sales[[#This Row],[order_id]])</f>
        <v>0.33333333333333331</v>
      </c>
      <c r="D1001" t="s">
        <v>134</v>
      </c>
      <c r="E1001">
        <v>1</v>
      </c>
      <c r="F1001" s="1">
        <v>42012</v>
      </c>
      <c r="G1001" s="1" t="str">
        <f>TEXT(pizza_sales[[#This Row],[order_date]],"dddd")</f>
        <v>Thursday</v>
      </c>
      <c r="H1001" s="2">
        <v>36526.509120370371</v>
      </c>
      <c r="I1001">
        <v>16.75</v>
      </c>
      <c r="J1001">
        <v>16.75</v>
      </c>
      <c r="K1001" t="s">
        <v>13</v>
      </c>
      <c r="L1001" t="s">
        <v>33</v>
      </c>
      <c r="M1001" t="s">
        <v>124</v>
      </c>
      <c r="N1001" t="s">
        <v>125</v>
      </c>
    </row>
    <row r="1002" spans="1:14" x14ac:dyDescent="0.3">
      <c r="A1002">
        <v>1001</v>
      </c>
      <c r="B1002">
        <v>439</v>
      </c>
      <c r="C1002">
        <f>1/COUNTIF(pizza_sales[[#All],[order_id]],pizza_sales[[#This Row],[order_id]])</f>
        <v>0.33333333333333331</v>
      </c>
      <c r="D1002" t="s">
        <v>119</v>
      </c>
      <c r="E1002">
        <v>1</v>
      </c>
      <c r="F1002" s="1">
        <v>42012</v>
      </c>
      <c r="G1002" s="1" t="str">
        <f>TEXT(pizza_sales[[#This Row],[order_date]],"dddd")</f>
        <v>Thursday</v>
      </c>
      <c r="H1002" s="2">
        <v>36526.509120370371</v>
      </c>
      <c r="I1002">
        <v>12.5</v>
      </c>
      <c r="J1002">
        <v>12.5</v>
      </c>
      <c r="K1002" t="s">
        <v>13</v>
      </c>
      <c r="L1002" t="s">
        <v>14</v>
      </c>
      <c r="M1002" t="s">
        <v>78</v>
      </c>
      <c r="N1002" t="s">
        <v>79</v>
      </c>
    </row>
    <row r="1003" spans="1:14" x14ac:dyDescent="0.3">
      <c r="A1003">
        <v>1002</v>
      </c>
      <c r="B1003">
        <v>439</v>
      </c>
      <c r="C1003">
        <f>1/COUNTIF(pizza_sales[[#All],[order_id]],pizza_sales[[#This Row],[order_id]])</f>
        <v>0.33333333333333331</v>
      </c>
      <c r="D1003" t="s">
        <v>44</v>
      </c>
      <c r="E1003">
        <v>1</v>
      </c>
      <c r="F1003" s="1">
        <v>42012</v>
      </c>
      <c r="G1003" s="1" t="str">
        <f>TEXT(pizza_sales[[#This Row],[order_date]],"dddd")</f>
        <v>Thursday</v>
      </c>
      <c r="H1003" s="2">
        <v>36526.509120370371</v>
      </c>
      <c r="I1003">
        <v>12</v>
      </c>
      <c r="J1003">
        <v>12</v>
      </c>
      <c r="K1003" t="s">
        <v>41</v>
      </c>
      <c r="L1003" t="s">
        <v>14</v>
      </c>
      <c r="M1003" t="s">
        <v>45</v>
      </c>
      <c r="N1003" t="s">
        <v>46</v>
      </c>
    </row>
    <row r="1004" spans="1:14" x14ac:dyDescent="0.3">
      <c r="A1004">
        <v>1003</v>
      </c>
      <c r="B1004">
        <v>440</v>
      </c>
      <c r="C1004">
        <f>1/COUNTIF(pizza_sales[[#All],[order_id]],pizza_sales[[#This Row],[order_id]])</f>
        <v>7.1428571428571425E-2</v>
      </c>
      <c r="D1004" t="s">
        <v>96</v>
      </c>
      <c r="E1004">
        <v>1</v>
      </c>
      <c r="F1004" s="1">
        <v>42012</v>
      </c>
      <c r="G1004" s="1" t="str">
        <f>TEXT(pizza_sales[[#This Row],[order_date]],"dddd")</f>
        <v>Thursday</v>
      </c>
      <c r="H1004" s="2">
        <v>36526.511504629627</v>
      </c>
      <c r="I1004">
        <v>16.25</v>
      </c>
      <c r="J1004">
        <v>16.25</v>
      </c>
      <c r="K1004" t="s">
        <v>13</v>
      </c>
      <c r="L1004" t="s">
        <v>26</v>
      </c>
      <c r="M1004" t="s">
        <v>97</v>
      </c>
      <c r="N1004" t="s">
        <v>98</v>
      </c>
    </row>
    <row r="1005" spans="1:14" x14ac:dyDescent="0.3">
      <c r="A1005">
        <v>1004</v>
      </c>
      <c r="B1005">
        <v>440</v>
      </c>
      <c r="C1005">
        <f>1/COUNTIF(pizza_sales[[#All],[order_id]],pizza_sales[[#This Row],[order_id]])</f>
        <v>7.1428571428571425E-2</v>
      </c>
      <c r="D1005" t="s">
        <v>134</v>
      </c>
      <c r="E1005">
        <v>1</v>
      </c>
      <c r="F1005" s="1">
        <v>42012</v>
      </c>
      <c r="G1005" s="1" t="str">
        <f>TEXT(pizza_sales[[#This Row],[order_date]],"dddd")</f>
        <v>Thursday</v>
      </c>
      <c r="H1005" s="2">
        <v>36526.511504629627</v>
      </c>
      <c r="I1005">
        <v>16.75</v>
      </c>
      <c r="J1005">
        <v>16.75</v>
      </c>
      <c r="K1005" t="s">
        <v>13</v>
      </c>
      <c r="L1005" t="s">
        <v>33</v>
      </c>
      <c r="M1005" t="s">
        <v>124</v>
      </c>
      <c r="N1005" t="s">
        <v>125</v>
      </c>
    </row>
    <row r="1006" spans="1:14" x14ac:dyDescent="0.3">
      <c r="A1006">
        <v>1005</v>
      </c>
      <c r="B1006">
        <v>440</v>
      </c>
      <c r="C1006">
        <f>1/COUNTIF(pizza_sales[[#All],[order_id]],pizza_sales[[#This Row],[order_id]])</f>
        <v>7.1428571428571425E-2</v>
      </c>
      <c r="D1006" t="s">
        <v>20</v>
      </c>
      <c r="E1006">
        <v>1</v>
      </c>
      <c r="F1006" s="1">
        <v>42012</v>
      </c>
      <c r="G1006" s="1" t="str">
        <f>TEXT(pizza_sales[[#This Row],[order_date]],"dddd")</f>
        <v>Thursday</v>
      </c>
      <c r="H1006" s="2">
        <v>36526.511504629627</v>
      </c>
      <c r="I1006">
        <v>18.5</v>
      </c>
      <c r="J1006">
        <v>18.5</v>
      </c>
      <c r="K1006" t="s">
        <v>21</v>
      </c>
      <c r="L1006" t="s">
        <v>22</v>
      </c>
      <c r="M1006" t="s">
        <v>23</v>
      </c>
      <c r="N1006" t="s">
        <v>24</v>
      </c>
    </row>
    <row r="1007" spans="1:14" x14ac:dyDescent="0.3">
      <c r="A1007">
        <v>1006</v>
      </c>
      <c r="B1007">
        <v>440</v>
      </c>
      <c r="C1007">
        <f>1/COUNTIF(pizza_sales[[#All],[order_id]],pizza_sales[[#This Row],[order_id]])</f>
        <v>7.1428571428571425E-2</v>
      </c>
      <c r="D1007" t="s">
        <v>90</v>
      </c>
      <c r="E1007">
        <v>1</v>
      </c>
      <c r="F1007" s="1">
        <v>42012</v>
      </c>
      <c r="G1007" s="1" t="str">
        <f>TEXT(pizza_sales[[#This Row],[order_date]],"dddd")</f>
        <v>Thursday</v>
      </c>
      <c r="H1007" s="2">
        <v>36526.511504629627</v>
      </c>
      <c r="I1007">
        <v>17.95</v>
      </c>
      <c r="J1007">
        <v>17.95</v>
      </c>
      <c r="K1007" t="s">
        <v>21</v>
      </c>
      <c r="L1007" t="s">
        <v>22</v>
      </c>
      <c r="M1007" t="s">
        <v>91</v>
      </c>
      <c r="N1007" t="s">
        <v>92</v>
      </c>
    </row>
    <row r="1008" spans="1:14" x14ac:dyDescent="0.3">
      <c r="A1008">
        <v>1007</v>
      </c>
      <c r="B1008">
        <v>440</v>
      </c>
      <c r="C1008">
        <f>1/COUNTIF(pizza_sales[[#All],[order_id]],pizza_sales[[#This Row],[order_id]])</f>
        <v>7.1428571428571425E-2</v>
      </c>
      <c r="D1008" t="s">
        <v>99</v>
      </c>
      <c r="E1008">
        <v>1</v>
      </c>
      <c r="F1008" s="1">
        <v>42012</v>
      </c>
      <c r="G1008" s="1" t="str">
        <f>TEXT(pizza_sales[[#This Row],[order_date]],"dddd")</f>
        <v>Thursday</v>
      </c>
      <c r="H1008" s="2">
        <v>36526.511504629627</v>
      </c>
      <c r="I1008">
        <v>14.75</v>
      </c>
      <c r="J1008">
        <v>14.75</v>
      </c>
      <c r="K1008" t="s">
        <v>13</v>
      </c>
      <c r="L1008" t="s">
        <v>22</v>
      </c>
      <c r="M1008" t="s">
        <v>91</v>
      </c>
      <c r="N1008" t="s">
        <v>92</v>
      </c>
    </row>
    <row r="1009" spans="1:14" x14ac:dyDescent="0.3">
      <c r="A1009">
        <v>1008</v>
      </c>
      <c r="B1009">
        <v>440</v>
      </c>
      <c r="C1009">
        <f>1/COUNTIF(pizza_sales[[#All],[order_id]],pizza_sales[[#This Row],[order_id]])</f>
        <v>7.1428571428571425E-2</v>
      </c>
      <c r="D1009" t="s">
        <v>127</v>
      </c>
      <c r="E1009">
        <v>1</v>
      </c>
      <c r="F1009" s="1">
        <v>42012</v>
      </c>
      <c r="G1009" s="1" t="str">
        <f>TEXT(pizza_sales[[#This Row],[order_date]],"dddd")</f>
        <v>Thursday</v>
      </c>
      <c r="H1009" s="2">
        <v>36526.511504629627</v>
      </c>
      <c r="I1009">
        <v>20.25</v>
      </c>
      <c r="J1009">
        <v>20.25</v>
      </c>
      <c r="K1009" t="s">
        <v>21</v>
      </c>
      <c r="L1009" t="s">
        <v>22</v>
      </c>
      <c r="M1009" t="s">
        <v>52</v>
      </c>
      <c r="N1009" t="s">
        <v>53</v>
      </c>
    </row>
    <row r="1010" spans="1:14" x14ac:dyDescent="0.3">
      <c r="A1010">
        <v>1009</v>
      </c>
      <c r="B1010">
        <v>440</v>
      </c>
      <c r="C1010">
        <f>1/COUNTIF(pizza_sales[[#All],[order_id]],pizza_sales[[#This Row],[order_id]])</f>
        <v>7.1428571428571425E-2</v>
      </c>
      <c r="D1010" t="s">
        <v>128</v>
      </c>
      <c r="E1010">
        <v>1</v>
      </c>
      <c r="F1010" s="1">
        <v>42012</v>
      </c>
      <c r="G1010" s="1" t="str">
        <f>TEXT(pizza_sales[[#This Row],[order_date]],"dddd")</f>
        <v>Thursday</v>
      </c>
      <c r="H1010" s="2">
        <v>36526.511504629627</v>
      </c>
      <c r="I1010">
        <v>16</v>
      </c>
      <c r="J1010">
        <v>16</v>
      </c>
      <c r="K1010" t="s">
        <v>13</v>
      </c>
      <c r="L1010" t="s">
        <v>22</v>
      </c>
      <c r="M1010" t="s">
        <v>52</v>
      </c>
      <c r="N1010" t="s">
        <v>53</v>
      </c>
    </row>
    <row r="1011" spans="1:14" x14ac:dyDescent="0.3">
      <c r="A1011">
        <v>1010</v>
      </c>
      <c r="B1011">
        <v>440</v>
      </c>
      <c r="C1011">
        <f>1/COUNTIF(pizza_sales[[#All],[order_id]],pizza_sales[[#This Row],[order_id]])</f>
        <v>7.1428571428571425E-2</v>
      </c>
      <c r="D1011" t="s">
        <v>142</v>
      </c>
      <c r="E1011">
        <v>1</v>
      </c>
      <c r="F1011" s="1">
        <v>42012</v>
      </c>
      <c r="G1011" s="1" t="str">
        <f>TEXT(pizza_sales[[#This Row],[order_date]],"dddd")</f>
        <v>Thursday</v>
      </c>
      <c r="H1011" s="2">
        <v>36526.511504629627</v>
      </c>
      <c r="I1011">
        <v>16.5</v>
      </c>
      <c r="J1011">
        <v>16.5</v>
      </c>
      <c r="K1011" t="s">
        <v>21</v>
      </c>
      <c r="L1011" t="s">
        <v>14</v>
      </c>
      <c r="M1011" t="s">
        <v>15</v>
      </c>
      <c r="N1011" t="s">
        <v>16</v>
      </c>
    </row>
    <row r="1012" spans="1:14" x14ac:dyDescent="0.3">
      <c r="A1012">
        <v>1011</v>
      </c>
      <c r="B1012">
        <v>440</v>
      </c>
      <c r="C1012">
        <f>1/COUNTIF(pizza_sales[[#All],[order_id]],pizza_sales[[#This Row],[order_id]])</f>
        <v>7.1428571428571425E-2</v>
      </c>
      <c r="D1012" t="s">
        <v>153</v>
      </c>
      <c r="E1012">
        <v>1</v>
      </c>
      <c r="F1012" s="1">
        <v>42012</v>
      </c>
      <c r="G1012" s="1" t="str">
        <f>TEXT(pizza_sales[[#This Row],[order_date]],"dddd")</f>
        <v>Thursday</v>
      </c>
      <c r="H1012" s="2">
        <v>36526.511504629627</v>
      </c>
      <c r="I1012">
        <v>21</v>
      </c>
      <c r="J1012">
        <v>21</v>
      </c>
      <c r="K1012" t="s">
        <v>21</v>
      </c>
      <c r="L1012" t="s">
        <v>22</v>
      </c>
      <c r="M1012" t="s">
        <v>101</v>
      </c>
      <c r="N1012" t="s">
        <v>102</v>
      </c>
    </row>
    <row r="1013" spans="1:14" x14ac:dyDescent="0.3">
      <c r="A1013">
        <v>1012</v>
      </c>
      <c r="B1013">
        <v>440</v>
      </c>
      <c r="C1013">
        <f>1/COUNTIF(pizza_sales[[#All],[order_id]],pizza_sales[[#This Row],[order_id]])</f>
        <v>7.1428571428571425E-2</v>
      </c>
      <c r="D1013" t="s">
        <v>77</v>
      </c>
      <c r="E1013">
        <v>1</v>
      </c>
      <c r="F1013" s="1">
        <v>42012</v>
      </c>
      <c r="G1013" s="1" t="str">
        <f>TEXT(pizza_sales[[#This Row],[order_date]],"dddd")</f>
        <v>Thursday</v>
      </c>
      <c r="H1013" s="2">
        <v>36526.511504629627</v>
      </c>
      <c r="I1013">
        <v>15.25</v>
      </c>
      <c r="J1013">
        <v>15.25</v>
      </c>
      <c r="K1013" t="s">
        <v>21</v>
      </c>
      <c r="L1013" t="s">
        <v>14</v>
      </c>
      <c r="M1013" t="s">
        <v>78</v>
      </c>
      <c r="N1013" t="s">
        <v>79</v>
      </c>
    </row>
    <row r="1014" spans="1:14" x14ac:dyDescent="0.3">
      <c r="A1014">
        <v>1013</v>
      </c>
      <c r="B1014">
        <v>440</v>
      </c>
      <c r="C1014">
        <f>1/COUNTIF(pizza_sales[[#All],[order_id]],pizza_sales[[#This Row],[order_id]])</f>
        <v>7.1428571428571425E-2</v>
      </c>
      <c r="D1014" t="s">
        <v>59</v>
      </c>
      <c r="E1014">
        <v>1</v>
      </c>
      <c r="F1014" s="1">
        <v>42012</v>
      </c>
      <c r="G1014" s="1" t="str">
        <f>TEXT(pizza_sales[[#This Row],[order_date]],"dddd")</f>
        <v>Thursday</v>
      </c>
      <c r="H1014" s="2">
        <v>36526.511504629627</v>
      </c>
      <c r="I1014">
        <v>20.75</v>
      </c>
      <c r="J1014">
        <v>20.75</v>
      </c>
      <c r="K1014" t="s">
        <v>21</v>
      </c>
      <c r="L1014" t="s">
        <v>26</v>
      </c>
      <c r="M1014" t="s">
        <v>60</v>
      </c>
      <c r="N1014" t="s">
        <v>61</v>
      </c>
    </row>
    <row r="1015" spans="1:14" x14ac:dyDescent="0.3">
      <c r="A1015">
        <v>1014</v>
      </c>
      <c r="B1015">
        <v>440</v>
      </c>
      <c r="C1015">
        <f>1/COUNTIF(pizza_sales[[#All],[order_id]],pizza_sales[[#This Row],[order_id]])</f>
        <v>7.1428571428571425E-2</v>
      </c>
      <c r="D1015" t="s">
        <v>157</v>
      </c>
      <c r="E1015">
        <v>1</v>
      </c>
      <c r="F1015" s="1">
        <v>42012</v>
      </c>
      <c r="G1015" s="1" t="str">
        <f>TEXT(pizza_sales[[#This Row],[order_date]],"dddd")</f>
        <v>Thursday</v>
      </c>
      <c r="H1015" s="2">
        <v>36526.511504629627</v>
      </c>
      <c r="I1015">
        <v>12</v>
      </c>
      <c r="J1015">
        <v>12</v>
      </c>
      <c r="K1015" t="s">
        <v>41</v>
      </c>
      <c r="L1015" t="s">
        <v>22</v>
      </c>
      <c r="M1015" t="s">
        <v>110</v>
      </c>
      <c r="N1015" t="s">
        <v>111</v>
      </c>
    </row>
    <row r="1016" spans="1:14" x14ac:dyDescent="0.3">
      <c r="A1016">
        <v>1015</v>
      </c>
      <c r="B1016">
        <v>440</v>
      </c>
      <c r="C1016">
        <f>1/COUNTIF(pizza_sales[[#All],[order_id]],pizza_sales[[#This Row],[order_id]])</f>
        <v>7.1428571428571425E-2</v>
      </c>
      <c r="D1016" t="s">
        <v>32</v>
      </c>
      <c r="E1016">
        <v>1</v>
      </c>
      <c r="F1016" s="1">
        <v>42012</v>
      </c>
      <c r="G1016" s="1" t="str">
        <f>TEXT(pizza_sales[[#This Row],[order_date]],"dddd")</f>
        <v>Thursday</v>
      </c>
      <c r="H1016" s="2">
        <v>36526.511504629627</v>
      </c>
      <c r="I1016">
        <v>20.75</v>
      </c>
      <c r="J1016">
        <v>20.75</v>
      </c>
      <c r="K1016" t="s">
        <v>21</v>
      </c>
      <c r="L1016" t="s">
        <v>33</v>
      </c>
      <c r="M1016" t="s">
        <v>34</v>
      </c>
      <c r="N1016" t="s">
        <v>35</v>
      </c>
    </row>
    <row r="1017" spans="1:14" x14ac:dyDescent="0.3">
      <c r="A1017">
        <v>1016</v>
      </c>
      <c r="B1017">
        <v>440</v>
      </c>
      <c r="C1017">
        <f>1/COUNTIF(pizza_sales[[#All],[order_id]],pizza_sales[[#This Row],[order_id]])</f>
        <v>7.1428571428571425E-2</v>
      </c>
      <c r="D1017" t="s">
        <v>154</v>
      </c>
      <c r="E1017">
        <v>1</v>
      </c>
      <c r="F1017" s="1">
        <v>42012</v>
      </c>
      <c r="G1017" s="1" t="str">
        <f>TEXT(pizza_sales[[#This Row],[order_date]],"dddd")</f>
        <v>Thursday</v>
      </c>
      <c r="H1017" s="2">
        <v>36526.511504629627</v>
      </c>
      <c r="I1017">
        <v>16</v>
      </c>
      <c r="J1017">
        <v>16</v>
      </c>
      <c r="K1017" t="s">
        <v>13</v>
      </c>
      <c r="L1017" t="s">
        <v>22</v>
      </c>
      <c r="M1017" t="s">
        <v>66</v>
      </c>
      <c r="N1017" t="s">
        <v>67</v>
      </c>
    </row>
    <row r="1018" spans="1:14" x14ac:dyDescent="0.3">
      <c r="A1018">
        <v>1017</v>
      </c>
      <c r="B1018">
        <v>441</v>
      </c>
      <c r="C1018">
        <f>1/COUNTIF(pizza_sales[[#All],[order_id]],pizza_sales[[#This Row],[order_id]])</f>
        <v>0.5</v>
      </c>
      <c r="D1018" t="s">
        <v>59</v>
      </c>
      <c r="E1018">
        <v>1</v>
      </c>
      <c r="F1018" s="1">
        <v>42012</v>
      </c>
      <c r="G1018" s="1" t="str">
        <f>TEXT(pizza_sales[[#This Row],[order_date]],"dddd")</f>
        <v>Thursday</v>
      </c>
      <c r="H1018" s="2">
        <v>36526.511782407404</v>
      </c>
      <c r="I1018">
        <v>20.75</v>
      </c>
      <c r="J1018">
        <v>20.75</v>
      </c>
      <c r="K1018" t="s">
        <v>21</v>
      </c>
      <c r="L1018" t="s">
        <v>26</v>
      </c>
      <c r="M1018" t="s">
        <v>60</v>
      </c>
      <c r="N1018" t="s">
        <v>61</v>
      </c>
    </row>
    <row r="1019" spans="1:14" x14ac:dyDescent="0.3">
      <c r="A1019">
        <v>1018</v>
      </c>
      <c r="B1019">
        <v>441</v>
      </c>
      <c r="C1019">
        <f>1/COUNTIF(pizza_sales[[#All],[order_id]],pizza_sales[[#This Row],[order_id]])</f>
        <v>0.5</v>
      </c>
      <c r="D1019" t="s">
        <v>32</v>
      </c>
      <c r="E1019">
        <v>1</v>
      </c>
      <c r="F1019" s="1">
        <v>42012</v>
      </c>
      <c r="G1019" s="1" t="str">
        <f>TEXT(pizza_sales[[#This Row],[order_date]],"dddd")</f>
        <v>Thursday</v>
      </c>
      <c r="H1019" s="2">
        <v>36526.511782407404</v>
      </c>
      <c r="I1019">
        <v>20.75</v>
      </c>
      <c r="J1019">
        <v>20.75</v>
      </c>
      <c r="K1019" t="s">
        <v>21</v>
      </c>
      <c r="L1019" t="s">
        <v>33</v>
      </c>
      <c r="M1019" t="s">
        <v>34</v>
      </c>
      <c r="N1019" t="s">
        <v>35</v>
      </c>
    </row>
    <row r="1020" spans="1:14" x14ac:dyDescent="0.3">
      <c r="A1020">
        <v>1019</v>
      </c>
      <c r="B1020">
        <v>442</v>
      </c>
      <c r="C1020">
        <f>1/COUNTIF(pizza_sales[[#All],[order_id]],pizza_sales[[#This Row],[order_id]])</f>
        <v>1</v>
      </c>
      <c r="D1020" t="s">
        <v>135</v>
      </c>
      <c r="E1020">
        <v>1</v>
      </c>
      <c r="F1020" s="1">
        <v>42012</v>
      </c>
      <c r="G1020" s="1" t="str">
        <f>TEXT(pizza_sales[[#This Row],[order_date]],"dddd")</f>
        <v>Thursday</v>
      </c>
      <c r="H1020" s="2">
        <v>36526.520011574074</v>
      </c>
      <c r="I1020">
        <v>20.75</v>
      </c>
      <c r="J1020">
        <v>20.75</v>
      </c>
      <c r="K1020" t="s">
        <v>21</v>
      </c>
      <c r="L1020" t="s">
        <v>26</v>
      </c>
      <c r="M1020" t="s">
        <v>107</v>
      </c>
      <c r="N1020" t="s">
        <v>108</v>
      </c>
    </row>
    <row r="1021" spans="1:14" x14ac:dyDescent="0.3">
      <c r="A1021">
        <v>1020</v>
      </c>
      <c r="B1021">
        <v>443</v>
      </c>
      <c r="C1021">
        <f>1/COUNTIF(pizza_sales[[#All],[order_id]],pizza_sales[[#This Row],[order_id]])</f>
        <v>7.1428571428571425E-2</v>
      </c>
      <c r="D1021" t="s">
        <v>84</v>
      </c>
      <c r="E1021">
        <v>1</v>
      </c>
      <c r="F1021" s="1">
        <v>42012</v>
      </c>
      <c r="G1021" s="1" t="str">
        <f>TEXT(pizza_sales[[#This Row],[order_date]],"dddd")</f>
        <v>Thursday</v>
      </c>
      <c r="H1021" s="2">
        <v>36526.523842592593</v>
      </c>
      <c r="I1021">
        <v>12</v>
      </c>
      <c r="J1021">
        <v>12</v>
      </c>
      <c r="K1021" t="s">
        <v>41</v>
      </c>
      <c r="L1021" t="s">
        <v>14</v>
      </c>
      <c r="M1021" t="s">
        <v>85</v>
      </c>
      <c r="N1021" t="s">
        <v>86</v>
      </c>
    </row>
    <row r="1022" spans="1:14" x14ac:dyDescent="0.3">
      <c r="A1022">
        <v>1021</v>
      </c>
      <c r="B1022">
        <v>443</v>
      </c>
      <c r="C1022">
        <f>1/COUNTIF(pizza_sales[[#All],[order_id]],pizza_sales[[#This Row],[order_id]])</f>
        <v>7.1428571428571425E-2</v>
      </c>
      <c r="D1022" t="s">
        <v>76</v>
      </c>
      <c r="E1022">
        <v>2</v>
      </c>
      <c r="F1022" s="1">
        <v>42012</v>
      </c>
      <c r="G1022" s="1" t="str">
        <f>TEXT(pizza_sales[[#This Row],[order_date]],"dddd")</f>
        <v>Thursday</v>
      </c>
      <c r="H1022" s="2">
        <v>36526.523842592593</v>
      </c>
      <c r="I1022">
        <v>16.75</v>
      </c>
      <c r="J1022">
        <v>33.5</v>
      </c>
      <c r="K1022" t="s">
        <v>13</v>
      </c>
      <c r="L1022" t="s">
        <v>33</v>
      </c>
      <c r="M1022" t="s">
        <v>74</v>
      </c>
      <c r="N1022" t="s">
        <v>75</v>
      </c>
    </row>
    <row r="1023" spans="1:14" x14ac:dyDescent="0.3">
      <c r="A1023">
        <v>1022</v>
      </c>
      <c r="B1023">
        <v>443</v>
      </c>
      <c r="C1023">
        <f>1/COUNTIF(pizza_sales[[#All],[order_id]],pizza_sales[[#This Row],[order_id]])</f>
        <v>7.1428571428571425E-2</v>
      </c>
      <c r="D1023" t="s">
        <v>90</v>
      </c>
      <c r="E1023">
        <v>1</v>
      </c>
      <c r="F1023" s="1">
        <v>42012</v>
      </c>
      <c r="G1023" s="1" t="str">
        <f>TEXT(pizza_sales[[#This Row],[order_date]],"dddd")</f>
        <v>Thursday</v>
      </c>
      <c r="H1023" s="2">
        <v>36526.523842592593</v>
      </c>
      <c r="I1023">
        <v>17.95</v>
      </c>
      <c r="J1023">
        <v>17.95</v>
      </c>
      <c r="K1023" t="s">
        <v>21</v>
      </c>
      <c r="L1023" t="s">
        <v>22</v>
      </c>
      <c r="M1023" t="s">
        <v>91</v>
      </c>
      <c r="N1023" t="s">
        <v>92</v>
      </c>
    </row>
    <row r="1024" spans="1:14" x14ac:dyDescent="0.3">
      <c r="A1024">
        <v>1023</v>
      </c>
      <c r="B1024">
        <v>443</v>
      </c>
      <c r="C1024">
        <f>1/COUNTIF(pizza_sales[[#All],[order_id]],pizza_sales[[#This Row],[order_id]])</f>
        <v>7.1428571428571425E-2</v>
      </c>
      <c r="D1024" t="s">
        <v>116</v>
      </c>
      <c r="E1024">
        <v>1</v>
      </c>
      <c r="F1024" s="1">
        <v>42012</v>
      </c>
      <c r="G1024" s="1" t="str">
        <f>TEXT(pizza_sales[[#This Row],[order_date]],"dddd")</f>
        <v>Thursday</v>
      </c>
      <c r="H1024" s="2">
        <v>36526.523842592593</v>
      </c>
      <c r="I1024">
        <v>16</v>
      </c>
      <c r="J1024">
        <v>16</v>
      </c>
      <c r="K1024" t="s">
        <v>13</v>
      </c>
      <c r="L1024" t="s">
        <v>14</v>
      </c>
      <c r="M1024" t="s">
        <v>55</v>
      </c>
      <c r="N1024" t="s">
        <v>56</v>
      </c>
    </row>
    <row r="1025" spans="1:14" x14ac:dyDescent="0.3">
      <c r="A1025">
        <v>1024</v>
      </c>
      <c r="B1025">
        <v>443</v>
      </c>
      <c r="C1025">
        <f>1/COUNTIF(pizza_sales[[#All],[order_id]],pizza_sales[[#This Row],[order_id]])</f>
        <v>7.1428571428571425E-2</v>
      </c>
      <c r="D1025" t="s">
        <v>159</v>
      </c>
      <c r="E1025">
        <v>1</v>
      </c>
      <c r="F1025" s="1">
        <v>42012</v>
      </c>
      <c r="G1025" s="1" t="str">
        <f>TEXT(pizza_sales[[#This Row],[order_date]],"dddd")</f>
        <v>Thursday</v>
      </c>
      <c r="H1025" s="2">
        <v>36526.523842592593</v>
      </c>
      <c r="I1025">
        <v>16.75</v>
      </c>
      <c r="J1025">
        <v>16.75</v>
      </c>
      <c r="K1025" t="s">
        <v>13</v>
      </c>
      <c r="L1025" t="s">
        <v>22</v>
      </c>
      <c r="M1025" t="s">
        <v>101</v>
      </c>
      <c r="N1025" t="s">
        <v>102</v>
      </c>
    </row>
    <row r="1026" spans="1:14" x14ac:dyDescent="0.3">
      <c r="A1026">
        <v>1025</v>
      </c>
      <c r="B1026">
        <v>443</v>
      </c>
      <c r="C1026">
        <f>1/COUNTIF(pizza_sales[[#All],[order_id]],pizza_sales[[#This Row],[order_id]])</f>
        <v>7.1428571428571425E-2</v>
      </c>
      <c r="D1026" t="s">
        <v>68</v>
      </c>
      <c r="E1026">
        <v>1</v>
      </c>
      <c r="F1026" s="1">
        <v>42012</v>
      </c>
      <c r="G1026" s="1" t="str">
        <f>TEXT(pizza_sales[[#This Row],[order_date]],"dddd")</f>
        <v>Thursday</v>
      </c>
      <c r="H1026" s="2">
        <v>36526.523842592593</v>
      </c>
      <c r="I1026">
        <v>20.25</v>
      </c>
      <c r="J1026">
        <v>20.25</v>
      </c>
      <c r="K1026" t="s">
        <v>21</v>
      </c>
      <c r="L1026" t="s">
        <v>22</v>
      </c>
      <c r="M1026" t="s">
        <v>30</v>
      </c>
      <c r="N1026" t="s">
        <v>31</v>
      </c>
    </row>
    <row r="1027" spans="1:14" x14ac:dyDescent="0.3">
      <c r="A1027">
        <v>1026</v>
      </c>
      <c r="B1027">
        <v>443</v>
      </c>
      <c r="C1027">
        <f>1/COUNTIF(pizza_sales[[#All],[order_id]],pizza_sales[[#This Row],[order_id]])</f>
        <v>7.1428571428571425E-2</v>
      </c>
      <c r="D1027" t="s">
        <v>77</v>
      </c>
      <c r="E1027">
        <v>1</v>
      </c>
      <c r="F1027" s="1">
        <v>42012</v>
      </c>
      <c r="G1027" s="1" t="str">
        <f>TEXT(pizza_sales[[#This Row],[order_date]],"dddd")</f>
        <v>Thursday</v>
      </c>
      <c r="H1027" s="2">
        <v>36526.523842592593</v>
      </c>
      <c r="I1027">
        <v>15.25</v>
      </c>
      <c r="J1027">
        <v>15.25</v>
      </c>
      <c r="K1027" t="s">
        <v>21</v>
      </c>
      <c r="L1027" t="s">
        <v>14</v>
      </c>
      <c r="M1027" t="s">
        <v>78</v>
      </c>
      <c r="N1027" t="s">
        <v>79</v>
      </c>
    </row>
    <row r="1028" spans="1:14" x14ac:dyDescent="0.3">
      <c r="A1028">
        <v>1027</v>
      </c>
      <c r="B1028">
        <v>443</v>
      </c>
      <c r="C1028">
        <f>1/COUNTIF(pizza_sales[[#All],[order_id]],pizza_sales[[#This Row],[order_id]])</f>
        <v>7.1428571428571425E-2</v>
      </c>
      <c r="D1028" t="s">
        <v>113</v>
      </c>
      <c r="E1028">
        <v>1</v>
      </c>
      <c r="F1028" s="1">
        <v>42012</v>
      </c>
      <c r="G1028" s="1" t="str">
        <f>TEXT(pizza_sales[[#This Row],[order_date]],"dddd")</f>
        <v>Thursday</v>
      </c>
      <c r="H1028" s="2">
        <v>36526.523842592593</v>
      </c>
      <c r="I1028">
        <v>20.25</v>
      </c>
      <c r="J1028">
        <v>20.25</v>
      </c>
      <c r="K1028" t="s">
        <v>21</v>
      </c>
      <c r="L1028" t="s">
        <v>26</v>
      </c>
      <c r="M1028" t="s">
        <v>114</v>
      </c>
      <c r="N1028" t="s">
        <v>115</v>
      </c>
    </row>
    <row r="1029" spans="1:14" x14ac:dyDescent="0.3">
      <c r="A1029">
        <v>1028</v>
      </c>
      <c r="B1029">
        <v>443</v>
      </c>
      <c r="C1029">
        <f>1/COUNTIF(pizza_sales[[#All],[order_id]],pizza_sales[[#This Row],[order_id]])</f>
        <v>7.1428571428571425E-2</v>
      </c>
      <c r="D1029" t="s">
        <v>121</v>
      </c>
      <c r="E1029">
        <v>1</v>
      </c>
      <c r="F1029" s="1">
        <v>42012</v>
      </c>
      <c r="G1029" s="1" t="str">
        <f>TEXT(pizza_sales[[#This Row],[order_date]],"dddd")</f>
        <v>Thursday</v>
      </c>
      <c r="H1029" s="2">
        <v>36526.523842592593</v>
      </c>
      <c r="I1029">
        <v>16.25</v>
      </c>
      <c r="J1029">
        <v>16.25</v>
      </c>
      <c r="K1029" t="s">
        <v>13</v>
      </c>
      <c r="L1029" t="s">
        <v>26</v>
      </c>
      <c r="M1029" t="s">
        <v>114</v>
      </c>
      <c r="N1029" t="s">
        <v>115</v>
      </c>
    </row>
    <row r="1030" spans="1:14" x14ac:dyDescent="0.3">
      <c r="A1030">
        <v>1029</v>
      </c>
      <c r="B1030">
        <v>443</v>
      </c>
      <c r="C1030">
        <f>1/COUNTIF(pizza_sales[[#All],[order_id]],pizza_sales[[#This Row],[order_id]])</f>
        <v>7.1428571428571425E-2</v>
      </c>
      <c r="D1030" t="s">
        <v>147</v>
      </c>
      <c r="E1030">
        <v>1</v>
      </c>
      <c r="F1030" s="1">
        <v>42012</v>
      </c>
      <c r="G1030" s="1" t="str">
        <f>TEXT(pizza_sales[[#This Row],[order_date]],"dddd")</f>
        <v>Thursday</v>
      </c>
      <c r="H1030" s="2">
        <v>36526.523842592593</v>
      </c>
      <c r="I1030">
        <v>16.75</v>
      </c>
      <c r="J1030">
        <v>16.75</v>
      </c>
      <c r="K1030" t="s">
        <v>13</v>
      </c>
      <c r="L1030" t="s">
        <v>33</v>
      </c>
      <c r="M1030" t="s">
        <v>70</v>
      </c>
      <c r="N1030" t="s">
        <v>71</v>
      </c>
    </row>
    <row r="1031" spans="1:14" x14ac:dyDescent="0.3">
      <c r="A1031">
        <v>1030</v>
      </c>
      <c r="B1031">
        <v>443</v>
      </c>
      <c r="C1031">
        <f>1/COUNTIF(pizza_sales[[#All],[order_id]],pizza_sales[[#This Row],[order_id]])</f>
        <v>7.1428571428571425E-2</v>
      </c>
      <c r="D1031" t="s">
        <v>59</v>
      </c>
      <c r="E1031">
        <v>1</v>
      </c>
      <c r="F1031" s="1">
        <v>42012</v>
      </c>
      <c r="G1031" s="1" t="str">
        <f>TEXT(pizza_sales[[#This Row],[order_date]],"dddd")</f>
        <v>Thursday</v>
      </c>
      <c r="H1031" s="2">
        <v>36526.523842592593</v>
      </c>
      <c r="I1031">
        <v>20.75</v>
      </c>
      <c r="J1031">
        <v>20.75</v>
      </c>
      <c r="K1031" t="s">
        <v>21</v>
      </c>
      <c r="L1031" t="s">
        <v>26</v>
      </c>
      <c r="M1031" t="s">
        <v>60</v>
      </c>
      <c r="N1031" t="s">
        <v>61</v>
      </c>
    </row>
    <row r="1032" spans="1:14" x14ac:dyDescent="0.3">
      <c r="A1032">
        <v>1031</v>
      </c>
      <c r="B1032">
        <v>443</v>
      </c>
      <c r="C1032">
        <f>1/COUNTIF(pizza_sales[[#All],[order_id]],pizza_sales[[#This Row],[order_id]])</f>
        <v>7.1428571428571425E-2</v>
      </c>
      <c r="D1032" t="s">
        <v>150</v>
      </c>
      <c r="E1032">
        <v>1</v>
      </c>
      <c r="F1032" s="1">
        <v>42012</v>
      </c>
      <c r="G1032" s="1" t="str">
        <f>TEXT(pizza_sales[[#This Row],[order_date]],"dddd")</f>
        <v>Thursday</v>
      </c>
      <c r="H1032" s="2">
        <v>36526.523842592593</v>
      </c>
      <c r="I1032">
        <v>12.5</v>
      </c>
      <c r="J1032">
        <v>12.5</v>
      </c>
      <c r="K1032" t="s">
        <v>41</v>
      </c>
      <c r="L1032" t="s">
        <v>26</v>
      </c>
      <c r="M1032" t="s">
        <v>60</v>
      </c>
      <c r="N1032" t="s">
        <v>61</v>
      </c>
    </row>
    <row r="1033" spans="1:14" x14ac:dyDescent="0.3">
      <c r="A1033">
        <v>1032</v>
      </c>
      <c r="B1033">
        <v>443</v>
      </c>
      <c r="C1033">
        <f>1/COUNTIF(pizza_sales[[#All],[order_id]],pizza_sales[[#This Row],[order_id]])</f>
        <v>7.1428571428571425E-2</v>
      </c>
      <c r="D1033" t="s">
        <v>144</v>
      </c>
      <c r="E1033">
        <v>1</v>
      </c>
      <c r="F1033" s="1">
        <v>42012</v>
      </c>
      <c r="G1033" s="1" t="str">
        <f>TEXT(pizza_sales[[#This Row],[order_date]],"dddd")</f>
        <v>Thursday</v>
      </c>
      <c r="H1033" s="2">
        <v>36526.523842592593</v>
      </c>
      <c r="I1033">
        <v>16.5</v>
      </c>
      <c r="J1033">
        <v>16.5</v>
      </c>
      <c r="K1033" t="s">
        <v>13</v>
      </c>
      <c r="L1033" t="s">
        <v>26</v>
      </c>
      <c r="M1033" t="s">
        <v>48</v>
      </c>
      <c r="N1033" t="s">
        <v>49</v>
      </c>
    </row>
    <row r="1034" spans="1:14" x14ac:dyDescent="0.3">
      <c r="A1034">
        <v>1033</v>
      </c>
      <c r="B1034">
        <v>443</v>
      </c>
      <c r="C1034">
        <f>1/COUNTIF(pizza_sales[[#All],[order_id]],pizza_sales[[#This Row],[order_id]])</f>
        <v>7.1428571428571425E-2</v>
      </c>
      <c r="D1034" t="s">
        <v>137</v>
      </c>
      <c r="E1034">
        <v>1</v>
      </c>
      <c r="F1034" s="1">
        <v>42012</v>
      </c>
      <c r="G1034" s="1" t="str">
        <f>TEXT(pizza_sales[[#This Row],[order_date]],"dddd")</f>
        <v>Thursday</v>
      </c>
      <c r="H1034" s="2">
        <v>36526.523842592593</v>
      </c>
      <c r="I1034">
        <v>16.75</v>
      </c>
      <c r="J1034">
        <v>16.75</v>
      </c>
      <c r="K1034" t="s">
        <v>13</v>
      </c>
      <c r="L1034" t="s">
        <v>33</v>
      </c>
      <c r="M1034" t="s">
        <v>34</v>
      </c>
      <c r="N1034" t="s">
        <v>35</v>
      </c>
    </row>
    <row r="1035" spans="1:14" x14ac:dyDescent="0.3">
      <c r="A1035">
        <v>1034</v>
      </c>
      <c r="B1035">
        <v>444</v>
      </c>
      <c r="C1035">
        <f>1/COUNTIF(pizza_sales[[#All],[order_id]],pizza_sales[[#This Row],[order_id]])</f>
        <v>1</v>
      </c>
      <c r="D1035" t="s">
        <v>99</v>
      </c>
      <c r="E1035">
        <v>1</v>
      </c>
      <c r="F1035" s="1">
        <v>42012</v>
      </c>
      <c r="G1035" s="1" t="str">
        <f>TEXT(pizza_sales[[#This Row],[order_date]],"dddd")</f>
        <v>Thursday</v>
      </c>
      <c r="H1035" s="2">
        <v>36526.52783564815</v>
      </c>
      <c r="I1035">
        <v>14.75</v>
      </c>
      <c r="J1035">
        <v>14.75</v>
      </c>
      <c r="K1035" t="s">
        <v>13</v>
      </c>
      <c r="L1035" t="s">
        <v>22</v>
      </c>
      <c r="M1035" t="s">
        <v>91</v>
      </c>
      <c r="N1035" t="s">
        <v>92</v>
      </c>
    </row>
    <row r="1036" spans="1:14" x14ac:dyDescent="0.3">
      <c r="A1036">
        <v>1035</v>
      </c>
      <c r="B1036">
        <v>445</v>
      </c>
      <c r="C1036">
        <f>1/COUNTIF(pizza_sales[[#All],[order_id]],pizza_sales[[#This Row],[order_id]])</f>
        <v>1</v>
      </c>
      <c r="D1036" t="s">
        <v>142</v>
      </c>
      <c r="E1036">
        <v>1</v>
      </c>
      <c r="F1036" s="1">
        <v>42012</v>
      </c>
      <c r="G1036" s="1" t="str">
        <f>TEXT(pizza_sales[[#This Row],[order_date]],"dddd")</f>
        <v>Thursday</v>
      </c>
      <c r="H1036" s="2">
        <v>36526.540034722224</v>
      </c>
      <c r="I1036">
        <v>16.5</v>
      </c>
      <c r="J1036">
        <v>16.5</v>
      </c>
      <c r="K1036" t="s">
        <v>21</v>
      </c>
      <c r="L1036" t="s">
        <v>14</v>
      </c>
      <c r="M1036" t="s">
        <v>15</v>
      </c>
      <c r="N1036" t="s">
        <v>16</v>
      </c>
    </row>
    <row r="1037" spans="1:14" x14ac:dyDescent="0.3">
      <c r="A1037">
        <v>1036</v>
      </c>
      <c r="B1037">
        <v>446</v>
      </c>
      <c r="C1037">
        <f>1/COUNTIF(pizza_sales[[#All],[order_id]],pizza_sales[[#This Row],[order_id]])</f>
        <v>0.33333333333333331</v>
      </c>
      <c r="D1037" t="s">
        <v>84</v>
      </c>
      <c r="E1037">
        <v>1</v>
      </c>
      <c r="F1037" s="1">
        <v>42012</v>
      </c>
      <c r="G1037" s="1" t="str">
        <f>TEXT(pizza_sales[[#This Row],[order_date]],"dddd")</f>
        <v>Thursday</v>
      </c>
      <c r="H1037" s="2">
        <v>36526.540289351855</v>
      </c>
      <c r="I1037">
        <v>12</v>
      </c>
      <c r="J1037">
        <v>12</v>
      </c>
      <c r="K1037" t="s">
        <v>41</v>
      </c>
      <c r="L1037" t="s">
        <v>14</v>
      </c>
      <c r="M1037" t="s">
        <v>85</v>
      </c>
      <c r="N1037" t="s">
        <v>86</v>
      </c>
    </row>
    <row r="1038" spans="1:14" x14ac:dyDescent="0.3">
      <c r="A1038">
        <v>1037</v>
      </c>
      <c r="B1038">
        <v>446</v>
      </c>
      <c r="C1038">
        <f>1/COUNTIF(pizza_sales[[#All],[order_id]],pizza_sales[[#This Row],[order_id]])</f>
        <v>0.33333333333333331</v>
      </c>
      <c r="D1038" t="s">
        <v>159</v>
      </c>
      <c r="E1038">
        <v>1</v>
      </c>
      <c r="F1038" s="1">
        <v>42012</v>
      </c>
      <c r="G1038" s="1" t="str">
        <f>TEXT(pizza_sales[[#This Row],[order_date]],"dddd")</f>
        <v>Thursday</v>
      </c>
      <c r="H1038" s="2">
        <v>36526.540289351855</v>
      </c>
      <c r="I1038">
        <v>16.75</v>
      </c>
      <c r="J1038">
        <v>16.75</v>
      </c>
      <c r="K1038" t="s">
        <v>13</v>
      </c>
      <c r="L1038" t="s">
        <v>22</v>
      </c>
      <c r="M1038" t="s">
        <v>101</v>
      </c>
      <c r="N1038" t="s">
        <v>102</v>
      </c>
    </row>
    <row r="1039" spans="1:14" x14ac:dyDescent="0.3">
      <c r="A1039">
        <v>1038</v>
      </c>
      <c r="B1039">
        <v>446</v>
      </c>
      <c r="C1039">
        <f>1/COUNTIF(pizza_sales[[#All],[order_id]],pizza_sales[[#This Row],[order_id]])</f>
        <v>0.33333333333333331</v>
      </c>
      <c r="D1039" t="s">
        <v>113</v>
      </c>
      <c r="E1039">
        <v>1</v>
      </c>
      <c r="F1039" s="1">
        <v>42012</v>
      </c>
      <c r="G1039" s="1" t="str">
        <f>TEXT(pizza_sales[[#This Row],[order_date]],"dddd")</f>
        <v>Thursday</v>
      </c>
      <c r="H1039" s="2">
        <v>36526.540289351855</v>
      </c>
      <c r="I1039">
        <v>20.25</v>
      </c>
      <c r="J1039">
        <v>20.25</v>
      </c>
      <c r="K1039" t="s">
        <v>21</v>
      </c>
      <c r="L1039" t="s">
        <v>26</v>
      </c>
      <c r="M1039" t="s">
        <v>114</v>
      </c>
      <c r="N1039" t="s">
        <v>115</v>
      </c>
    </row>
    <row r="1040" spans="1:14" x14ac:dyDescent="0.3">
      <c r="A1040">
        <v>1039</v>
      </c>
      <c r="B1040">
        <v>447</v>
      </c>
      <c r="C1040">
        <f>1/COUNTIF(pizza_sales[[#All],[order_id]],pizza_sales[[#This Row],[order_id]])</f>
        <v>1</v>
      </c>
      <c r="D1040" t="s">
        <v>20</v>
      </c>
      <c r="E1040">
        <v>1</v>
      </c>
      <c r="F1040" s="1">
        <v>42012</v>
      </c>
      <c r="G1040" s="1" t="str">
        <f>TEXT(pizza_sales[[#This Row],[order_date]],"dddd")</f>
        <v>Thursday</v>
      </c>
      <c r="H1040" s="2">
        <v>36526.543055555558</v>
      </c>
      <c r="I1040">
        <v>18.5</v>
      </c>
      <c r="J1040">
        <v>18.5</v>
      </c>
      <c r="K1040" t="s">
        <v>21</v>
      </c>
      <c r="L1040" t="s">
        <v>22</v>
      </c>
      <c r="M1040" t="s">
        <v>23</v>
      </c>
      <c r="N1040" t="s">
        <v>24</v>
      </c>
    </row>
    <row r="1041" spans="1:14" x14ac:dyDescent="0.3">
      <c r="A1041">
        <v>1040</v>
      </c>
      <c r="B1041">
        <v>448</v>
      </c>
      <c r="C1041">
        <f>1/COUNTIF(pizza_sales[[#All],[order_id]],pizza_sales[[#This Row],[order_id]])</f>
        <v>0.33333333333333331</v>
      </c>
      <c r="D1041" t="s">
        <v>132</v>
      </c>
      <c r="E1041">
        <v>1</v>
      </c>
      <c r="F1041" s="1">
        <v>42012</v>
      </c>
      <c r="G1041" s="1" t="str">
        <f>TEXT(pizza_sales[[#This Row],[order_date]],"dddd")</f>
        <v>Thursday</v>
      </c>
      <c r="H1041" s="2">
        <v>36526.54414351852</v>
      </c>
      <c r="I1041">
        <v>10.5</v>
      </c>
      <c r="J1041">
        <v>10.5</v>
      </c>
      <c r="K1041" t="s">
        <v>41</v>
      </c>
      <c r="L1041" t="s">
        <v>14</v>
      </c>
      <c r="M1041" t="s">
        <v>15</v>
      </c>
      <c r="N1041" t="s">
        <v>16</v>
      </c>
    </row>
    <row r="1042" spans="1:14" x14ac:dyDescent="0.3">
      <c r="A1042">
        <v>1041</v>
      </c>
      <c r="B1042">
        <v>448</v>
      </c>
      <c r="C1042">
        <f>1/COUNTIF(pizza_sales[[#All],[order_id]],pizza_sales[[#This Row],[order_id]])</f>
        <v>0.33333333333333331</v>
      </c>
      <c r="D1042" t="s">
        <v>148</v>
      </c>
      <c r="E1042">
        <v>1</v>
      </c>
      <c r="F1042" s="1">
        <v>42012</v>
      </c>
      <c r="G1042" s="1" t="str">
        <f>TEXT(pizza_sales[[#This Row],[order_date]],"dddd")</f>
        <v>Thursday</v>
      </c>
      <c r="H1042" s="2">
        <v>36526.54414351852</v>
      </c>
      <c r="I1042">
        <v>14.5</v>
      </c>
      <c r="J1042">
        <v>14.5</v>
      </c>
      <c r="K1042" t="s">
        <v>13</v>
      </c>
      <c r="L1042" t="s">
        <v>14</v>
      </c>
      <c r="M1042" t="s">
        <v>130</v>
      </c>
      <c r="N1042" t="s">
        <v>131</v>
      </c>
    </row>
    <row r="1043" spans="1:14" x14ac:dyDescent="0.3">
      <c r="A1043">
        <v>1042</v>
      </c>
      <c r="B1043">
        <v>448</v>
      </c>
      <c r="C1043">
        <f>1/COUNTIF(pizza_sales[[#All],[order_id]],pizza_sales[[#This Row],[order_id]])</f>
        <v>0.33333333333333331</v>
      </c>
      <c r="D1043" t="s">
        <v>121</v>
      </c>
      <c r="E1043">
        <v>1</v>
      </c>
      <c r="F1043" s="1">
        <v>42012</v>
      </c>
      <c r="G1043" s="1" t="str">
        <f>TEXT(pizza_sales[[#This Row],[order_date]],"dddd")</f>
        <v>Thursday</v>
      </c>
      <c r="H1043" s="2">
        <v>36526.54414351852</v>
      </c>
      <c r="I1043">
        <v>16.25</v>
      </c>
      <c r="J1043">
        <v>16.25</v>
      </c>
      <c r="K1043" t="s">
        <v>13</v>
      </c>
      <c r="L1043" t="s">
        <v>26</v>
      </c>
      <c r="M1043" t="s">
        <v>114</v>
      </c>
      <c r="N1043" t="s">
        <v>115</v>
      </c>
    </row>
    <row r="1044" spans="1:14" x14ac:dyDescent="0.3">
      <c r="A1044">
        <v>1043</v>
      </c>
      <c r="B1044">
        <v>449</v>
      </c>
      <c r="C1044">
        <f>1/COUNTIF(pizza_sales[[#All],[order_id]],pizza_sales[[#This Row],[order_id]])</f>
        <v>1</v>
      </c>
      <c r="D1044" t="s">
        <v>32</v>
      </c>
      <c r="E1044">
        <v>1</v>
      </c>
      <c r="F1044" s="1">
        <v>42012</v>
      </c>
      <c r="G1044" s="1" t="str">
        <f>TEXT(pizza_sales[[#This Row],[order_date]],"dddd")</f>
        <v>Thursday</v>
      </c>
      <c r="H1044" s="2">
        <v>36526.544618055559</v>
      </c>
      <c r="I1044">
        <v>20.75</v>
      </c>
      <c r="J1044">
        <v>20.75</v>
      </c>
      <c r="K1044" t="s">
        <v>21</v>
      </c>
      <c r="L1044" t="s">
        <v>33</v>
      </c>
      <c r="M1044" t="s">
        <v>34</v>
      </c>
      <c r="N1044" t="s">
        <v>35</v>
      </c>
    </row>
    <row r="1045" spans="1:14" x14ac:dyDescent="0.3">
      <c r="A1045">
        <v>1044</v>
      </c>
      <c r="B1045">
        <v>450</v>
      </c>
      <c r="C1045">
        <f>1/COUNTIF(pizza_sales[[#All],[order_id]],pizza_sales[[#This Row],[order_id]])</f>
        <v>1</v>
      </c>
      <c r="D1045" t="s">
        <v>84</v>
      </c>
      <c r="E1045">
        <v>1</v>
      </c>
      <c r="F1045" s="1">
        <v>42012</v>
      </c>
      <c r="G1045" s="1" t="str">
        <f>TEXT(pizza_sales[[#This Row],[order_date]],"dddd")</f>
        <v>Thursday</v>
      </c>
      <c r="H1045" s="2">
        <v>36526.5471412037</v>
      </c>
      <c r="I1045">
        <v>12</v>
      </c>
      <c r="J1045">
        <v>12</v>
      </c>
      <c r="K1045" t="s">
        <v>41</v>
      </c>
      <c r="L1045" t="s">
        <v>14</v>
      </c>
      <c r="M1045" t="s">
        <v>85</v>
      </c>
      <c r="N1045" t="s">
        <v>86</v>
      </c>
    </row>
    <row r="1046" spans="1:14" x14ac:dyDescent="0.3">
      <c r="A1046">
        <v>1045</v>
      </c>
      <c r="B1046">
        <v>451</v>
      </c>
      <c r="C1046">
        <f>1/COUNTIF(pizza_sales[[#All],[order_id]],pizza_sales[[#This Row],[order_id]])</f>
        <v>0.33333333333333331</v>
      </c>
      <c r="D1046" t="s">
        <v>20</v>
      </c>
      <c r="E1046">
        <v>1</v>
      </c>
      <c r="F1046" s="1">
        <v>42012</v>
      </c>
      <c r="G1046" s="1" t="str">
        <f>TEXT(pizza_sales[[#This Row],[order_date]],"dddd")</f>
        <v>Thursday</v>
      </c>
      <c r="H1046" s="2">
        <v>36526.554930555554</v>
      </c>
      <c r="I1046">
        <v>18.5</v>
      </c>
      <c r="J1046">
        <v>18.5</v>
      </c>
      <c r="K1046" t="s">
        <v>21</v>
      </c>
      <c r="L1046" t="s">
        <v>22</v>
      </c>
      <c r="M1046" t="s">
        <v>23</v>
      </c>
      <c r="N1046" t="s">
        <v>24</v>
      </c>
    </row>
    <row r="1047" spans="1:14" x14ac:dyDescent="0.3">
      <c r="A1047">
        <v>1046</v>
      </c>
      <c r="B1047">
        <v>451</v>
      </c>
      <c r="C1047">
        <f>1/COUNTIF(pizza_sales[[#All],[order_id]],pizza_sales[[#This Row],[order_id]])</f>
        <v>0.33333333333333331</v>
      </c>
      <c r="D1047" t="s">
        <v>116</v>
      </c>
      <c r="E1047">
        <v>1</v>
      </c>
      <c r="F1047" s="1">
        <v>42012</v>
      </c>
      <c r="G1047" s="1" t="str">
        <f>TEXT(pizza_sales[[#This Row],[order_date]],"dddd")</f>
        <v>Thursday</v>
      </c>
      <c r="H1047" s="2">
        <v>36526.554930555554</v>
      </c>
      <c r="I1047">
        <v>16</v>
      </c>
      <c r="J1047">
        <v>16</v>
      </c>
      <c r="K1047" t="s">
        <v>13</v>
      </c>
      <c r="L1047" t="s">
        <v>14</v>
      </c>
      <c r="M1047" t="s">
        <v>55</v>
      </c>
      <c r="N1047" t="s">
        <v>56</v>
      </c>
    </row>
    <row r="1048" spans="1:14" x14ac:dyDescent="0.3">
      <c r="A1048">
        <v>1047</v>
      </c>
      <c r="B1048">
        <v>451</v>
      </c>
      <c r="C1048">
        <f>1/COUNTIF(pizza_sales[[#All],[order_id]],pizza_sales[[#This Row],[order_id]])</f>
        <v>0.33333333333333331</v>
      </c>
      <c r="D1048" t="s">
        <v>69</v>
      </c>
      <c r="E1048">
        <v>1</v>
      </c>
      <c r="F1048" s="1">
        <v>42012</v>
      </c>
      <c r="G1048" s="1" t="str">
        <f>TEXT(pizza_sales[[#This Row],[order_date]],"dddd")</f>
        <v>Thursday</v>
      </c>
      <c r="H1048" s="2">
        <v>36526.554930555554</v>
      </c>
      <c r="I1048">
        <v>20.75</v>
      </c>
      <c r="J1048">
        <v>20.75</v>
      </c>
      <c r="K1048" t="s">
        <v>21</v>
      </c>
      <c r="L1048" t="s">
        <v>33</v>
      </c>
      <c r="M1048" t="s">
        <v>70</v>
      </c>
      <c r="N1048" t="s">
        <v>71</v>
      </c>
    </row>
    <row r="1049" spans="1:14" x14ac:dyDescent="0.3">
      <c r="A1049">
        <v>1048</v>
      </c>
      <c r="B1049">
        <v>452</v>
      </c>
      <c r="C1049">
        <f>1/COUNTIF(pizza_sales[[#All],[order_id]],pizza_sales[[#This Row],[order_id]])</f>
        <v>0.33333333333333331</v>
      </c>
      <c r="D1049" t="s">
        <v>118</v>
      </c>
      <c r="E1049">
        <v>1</v>
      </c>
      <c r="F1049" s="1">
        <v>42012</v>
      </c>
      <c r="G1049" s="1" t="str">
        <f>TEXT(pizza_sales[[#This Row],[order_date]],"dddd")</f>
        <v>Thursday</v>
      </c>
      <c r="H1049" s="2">
        <v>36526.55846064815</v>
      </c>
      <c r="I1049">
        <v>16.75</v>
      </c>
      <c r="J1049">
        <v>16.75</v>
      </c>
      <c r="K1049" t="s">
        <v>13</v>
      </c>
      <c r="L1049" t="s">
        <v>33</v>
      </c>
      <c r="M1049" t="s">
        <v>42</v>
      </c>
      <c r="N1049" t="s">
        <v>43</v>
      </c>
    </row>
    <row r="1050" spans="1:14" x14ac:dyDescent="0.3">
      <c r="A1050">
        <v>1049</v>
      </c>
      <c r="B1050">
        <v>452</v>
      </c>
      <c r="C1050">
        <f>1/COUNTIF(pizza_sales[[#All],[order_id]],pizza_sales[[#This Row],[order_id]])</f>
        <v>0.33333333333333331</v>
      </c>
      <c r="D1050" t="s">
        <v>84</v>
      </c>
      <c r="E1050">
        <v>1</v>
      </c>
      <c r="F1050" s="1">
        <v>42012</v>
      </c>
      <c r="G1050" s="1" t="str">
        <f>TEXT(pizza_sales[[#This Row],[order_date]],"dddd")</f>
        <v>Thursday</v>
      </c>
      <c r="H1050" s="2">
        <v>36526.55846064815</v>
      </c>
      <c r="I1050">
        <v>12</v>
      </c>
      <c r="J1050">
        <v>12</v>
      </c>
      <c r="K1050" t="s">
        <v>41</v>
      </c>
      <c r="L1050" t="s">
        <v>14</v>
      </c>
      <c r="M1050" t="s">
        <v>85</v>
      </c>
      <c r="N1050" t="s">
        <v>86</v>
      </c>
    </row>
    <row r="1051" spans="1:14" x14ac:dyDescent="0.3">
      <c r="A1051">
        <v>1050</v>
      </c>
      <c r="B1051">
        <v>452</v>
      </c>
      <c r="C1051">
        <f>1/COUNTIF(pizza_sales[[#All],[order_id]],pizza_sales[[#This Row],[order_id]])</f>
        <v>0.33333333333333331</v>
      </c>
      <c r="D1051" t="s">
        <v>121</v>
      </c>
      <c r="E1051">
        <v>1</v>
      </c>
      <c r="F1051" s="1">
        <v>42012</v>
      </c>
      <c r="G1051" s="1" t="str">
        <f>TEXT(pizza_sales[[#This Row],[order_date]],"dddd")</f>
        <v>Thursday</v>
      </c>
      <c r="H1051" s="2">
        <v>36526.55846064815</v>
      </c>
      <c r="I1051">
        <v>16.25</v>
      </c>
      <c r="J1051">
        <v>16.25</v>
      </c>
      <c r="K1051" t="s">
        <v>13</v>
      </c>
      <c r="L1051" t="s">
        <v>26</v>
      </c>
      <c r="M1051" t="s">
        <v>114</v>
      </c>
      <c r="N1051" t="s">
        <v>115</v>
      </c>
    </row>
    <row r="1052" spans="1:14" x14ac:dyDescent="0.3">
      <c r="A1052">
        <v>1051</v>
      </c>
      <c r="B1052">
        <v>453</v>
      </c>
      <c r="C1052">
        <f>1/COUNTIF(pizza_sales[[#All],[order_id]],pizza_sales[[#This Row],[order_id]])</f>
        <v>0.25</v>
      </c>
      <c r="D1052" t="s">
        <v>80</v>
      </c>
      <c r="E1052">
        <v>1</v>
      </c>
      <c r="F1052" s="1">
        <v>42012</v>
      </c>
      <c r="G1052" s="1" t="str">
        <f>TEXT(pizza_sales[[#This Row],[order_date]],"dddd")</f>
        <v>Thursday</v>
      </c>
      <c r="H1052" s="2">
        <v>36526.560578703706</v>
      </c>
      <c r="I1052">
        <v>12.75</v>
      </c>
      <c r="J1052">
        <v>12.75</v>
      </c>
      <c r="K1052" t="s">
        <v>41</v>
      </c>
      <c r="L1052" t="s">
        <v>33</v>
      </c>
      <c r="M1052" t="s">
        <v>74</v>
      </c>
      <c r="N1052" t="s">
        <v>75</v>
      </c>
    </row>
    <row r="1053" spans="1:14" x14ac:dyDescent="0.3">
      <c r="A1053">
        <v>1052</v>
      </c>
      <c r="B1053">
        <v>453</v>
      </c>
      <c r="C1053">
        <f>1/COUNTIF(pizza_sales[[#All],[order_id]],pizza_sales[[#This Row],[order_id]])</f>
        <v>0.25</v>
      </c>
      <c r="D1053" t="s">
        <v>90</v>
      </c>
      <c r="E1053">
        <v>1</v>
      </c>
      <c r="F1053" s="1">
        <v>42012</v>
      </c>
      <c r="G1053" s="1" t="str">
        <f>TEXT(pizza_sales[[#This Row],[order_date]],"dddd")</f>
        <v>Thursday</v>
      </c>
      <c r="H1053" s="2">
        <v>36526.560578703706</v>
      </c>
      <c r="I1053">
        <v>17.95</v>
      </c>
      <c r="J1053">
        <v>17.95</v>
      </c>
      <c r="K1053" t="s">
        <v>21</v>
      </c>
      <c r="L1053" t="s">
        <v>22</v>
      </c>
      <c r="M1053" t="s">
        <v>91</v>
      </c>
      <c r="N1053" t="s">
        <v>92</v>
      </c>
    </row>
    <row r="1054" spans="1:14" x14ac:dyDescent="0.3">
      <c r="A1054">
        <v>1053</v>
      </c>
      <c r="B1054">
        <v>453</v>
      </c>
      <c r="C1054">
        <f>1/COUNTIF(pizza_sales[[#All],[order_id]],pizza_sales[[#This Row],[order_id]])</f>
        <v>0.25</v>
      </c>
      <c r="D1054" t="s">
        <v>121</v>
      </c>
      <c r="E1054">
        <v>1</v>
      </c>
      <c r="F1054" s="1">
        <v>42012</v>
      </c>
      <c r="G1054" s="1" t="str">
        <f>TEXT(pizza_sales[[#This Row],[order_date]],"dddd")</f>
        <v>Thursday</v>
      </c>
      <c r="H1054" s="2">
        <v>36526.560578703706</v>
      </c>
      <c r="I1054">
        <v>16.25</v>
      </c>
      <c r="J1054">
        <v>16.25</v>
      </c>
      <c r="K1054" t="s">
        <v>13</v>
      </c>
      <c r="L1054" t="s">
        <v>26</v>
      </c>
      <c r="M1054" t="s">
        <v>114</v>
      </c>
      <c r="N1054" t="s">
        <v>115</v>
      </c>
    </row>
    <row r="1055" spans="1:14" x14ac:dyDescent="0.3">
      <c r="A1055">
        <v>1054</v>
      </c>
      <c r="B1055">
        <v>453</v>
      </c>
      <c r="C1055">
        <f>1/COUNTIF(pizza_sales[[#All],[order_id]],pizza_sales[[#This Row],[order_id]])</f>
        <v>0.25</v>
      </c>
      <c r="D1055" t="s">
        <v>32</v>
      </c>
      <c r="E1055">
        <v>1</v>
      </c>
      <c r="F1055" s="1">
        <v>42012</v>
      </c>
      <c r="G1055" s="1" t="str">
        <f>TEXT(pizza_sales[[#This Row],[order_date]],"dddd")</f>
        <v>Thursday</v>
      </c>
      <c r="H1055" s="2">
        <v>36526.560578703706</v>
      </c>
      <c r="I1055">
        <v>20.75</v>
      </c>
      <c r="J1055">
        <v>20.75</v>
      </c>
      <c r="K1055" t="s">
        <v>21</v>
      </c>
      <c r="L1055" t="s">
        <v>33</v>
      </c>
      <c r="M1055" t="s">
        <v>34</v>
      </c>
      <c r="N1055" t="s">
        <v>35</v>
      </c>
    </row>
    <row r="1056" spans="1:14" x14ac:dyDescent="0.3">
      <c r="A1056">
        <v>1055</v>
      </c>
      <c r="B1056">
        <v>454</v>
      </c>
      <c r="C1056">
        <f>1/COUNTIF(pizza_sales[[#All],[order_id]],pizza_sales[[#This Row],[order_id]])</f>
        <v>1</v>
      </c>
      <c r="D1056" t="s">
        <v>158</v>
      </c>
      <c r="E1056">
        <v>1</v>
      </c>
      <c r="F1056" s="1">
        <v>42012</v>
      </c>
      <c r="G1056" s="1" t="str">
        <f>TEXT(pizza_sales[[#This Row],[order_date]],"dddd")</f>
        <v>Thursday</v>
      </c>
      <c r="H1056" s="2">
        <v>36526.563657407409</v>
      </c>
      <c r="I1056">
        <v>16.5</v>
      </c>
      <c r="J1056">
        <v>16.5</v>
      </c>
      <c r="K1056" t="s">
        <v>13</v>
      </c>
      <c r="L1056" t="s">
        <v>26</v>
      </c>
      <c r="M1056" t="s">
        <v>60</v>
      </c>
      <c r="N1056" t="s">
        <v>61</v>
      </c>
    </row>
    <row r="1057" spans="1:14" x14ac:dyDescent="0.3">
      <c r="A1057">
        <v>1056</v>
      </c>
      <c r="B1057">
        <v>455</v>
      </c>
      <c r="C1057">
        <f>1/COUNTIF(pizza_sales[[#All],[order_id]],pizza_sales[[#This Row],[order_id]])</f>
        <v>1</v>
      </c>
      <c r="D1057" t="s">
        <v>25</v>
      </c>
      <c r="E1057">
        <v>1</v>
      </c>
      <c r="F1057" s="1">
        <v>42012</v>
      </c>
      <c r="G1057" s="1" t="str">
        <f>TEXT(pizza_sales[[#This Row],[order_date]],"dddd")</f>
        <v>Thursday</v>
      </c>
      <c r="H1057" s="2">
        <v>36526.568912037037</v>
      </c>
      <c r="I1057">
        <v>20.75</v>
      </c>
      <c r="J1057">
        <v>20.75</v>
      </c>
      <c r="K1057" t="s">
        <v>21</v>
      </c>
      <c r="L1057" t="s">
        <v>26</v>
      </c>
      <c r="M1057" t="s">
        <v>27</v>
      </c>
      <c r="N1057" t="s">
        <v>28</v>
      </c>
    </row>
    <row r="1058" spans="1:14" x14ac:dyDescent="0.3">
      <c r="A1058">
        <v>1057</v>
      </c>
      <c r="B1058">
        <v>456</v>
      </c>
      <c r="C1058">
        <f>1/COUNTIF(pizza_sales[[#All],[order_id]],pizza_sales[[#This Row],[order_id]])</f>
        <v>1</v>
      </c>
      <c r="D1058" t="s">
        <v>109</v>
      </c>
      <c r="E1058">
        <v>1</v>
      </c>
      <c r="F1058" s="1">
        <v>42012</v>
      </c>
      <c r="G1058" s="1" t="str">
        <f>TEXT(pizza_sales[[#This Row],[order_date]],"dddd")</f>
        <v>Thursday</v>
      </c>
      <c r="H1058" s="2">
        <v>36526.574918981481</v>
      </c>
      <c r="I1058">
        <v>20.25</v>
      </c>
      <c r="J1058">
        <v>20.25</v>
      </c>
      <c r="K1058" t="s">
        <v>21</v>
      </c>
      <c r="L1058" t="s">
        <v>22</v>
      </c>
      <c r="M1058" t="s">
        <v>110</v>
      </c>
      <c r="N1058" t="s">
        <v>111</v>
      </c>
    </row>
    <row r="1059" spans="1:14" x14ac:dyDescent="0.3">
      <c r="A1059">
        <v>1058</v>
      </c>
      <c r="B1059">
        <v>457</v>
      </c>
      <c r="C1059">
        <f>1/COUNTIF(pizza_sales[[#All],[order_id]],pizza_sales[[#This Row],[order_id]])</f>
        <v>0.33333333333333331</v>
      </c>
      <c r="D1059" t="s">
        <v>73</v>
      </c>
      <c r="E1059">
        <v>1</v>
      </c>
      <c r="F1059" s="1">
        <v>42012</v>
      </c>
      <c r="G1059" s="1" t="str">
        <f>TEXT(pizza_sales[[#This Row],[order_date]],"dddd")</f>
        <v>Thursday</v>
      </c>
      <c r="H1059" s="2">
        <v>36526.582685185182</v>
      </c>
      <c r="I1059">
        <v>20.75</v>
      </c>
      <c r="J1059">
        <v>20.75</v>
      </c>
      <c r="K1059" t="s">
        <v>21</v>
      </c>
      <c r="L1059" t="s">
        <v>33</v>
      </c>
      <c r="M1059" t="s">
        <v>74</v>
      </c>
      <c r="N1059" t="s">
        <v>75</v>
      </c>
    </row>
    <row r="1060" spans="1:14" x14ac:dyDescent="0.3">
      <c r="A1060">
        <v>1059</v>
      </c>
      <c r="B1060">
        <v>457</v>
      </c>
      <c r="C1060">
        <f>1/COUNTIF(pizza_sales[[#All],[order_id]],pizza_sales[[#This Row],[order_id]])</f>
        <v>0.33333333333333331</v>
      </c>
      <c r="D1060" t="s">
        <v>134</v>
      </c>
      <c r="E1060">
        <v>1</v>
      </c>
      <c r="F1060" s="1">
        <v>42012</v>
      </c>
      <c r="G1060" s="1" t="str">
        <f>TEXT(pizza_sales[[#This Row],[order_date]],"dddd")</f>
        <v>Thursday</v>
      </c>
      <c r="H1060" s="2">
        <v>36526.582685185182</v>
      </c>
      <c r="I1060">
        <v>16.75</v>
      </c>
      <c r="J1060">
        <v>16.75</v>
      </c>
      <c r="K1060" t="s">
        <v>13</v>
      </c>
      <c r="L1060" t="s">
        <v>33</v>
      </c>
      <c r="M1060" t="s">
        <v>124</v>
      </c>
      <c r="N1060" t="s">
        <v>125</v>
      </c>
    </row>
    <row r="1061" spans="1:14" x14ac:dyDescent="0.3">
      <c r="A1061">
        <v>1060</v>
      </c>
      <c r="B1061">
        <v>457</v>
      </c>
      <c r="C1061">
        <f>1/COUNTIF(pizza_sales[[#All],[order_id]],pizza_sales[[#This Row],[order_id]])</f>
        <v>0.33333333333333331</v>
      </c>
      <c r="D1061" t="s">
        <v>17</v>
      </c>
      <c r="E1061">
        <v>1</v>
      </c>
      <c r="F1061" s="1">
        <v>42012</v>
      </c>
      <c r="G1061" s="1" t="str">
        <f>TEXT(pizza_sales[[#This Row],[order_date]],"dddd")</f>
        <v>Thursday</v>
      </c>
      <c r="H1061" s="2">
        <v>36526.582685185182</v>
      </c>
      <c r="I1061">
        <v>16</v>
      </c>
      <c r="J1061">
        <v>16</v>
      </c>
      <c r="K1061" t="s">
        <v>13</v>
      </c>
      <c r="L1061" t="s">
        <v>14</v>
      </c>
      <c r="M1061" t="s">
        <v>18</v>
      </c>
      <c r="N1061" t="s">
        <v>19</v>
      </c>
    </row>
    <row r="1062" spans="1:14" x14ac:dyDescent="0.3">
      <c r="A1062">
        <v>1061</v>
      </c>
      <c r="B1062">
        <v>458</v>
      </c>
      <c r="C1062">
        <f>1/COUNTIF(pizza_sales[[#All],[order_id]],pizza_sales[[#This Row],[order_id]])</f>
        <v>0.33333333333333331</v>
      </c>
      <c r="D1062" t="s">
        <v>145</v>
      </c>
      <c r="E1062">
        <v>1</v>
      </c>
      <c r="F1062" s="1">
        <v>42012</v>
      </c>
      <c r="G1062" s="1" t="str">
        <f>TEXT(pizza_sales[[#This Row],[order_date]],"dddd")</f>
        <v>Thursday</v>
      </c>
      <c r="H1062" s="2">
        <v>36526.583391203705</v>
      </c>
      <c r="I1062">
        <v>16.5</v>
      </c>
      <c r="J1062">
        <v>16.5</v>
      </c>
      <c r="K1062" t="s">
        <v>13</v>
      </c>
      <c r="L1062" t="s">
        <v>26</v>
      </c>
      <c r="M1062" t="s">
        <v>38</v>
      </c>
      <c r="N1062" t="s">
        <v>39</v>
      </c>
    </row>
    <row r="1063" spans="1:14" x14ac:dyDescent="0.3">
      <c r="A1063">
        <v>1062</v>
      </c>
      <c r="B1063">
        <v>458</v>
      </c>
      <c r="C1063">
        <f>1/COUNTIF(pizza_sales[[#All],[order_id]],pizza_sales[[#This Row],[order_id]])</f>
        <v>0.33333333333333331</v>
      </c>
      <c r="D1063" t="s">
        <v>144</v>
      </c>
      <c r="E1063">
        <v>1</v>
      </c>
      <c r="F1063" s="1">
        <v>42012</v>
      </c>
      <c r="G1063" s="1" t="str">
        <f>TEXT(pizza_sales[[#This Row],[order_date]],"dddd")</f>
        <v>Thursday</v>
      </c>
      <c r="H1063" s="2">
        <v>36526.583391203705</v>
      </c>
      <c r="I1063">
        <v>16.5</v>
      </c>
      <c r="J1063">
        <v>16.5</v>
      </c>
      <c r="K1063" t="s">
        <v>13</v>
      </c>
      <c r="L1063" t="s">
        <v>26</v>
      </c>
      <c r="M1063" t="s">
        <v>48</v>
      </c>
      <c r="N1063" t="s">
        <v>49</v>
      </c>
    </row>
    <row r="1064" spans="1:14" x14ac:dyDescent="0.3">
      <c r="A1064">
        <v>1063</v>
      </c>
      <c r="B1064">
        <v>458</v>
      </c>
      <c r="C1064">
        <f>1/COUNTIF(pizza_sales[[#All],[order_id]],pizza_sales[[#This Row],[order_id]])</f>
        <v>0.33333333333333331</v>
      </c>
      <c r="D1064" t="s">
        <v>44</v>
      </c>
      <c r="E1064">
        <v>1</v>
      </c>
      <c r="F1064" s="1">
        <v>42012</v>
      </c>
      <c r="G1064" s="1" t="str">
        <f>TEXT(pizza_sales[[#This Row],[order_date]],"dddd")</f>
        <v>Thursday</v>
      </c>
      <c r="H1064" s="2">
        <v>36526.583391203705</v>
      </c>
      <c r="I1064">
        <v>12</v>
      </c>
      <c r="J1064">
        <v>12</v>
      </c>
      <c r="K1064" t="s">
        <v>41</v>
      </c>
      <c r="L1064" t="s">
        <v>14</v>
      </c>
      <c r="M1064" t="s">
        <v>45</v>
      </c>
      <c r="N1064" t="s">
        <v>46</v>
      </c>
    </row>
    <row r="1065" spans="1:14" x14ac:dyDescent="0.3">
      <c r="A1065">
        <v>1064</v>
      </c>
      <c r="B1065">
        <v>459</v>
      </c>
      <c r="C1065">
        <f>1/COUNTIF(pizza_sales[[#All],[order_id]],pizza_sales[[#This Row],[order_id]])</f>
        <v>1</v>
      </c>
      <c r="D1065" t="s">
        <v>59</v>
      </c>
      <c r="E1065">
        <v>1</v>
      </c>
      <c r="F1065" s="1">
        <v>42012</v>
      </c>
      <c r="G1065" s="1" t="str">
        <f>TEXT(pizza_sales[[#This Row],[order_date]],"dddd")</f>
        <v>Thursday</v>
      </c>
      <c r="H1065" s="2">
        <v>36526.593078703707</v>
      </c>
      <c r="I1065">
        <v>20.75</v>
      </c>
      <c r="J1065">
        <v>20.75</v>
      </c>
      <c r="K1065" t="s">
        <v>21</v>
      </c>
      <c r="L1065" t="s">
        <v>26</v>
      </c>
      <c r="M1065" t="s">
        <v>60</v>
      </c>
      <c r="N1065" t="s">
        <v>61</v>
      </c>
    </row>
    <row r="1066" spans="1:14" x14ac:dyDescent="0.3">
      <c r="A1066">
        <v>1065</v>
      </c>
      <c r="B1066">
        <v>460</v>
      </c>
      <c r="C1066">
        <f>1/COUNTIF(pizza_sales[[#All],[order_id]],pizza_sales[[#This Row],[order_id]])</f>
        <v>0.5</v>
      </c>
      <c r="D1066" t="s">
        <v>51</v>
      </c>
      <c r="E1066">
        <v>1</v>
      </c>
      <c r="F1066" s="1">
        <v>42012</v>
      </c>
      <c r="G1066" s="1" t="str">
        <f>TEXT(pizza_sales[[#This Row],[order_date]],"dddd")</f>
        <v>Thursday</v>
      </c>
      <c r="H1066" s="2">
        <v>36526.597199074073</v>
      </c>
      <c r="I1066">
        <v>12</v>
      </c>
      <c r="J1066">
        <v>12</v>
      </c>
      <c r="K1066" t="s">
        <v>41</v>
      </c>
      <c r="L1066" t="s">
        <v>22</v>
      </c>
      <c r="M1066" t="s">
        <v>52</v>
      </c>
      <c r="N1066" t="s">
        <v>53</v>
      </c>
    </row>
    <row r="1067" spans="1:14" x14ac:dyDescent="0.3">
      <c r="A1067">
        <v>1066</v>
      </c>
      <c r="B1067">
        <v>460</v>
      </c>
      <c r="C1067">
        <f>1/COUNTIF(pizza_sales[[#All],[order_id]],pizza_sales[[#This Row],[order_id]])</f>
        <v>0.5</v>
      </c>
      <c r="D1067" t="s">
        <v>36</v>
      </c>
      <c r="E1067">
        <v>1</v>
      </c>
      <c r="F1067" s="1">
        <v>42012</v>
      </c>
      <c r="G1067" s="1" t="str">
        <f>TEXT(pizza_sales[[#This Row],[order_date]],"dddd")</f>
        <v>Thursday</v>
      </c>
      <c r="H1067" s="2">
        <v>36526.597199074073</v>
      </c>
      <c r="I1067">
        <v>16.5</v>
      </c>
      <c r="J1067">
        <v>16.5</v>
      </c>
      <c r="K1067" t="s">
        <v>13</v>
      </c>
      <c r="L1067" t="s">
        <v>26</v>
      </c>
      <c r="M1067" t="s">
        <v>27</v>
      </c>
      <c r="N1067" t="s">
        <v>28</v>
      </c>
    </row>
    <row r="1068" spans="1:14" x14ac:dyDescent="0.3">
      <c r="A1068">
        <v>1067</v>
      </c>
      <c r="B1068">
        <v>461</v>
      </c>
      <c r="C1068">
        <f>1/COUNTIF(pizza_sales[[#All],[order_id]],pizza_sales[[#This Row],[order_id]])</f>
        <v>0.5</v>
      </c>
      <c r="D1068" t="s">
        <v>76</v>
      </c>
      <c r="E1068">
        <v>1</v>
      </c>
      <c r="F1068" s="1">
        <v>42012</v>
      </c>
      <c r="G1068" s="1" t="str">
        <f>TEXT(pizza_sales[[#This Row],[order_date]],"dddd")</f>
        <v>Thursday</v>
      </c>
      <c r="H1068" s="2">
        <v>36526.598136574074</v>
      </c>
      <c r="I1068">
        <v>16.75</v>
      </c>
      <c r="J1068">
        <v>16.75</v>
      </c>
      <c r="K1068" t="s">
        <v>13</v>
      </c>
      <c r="L1068" t="s">
        <v>33</v>
      </c>
      <c r="M1068" t="s">
        <v>74</v>
      </c>
      <c r="N1068" t="s">
        <v>75</v>
      </c>
    </row>
    <row r="1069" spans="1:14" x14ac:dyDescent="0.3">
      <c r="A1069">
        <v>1068</v>
      </c>
      <c r="B1069">
        <v>461</v>
      </c>
      <c r="C1069">
        <f>1/COUNTIF(pizza_sales[[#All],[order_id]],pizza_sales[[#This Row],[order_id]])</f>
        <v>0.5</v>
      </c>
      <c r="D1069" t="s">
        <v>132</v>
      </c>
      <c r="E1069">
        <v>1</v>
      </c>
      <c r="F1069" s="1">
        <v>42012</v>
      </c>
      <c r="G1069" s="1" t="str">
        <f>TEXT(pizza_sales[[#This Row],[order_date]],"dddd")</f>
        <v>Thursday</v>
      </c>
      <c r="H1069" s="2">
        <v>36526.598136574074</v>
      </c>
      <c r="I1069">
        <v>10.5</v>
      </c>
      <c r="J1069">
        <v>10.5</v>
      </c>
      <c r="K1069" t="s">
        <v>41</v>
      </c>
      <c r="L1069" t="s">
        <v>14</v>
      </c>
      <c r="M1069" t="s">
        <v>15</v>
      </c>
      <c r="N1069" t="s">
        <v>16</v>
      </c>
    </row>
    <row r="1070" spans="1:14" x14ac:dyDescent="0.3">
      <c r="A1070">
        <v>1069</v>
      </c>
      <c r="B1070">
        <v>462</v>
      </c>
      <c r="C1070">
        <f>1/COUNTIF(pizza_sales[[#All],[order_id]],pizza_sales[[#This Row],[order_id]])</f>
        <v>1</v>
      </c>
      <c r="D1070" t="s">
        <v>157</v>
      </c>
      <c r="E1070">
        <v>1</v>
      </c>
      <c r="F1070" s="1">
        <v>42012</v>
      </c>
      <c r="G1070" s="1" t="str">
        <f>TEXT(pizza_sales[[#This Row],[order_date]],"dddd")</f>
        <v>Thursday</v>
      </c>
      <c r="H1070" s="2">
        <v>36526.610196759262</v>
      </c>
      <c r="I1070">
        <v>12</v>
      </c>
      <c r="J1070">
        <v>12</v>
      </c>
      <c r="K1070" t="s">
        <v>41</v>
      </c>
      <c r="L1070" t="s">
        <v>22</v>
      </c>
      <c r="M1070" t="s">
        <v>110</v>
      </c>
      <c r="N1070" t="s">
        <v>111</v>
      </c>
    </row>
    <row r="1071" spans="1:14" x14ac:dyDescent="0.3">
      <c r="A1071">
        <v>1070</v>
      </c>
      <c r="B1071">
        <v>463</v>
      </c>
      <c r="C1071">
        <f>1/COUNTIF(pizza_sales[[#All],[order_id]],pizza_sales[[#This Row],[order_id]])</f>
        <v>0.5</v>
      </c>
      <c r="D1071" t="s">
        <v>72</v>
      </c>
      <c r="E1071">
        <v>1</v>
      </c>
      <c r="F1071" s="1">
        <v>42012</v>
      </c>
      <c r="G1071" s="1" t="str">
        <f>TEXT(pizza_sales[[#This Row],[order_date]],"dddd")</f>
        <v>Thursday</v>
      </c>
      <c r="H1071" s="2">
        <v>36526.611435185187</v>
      </c>
      <c r="I1071">
        <v>20.75</v>
      </c>
      <c r="J1071">
        <v>20.75</v>
      </c>
      <c r="K1071" t="s">
        <v>21</v>
      </c>
      <c r="L1071" t="s">
        <v>33</v>
      </c>
      <c r="M1071" t="s">
        <v>42</v>
      </c>
      <c r="N1071" t="s">
        <v>43</v>
      </c>
    </row>
    <row r="1072" spans="1:14" x14ac:dyDescent="0.3">
      <c r="A1072">
        <v>1071</v>
      </c>
      <c r="B1072">
        <v>463</v>
      </c>
      <c r="C1072">
        <f>1/COUNTIF(pizza_sales[[#All],[order_id]],pizza_sales[[#This Row],[order_id]])</f>
        <v>0.5</v>
      </c>
      <c r="D1072" t="s">
        <v>145</v>
      </c>
      <c r="E1072">
        <v>1</v>
      </c>
      <c r="F1072" s="1">
        <v>42012</v>
      </c>
      <c r="G1072" s="1" t="str">
        <f>TEXT(pizza_sales[[#This Row],[order_date]],"dddd")</f>
        <v>Thursday</v>
      </c>
      <c r="H1072" s="2">
        <v>36526.611435185187</v>
      </c>
      <c r="I1072">
        <v>16.5</v>
      </c>
      <c r="J1072">
        <v>16.5</v>
      </c>
      <c r="K1072" t="s">
        <v>13</v>
      </c>
      <c r="L1072" t="s">
        <v>26</v>
      </c>
      <c r="M1072" t="s">
        <v>38</v>
      </c>
      <c r="N1072" t="s">
        <v>39</v>
      </c>
    </row>
    <row r="1073" spans="1:14" x14ac:dyDescent="0.3">
      <c r="A1073">
        <v>1072</v>
      </c>
      <c r="B1073">
        <v>464</v>
      </c>
      <c r="C1073">
        <f>1/COUNTIF(pizza_sales[[#All],[order_id]],pizza_sales[[#This Row],[order_id]])</f>
        <v>0.5</v>
      </c>
      <c r="D1073" t="s">
        <v>72</v>
      </c>
      <c r="E1073">
        <v>1</v>
      </c>
      <c r="F1073" s="1">
        <v>42012</v>
      </c>
      <c r="G1073" s="1" t="str">
        <f>TEXT(pizza_sales[[#This Row],[order_date]],"dddd")</f>
        <v>Thursday</v>
      </c>
      <c r="H1073" s="2">
        <v>36526.617372685185</v>
      </c>
      <c r="I1073">
        <v>20.75</v>
      </c>
      <c r="J1073">
        <v>20.75</v>
      </c>
      <c r="K1073" t="s">
        <v>21</v>
      </c>
      <c r="L1073" t="s">
        <v>33</v>
      </c>
      <c r="M1073" t="s">
        <v>42</v>
      </c>
      <c r="N1073" t="s">
        <v>43</v>
      </c>
    </row>
    <row r="1074" spans="1:14" x14ac:dyDescent="0.3">
      <c r="A1074">
        <v>1073</v>
      </c>
      <c r="B1074">
        <v>464</v>
      </c>
      <c r="C1074">
        <f>1/COUNTIF(pizza_sales[[#All],[order_id]],pizza_sales[[#This Row],[order_id]])</f>
        <v>0.5</v>
      </c>
      <c r="D1074" t="s">
        <v>96</v>
      </c>
      <c r="E1074">
        <v>1</v>
      </c>
      <c r="F1074" s="1">
        <v>42012</v>
      </c>
      <c r="G1074" s="1" t="str">
        <f>TEXT(pizza_sales[[#This Row],[order_date]],"dddd")</f>
        <v>Thursday</v>
      </c>
      <c r="H1074" s="2">
        <v>36526.617372685185</v>
      </c>
      <c r="I1074">
        <v>16.25</v>
      </c>
      <c r="J1074">
        <v>16.25</v>
      </c>
      <c r="K1074" t="s">
        <v>13</v>
      </c>
      <c r="L1074" t="s">
        <v>26</v>
      </c>
      <c r="M1074" t="s">
        <v>97</v>
      </c>
      <c r="N1074" t="s">
        <v>98</v>
      </c>
    </row>
    <row r="1075" spans="1:14" x14ac:dyDescent="0.3">
      <c r="A1075">
        <v>1074</v>
      </c>
      <c r="B1075">
        <v>465</v>
      </c>
      <c r="C1075">
        <f>1/COUNTIF(pizza_sales[[#All],[order_id]],pizza_sales[[#This Row],[order_id]])</f>
        <v>1</v>
      </c>
      <c r="D1075" t="s">
        <v>93</v>
      </c>
      <c r="E1075">
        <v>1</v>
      </c>
      <c r="F1075" s="1">
        <v>42012</v>
      </c>
      <c r="G1075" s="1" t="str">
        <f>TEXT(pizza_sales[[#This Row],[order_date]],"dddd")</f>
        <v>Thursday</v>
      </c>
      <c r="H1075" s="2">
        <v>36526.621793981481</v>
      </c>
      <c r="I1075">
        <v>12</v>
      </c>
      <c r="J1075">
        <v>12</v>
      </c>
      <c r="K1075" t="s">
        <v>41</v>
      </c>
      <c r="L1075" t="s">
        <v>14</v>
      </c>
      <c r="M1075" t="s">
        <v>94</v>
      </c>
      <c r="N1075" t="s">
        <v>95</v>
      </c>
    </row>
    <row r="1076" spans="1:14" x14ac:dyDescent="0.3">
      <c r="A1076">
        <v>1075</v>
      </c>
      <c r="B1076">
        <v>466</v>
      </c>
      <c r="C1076">
        <f>1/COUNTIF(pizza_sales[[#All],[order_id]],pizza_sales[[#This Row],[order_id]])</f>
        <v>0.5</v>
      </c>
      <c r="D1076" t="s">
        <v>109</v>
      </c>
      <c r="E1076">
        <v>1</v>
      </c>
      <c r="F1076" s="1">
        <v>42012</v>
      </c>
      <c r="G1076" s="1" t="str">
        <f>TEXT(pizza_sales[[#This Row],[order_date]],"dddd")</f>
        <v>Thursday</v>
      </c>
      <c r="H1076" s="2">
        <v>36526.645949074074</v>
      </c>
      <c r="I1076">
        <v>20.25</v>
      </c>
      <c r="J1076">
        <v>20.25</v>
      </c>
      <c r="K1076" t="s">
        <v>21</v>
      </c>
      <c r="L1076" t="s">
        <v>22</v>
      </c>
      <c r="M1076" t="s">
        <v>110</v>
      </c>
      <c r="N1076" t="s">
        <v>111</v>
      </c>
    </row>
    <row r="1077" spans="1:14" x14ac:dyDescent="0.3">
      <c r="A1077">
        <v>1076</v>
      </c>
      <c r="B1077">
        <v>466</v>
      </c>
      <c r="C1077">
        <f>1/COUNTIF(pizza_sales[[#All],[order_id]],pizza_sales[[#This Row],[order_id]])</f>
        <v>0.5</v>
      </c>
      <c r="D1077" t="s">
        <v>140</v>
      </c>
      <c r="E1077">
        <v>1</v>
      </c>
      <c r="F1077" s="1">
        <v>42012</v>
      </c>
      <c r="G1077" s="1" t="str">
        <f>TEXT(pizza_sales[[#This Row],[order_date]],"dddd")</f>
        <v>Thursday</v>
      </c>
      <c r="H1077" s="2">
        <v>36526.645949074074</v>
      </c>
      <c r="I1077">
        <v>25.5</v>
      </c>
      <c r="J1077">
        <v>25.5</v>
      </c>
      <c r="K1077" t="s">
        <v>141</v>
      </c>
      <c r="L1077" t="s">
        <v>14</v>
      </c>
      <c r="M1077" t="s">
        <v>45</v>
      </c>
      <c r="N1077" t="s">
        <v>46</v>
      </c>
    </row>
    <row r="1078" spans="1:14" x14ac:dyDescent="0.3">
      <c r="A1078">
        <v>1077</v>
      </c>
      <c r="B1078">
        <v>467</v>
      </c>
      <c r="C1078">
        <f>1/COUNTIF(pizza_sales[[#All],[order_id]],pizza_sales[[#This Row],[order_id]])</f>
        <v>1</v>
      </c>
      <c r="D1078" t="s">
        <v>120</v>
      </c>
      <c r="E1078">
        <v>1</v>
      </c>
      <c r="F1078" s="1">
        <v>42012</v>
      </c>
      <c r="G1078" s="1" t="str">
        <f>TEXT(pizza_sales[[#This Row],[order_date]],"dddd")</f>
        <v>Thursday</v>
      </c>
      <c r="H1078" s="2">
        <v>36526.64806712963</v>
      </c>
      <c r="I1078">
        <v>12.5</v>
      </c>
      <c r="J1078">
        <v>12.5</v>
      </c>
      <c r="K1078" t="s">
        <v>41</v>
      </c>
      <c r="L1078" t="s">
        <v>26</v>
      </c>
      <c r="M1078" t="s">
        <v>38</v>
      </c>
      <c r="N1078" t="s">
        <v>39</v>
      </c>
    </row>
    <row r="1079" spans="1:14" x14ac:dyDescent="0.3">
      <c r="A1079">
        <v>1078</v>
      </c>
      <c r="B1079">
        <v>468</v>
      </c>
      <c r="C1079">
        <f>1/COUNTIF(pizza_sales[[#All],[order_id]],pizza_sales[[#This Row],[order_id]])</f>
        <v>0.5</v>
      </c>
      <c r="D1079" t="s">
        <v>90</v>
      </c>
      <c r="E1079">
        <v>1</v>
      </c>
      <c r="F1079" s="1">
        <v>42012</v>
      </c>
      <c r="G1079" s="1" t="str">
        <f>TEXT(pizza_sales[[#This Row],[order_date]],"dddd")</f>
        <v>Thursday</v>
      </c>
      <c r="H1079" s="2">
        <v>36526.650138888886</v>
      </c>
      <c r="I1079">
        <v>17.95</v>
      </c>
      <c r="J1079">
        <v>17.95</v>
      </c>
      <c r="K1079" t="s">
        <v>21</v>
      </c>
      <c r="L1079" t="s">
        <v>22</v>
      </c>
      <c r="M1079" t="s">
        <v>91</v>
      </c>
      <c r="N1079" t="s">
        <v>92</v>
      </c>
    </row>
    <row r="1080" spans="1:14" x14ac:dyDescent="0.3">
      <c r="A1080">
        <v>1079</v>
      </c>
      <c r="B1080">
        <v>468</v>
      </c>
      <c r="C1080">
        <f>1/COUNTIF(pizza_sales[[#All],[order_id]],pizza_sales[[#This Row],[order_id]])</f>
        <v>0.5</v>
      </c>
      <c r="D1080" t="s">
        <v>77</v>
      </c>
      <c r="E1080">
        <v>1</v>
      </c>
      <c r="F1080" s="1">
        <v>42012</v>
      </c>
      <c r="G1080" s="1" t="str">
        <f>TEXT(pizza_sales[[#This Row],[order_date]],"dddd")</f>
        <v>Thursday</v>
      </c>
      <c r="H1080" s="2">
        <v>36526.650138888886</v>
      </c>
      <c r="I1080">
        <v>15.25</v>
      </c>
      <c r="J1080">
        <v>15.25</v>
      </c>
      <c r="K1080" t="s">
        <v>21</v>
      </c>
      <c r="L1080" t="s">
        <v>14</v>
      </c>
      <c r="M1080" t="s">
        <v>78</v>
      </c>
      <c r="N1080" t="s">
        <v>79</v>
      </c>
    </row>
    <row r="1081" spans="1:14" x14ac:dyDescent="0.3">
      <c r="A1081">
        <v>1080</v>
      </c>
      <c r="B1081">
        <v>469</v>
      </c>
      <c r="C1081">
        <f>1/COUNTIF(pizza_sales[[#All],[order_id]],pizza_sales[[#This Row],[order_id]])</f>
        <v>0.5</v>
      </c>
      <c r="D1081" t="s">
        <v>118</v>
      </c>
      <c r="E1081">
        <v>1</v>
      </c>
      <c r="F1081" s="1">
        <v>42012</v>
      </c>
      <c r="G1081" s="1" t="str">
        <f>TEXT(pizza_sales[[#This Row],[order_date]],"dddd")</f>
        <v>Thursday</v>
      </c>
      <c r="H1081" s="2">
        <v>36526.650902777779</v>
      </c>
      <c r="I1081">
        <v>16.75</v>
      </c>
      <c r="J1081">
        <v>16.75</v>
      </c>
      <c r="K1081" t="s">
        <v>13</v>
      </c>
      <c r="L1081" t="s">
        <v>33</v>
      </c>
      <c r="M1081" t="s">
        <v>42</v>
      </c>
      <c r="N1081" t="s">
        <v>43</v>
      </c>
    </row>
    <row r="1082" spans="1:14" x14ac:dyDescent="0.3">
      <c r="A1082">
        <v>1081</v>
      </c>
      <c r="B1082">
        <v>469</v>
      </c>
      <c r="C1082">
        <f>1/COUNTIF(pizza_sales[[#All],[order_id]],pizza_sales[[#This Row],[order_id]])</f>
        <v>0.5</v>
      </c>
      <c r="D1082" t="s">
        <v>149</v>
      </c>
      <c r="E1082">
        <v>1</v>
      </c>
      <c r="F1082" s="1">
        <v>42012</v>
      </c>
      <c r="G1082" s="1" t="str">
        <f>TEXT(pizza_sales[[#This Row],[order_date]],"dddd")</f>
        <v>Thursday</v>
      </c>
      <c r="H1082" s="2">
        <v>36526.650902777779</v>
      </c>
      <c r="I1082">
        <v>12.25</v>
      </c>
      <c r="J1082">
        <v>12.25</v>
      </c>
      <c r="K1082" t="s">
        <v>41</v>
      </c>
      <c r="L1082" t="s">
        <v>26</v>
      </c>
      <c r="M1082" t="s">
        <v>114</v>
      </c>
      <c r="N1082" t="s">
        <v>115</v>
      </c>
    </row>
    <row r="1083" spans="1:14" x14ac:dyDescent="0.3">
      <c r="A1083">
        <v>1082</v>
      </c>
      <c r="B1083">
        <v>470</v>
      </c>
      <c r="C1083">
        <f>1/COUNTIF(pizza_sales[[#All],[order_id]],pizza_sales[[#This Row],[order_id]])</f>
        <v>1</v>
      </c>
      <c r="D1083" t="s">
        <v>65</v>
      </c>
      <c r="E1083">
        <v>1</v>
      </c>
      <c r="F1083" s="1">
        <v>42012</v>
      </c>
      <c r="G1083" s="1" t="str">
        <f>TEXT(pizza_sales[[#This Row],[order_date]],"dddd")</f>
        <v>Thursday</v>
      </c>
      <c r="H1083" s="2">
        <v>36526.659178240741</v>
      </c>
      <c r="I1083">
        <v>12</v>
      </c>
      <c r="J1083">
        <v>12</v>
      </c>
      <c r="K1083" t="s">
        <v>41</v>
      </c>
      <c r="L1083" t="s">
        <v>22</v>
      </c>
      <c r="M1083" t="s">
        <v>66</v>
      </c>
      <c r="N1083" t="s">
        <v>67</v>
      </c>
    </row>
    <row r="1084" spans="1:14" x14ac:dyDescent="0.3">
      <c r="A1084">
        <v>1083</v>
      </c>
      <c r="B1084">
        <v>471</v>
      </c>
      <c r="C1084">
        <f>1/COUNTIF(pizza_sales[[#All],[order_id]],pizza_sales[[#This Row],[order_id]])</f>
        <v>1</v>
      </c>
      <c r="D1084" t="s">
        <v>100</v>
      </c>
      <c r="E1084">
        <v>1</v>
      </c>
      <c r="F1084" s="1">
        <v>42012</v>
      </c>
      <c r="G1084" s="1" t="str">
        <f>TEXT(pizza_sales[[#This Row],[order_date]],"dddd")</f>
        <v>Thursday</v>
      </c>
      <c r="H1084" s="2">
        <v>36526.680856481478</v>
      </c>
      <c r="I1084">
        <v>12.75</v>
      </c>
      <c r="J1084">
        <v>12.75</v>
      </c>
      <c r="K1084" t="s">
        <v>41</v>
      </c>
      <c r="L1084" t="s">
        <v>22</v>
      </c>
      <c r="M1084" t="s">
        <v>101</v>
      </c>
      <c r="N1084" t="s">
        <v>102</v>
      </c>
    </row>
    <row r="1085" spans="1:14" x14ac:dyDescent="0.3">
      <c r="A1085">
        <v>1084</v>
      </c>
      <c r="B1085">
        <v>472</v>
      </c>
      <c r="C1085">
        <f>1/COUNTIF(pizza_sales[[#All],[order_id]],pizza_sales[[#This Row],[order_id]])</f>
        <v>0.5</v>
      </c>
      <c r="D1085" t="s">
        <v>153</v>
      </c>
      <c r="E1085">
        <v>1</v>
      </c>
      <c r="F1085" s="1">
        <v>42012</v>
      </c>
      <c r="G1085" s="1" t="str">
        <f>TEXT(pizza_sales[[#This Row],[order_date]],"dddd")</f>
        <v>Thursday</v>
      </c>
      <c r="H1085" s="2">
        <v>36526.687384259261</v>
      </c>
      <c r="I1085">
        <v>21</v>
      </c>
      <c r="J1085">
        <v>21</v>
      </c>
      <c r="K1085" t="s">
        <v>21</v>
      </c>
      <c r="L1085" t="s">
        <v>22</v>
      </c>
      <c r="M1085" t="s">
        <v>101</v>
      </c>
      <c r="N1085" t="s">
        <v>102</v>
      </c>
    </row>
    <row r="1086" spans="1:14" x14ac:dyDescent="0.3">
      <c r="A1086">
        <v>1085</v>
      </c>
      <c r="B1086">
        <v>472</v>
      </c>
      <c r="C1086">
        <f>1/COUNTIF(pizza_sales[[#All],[order_id]],pizza_sales[[#This Row],[order_id]])</f>
        <v>0.5</v>
      </c>
      <c r="D1086" t="s">
        <v>159</v>
      </c>
      <c r="E1086">
        <v>1</v>
      </c>
      <c r="F1086" s="1">
        <v>42012</v>
      </c>
      <c r="G1086" s="1" t="str">
        <f>TEXT(pizza_sales[[#This Row],[order_date]],"dddd")</f>
        <v>Thursday</v>
      </c>
      <c r="H1086" s="2">
        <v>36526.687384259261</v>
      </c>
      <c r="I1086">
        <v>16.75</v>
      </c>
      <c r="J1086">
        <v>16.75</v>
      </c>
      <c r="K1086" t="s">
        <v>13</v>
      </c>
      <c r="L1086" t="s">
        <v>22</v>
      </c>
      <c r="M1086" t="s">
        <v>101</v>
      </c>
      <c r="N1086" t="s">
        <v>102</v>
      </c>
    </row>
    <row r="1087" spans="1:14" x14ac:dyDescent="0.3">
      <c r="A1087">
        <v>1086</v>
      </c>
      <c r="B1087">
        <v>473</v>
      </c>
      <c r="C1087">
        <f>1/COUNTIF(pizza_sales[[#All],[order_id]],pizza_sales[[#This Row],[order_id]])</f>
        <v>0.33333333333333331</v>
      </c>
      <c r="D1087" t="s">
        <v>142</v>
      </c>
      <c r="E1087">
        <v>1</v>
      </c>
      <c r="F1087" s="1">
        <v>42012</v>
      </c>
      <c r="G1087" s="1" t="str">
        <f>TEXT(pizza_sales[[#This Row],[order_date]],"dddd")</f>
        <v>Thursday</v>
      </c>
      <c r="H1087" s="2">
        <v>36526.695451388892</v>
      </c>
      <c r="I1087">
        <v>16.5</v>
      </c>
      <c r="J1087">
        <v>16.5</v>
      </c>
      <c r="K1087" t="s">
        <v>21</v>
      </c>
      <c r="L1087" t="s">
        <v>14</v>
      </c>
      <c r="M1087" t="s">
        <v>15</v>
      </c>
      <c r="N1087" t="s">
        <v>16</v>
      </c>
    </row>
    <row r="1088" spans="1:14" x14ac:dyDescent="0.3">
      <c r="A1088">
        <v>1087</v>
      </c>
      <c r="B1088">
        <v>473</v>
      </c>
      <c r="C1088">
        <f>1/COUNTIF(pizza_sales[[#All],[order_id]],pizza_sales[[#This Row],[order_id]])</f>
        <v>0.33333333333333331</v>
      </c>
      <c r="D1088" t="s">
        <v>145</v>
      </c>
      <c r="E1088">
        <v>1</v>
      </c>
      <c r="F1088" s="1">
        <v>42012</v>
      </c>
      <c r="G1088" s="1" t="str">
        <f>TEXT(pizza_sales[[#This Row],[order_date]],"dddd")</f>
        <v>Thursday</v>
      </c>
      <c r="H1088" s="2">
        <v>36526.695451388892</v>
      </c>
      <c r="I1088">
        <v>16.5</v>
      </c>
      <c r="J1088">
        <v>16.5</v>
      </c>
      <c r="K1088" t="s">
        <v>13</v>
      </c>
      <c r="L1088" t="s">
        <v>26</v>
      </c>
      <c r="M1088" t="s">
        <v>38</v>
      </c>
      <c r="N1088" t="s">
        <v>39</v>
      </c>
    </row>
    <row r="1089" spans="1:14" x14ac:dyDescent="0.3">
      <c r="A1089">
        <v>1088</v>
      </c>
      <c r="B1089">
        <v>473</v>
      </c>
      <c r="C1089">
        <f>1/COUNTIF(pizza_sales[[#All],[order_id]],pizza_sales[[#This Row],[order_id]])</f>
        <v>0.33333333333333331</v>
      </c>
      <c r="D1089" t="s">
        <v>147</v>
      </c>
      <c r="E1089">
        <v>1</v>
      </c>
      <c r="F1089" s="1">
        <v>42012</v>
      </c>
      <c r="G1089" s="1" t="str">
        <f>TEXT(pizza_sales[[#This Row],[order_date]],"dddd")</f>
        <v>Thursday</v>
      </c>
      <c r="H1089" s="2">
        <v>36526.695451388892</v>
      </c>
      <c r="I1089">
        <v>16.75</v>
      </c>
      <c r="J1089">
        <v>16.75</v>
      </c>
      <c r="K1089" t="s">
        <v>13</v>
      </c>
      <c r="L1089" t="s">
        <v>33</v>
      </c>
      <c r="M1089" t="s">
        <v>70</v>
      </c>
      <c r="N1089" t="s">
        <v>71</v>
      </c>
    </row>
    <row r="1090" spans="1:14" x14ac:dyDescent="0.3">
      <c r="A1090">
        <v>1089</v>
      </c>
      <c r="B1090">
        <v>474</v>
      </c>
      <c r="C1090">
        <f>1/COUNTIF(pizza_sales[[#All],[order_id]],pizza_sales[[#This Row],[order_id]])</f>
        <v>0.5</v>
      </c>
      <c r="D1090" t="s">
        <v>51</v>
      </c>
      <c r="E1090">
        <v>1</v>
      </c>
      <c r="F1090" s="1">
        <v>42012</v>
      </c>
      <c r="G1090" s="1" t="str">
        <f>TEXT(pizza_sales[[#This Row],[order_date]],"dddd")</f>
        <v>Thursday</v>
      </c>
      <c r="H1090" s="2">
        <v>36526.699861111112</v>
      </c>
      <c r="I1090">
        <v>12</v>
      </c>
      <c r="J1090">
        <v>12</v>
      </c>
      <c r="K1090" t="s">
        <v>41</v>
      </c>
      <c r="L1090" t="s">
        <v>22</v>
      </c>
      <c r="M1090" t="s">
        <v>52</v>
      </c>
      <c r="N1090" t="s">
        <v>53</v>
      </c>
    </row>
    <row r="1091" spans="1:14" x14ac:dyDescent="0.3">
      <c r="A1091">
        <v>1090</v>
      </c>
      <c r="B1091">
        <v>474</v>
      </c>
      <c r="C1091">
        <f>1/COUNTIF(pizza_sales[[#All],[order_id]],pizza_sales[[#This Row],[order_id]])</f>
        <v>0.5</v>
      </c>
      <c r="D1091" t="s">
        <v>126</v>
      </c>
      <c r="E1091">
        <v>1</v>
      </c>
      <c r="F1091" s="1">
        <v>42012</v>
      </c>
      <c r="G1091" s="1" t="str">
        <f>TEXT(pizza_sales[[#This Row],[order_date]],"dddd")</f>
        <v>Thursday</v>
      </c>
      <c r="H1091" s="2">
        <v>36526.699861111112</v>
      </c>
      <c r="I1091">
        <v>9.75</v>
      </c>
      <c r="J1091">
        <v>9.75</v>
      </c>
      <c r="K1091" t="s">
        <v>41</v>
      </c>
      <c r="L1091" t="s">
        <v>14</v>
      </c>
      <c r="M1091" t="s">
        <v>78</v>
      </c>
      <c r="N1091" t="s">
        <v>79</v>
      </c>
    </row>
    <row r="1092" spans="1:14" x14ac:dyDescent="0.3">
      <c r="A1092">
        <v>1091</v>
      </c>
      <c r="B1092">
        <v>475</v>
      </c>
      <c r="C1092">
        <f>1/COUNTIF(pizza_sales[[#All],[order_id]],pizza_sales[[#This Row],[order_id]])</f>
        <v>0.5</v>
      </c>
      <c r="D1092" t="s">
        <v>84</v>
      </c>
      <c r="E1092">
        <v>1</v>
      </c>
      <c r="F1092" s="1">
        <v>42012</v>
      </c>
      <c r="G1092" s="1" t="str">
        <f>TEXT(pizza_sales[[#This Row],[order_date]],"dddd")</f>
        <v>Thursday</v>
      </c>
      <c r="H1092" s="2">
        <v>36526.718946759262</v>
      </c>
      <c r="I1092">
        <v>12</v>
      </c>
      <c r="J1092">
        <v>12</v>
      </c>
      <c r="K1092" t="s">
        <v>41</v>
      </c>
      <c r="L1092" t="s">
        <v>14</v>
      </c>
      <c r="M1092" t="s">
        <v>85</v>
      </c>
      <c r="N1092" t="s">
        <v>86</v>
      </c>
    </row>
    <row r="1093" spans="1:14" x14ac:dyDescent="0.3">
      <c r="A1093">
        <v>1092</v>
      </c>
      <c r="B1093">
        <v>475</v>
      </c>
      <c r="C1093">
        <f>1/COUNTIF(pizza_sales[[#All],[order_id]],pizza_sales[[#This Row],[order_id]])</f>
        <v>0.5</v>
      </c>
      <c r="D1093" t="s">
        <v>32</v>
      </c>
      <c r="E1093">
        <v>1</v>
      </c>
      <c r="F1093" s="1">
        <v>42012</v>
      </c>
      <c r="G1093" s="1" t="str">
        <f>TEXT(pizza_sales[[#This Row],[order_date]],"dddd")</f>
        <v>Thursday</v>
      </c>
      <c r="H1093" s="2">
        <v>36526.718946759262</v>
      </c>
      <c r="I1093">
        <v>20.75</v>
      </c>
      <c r="J1093">
        <v>20.75</v>
      </c>
      <c r="K1093" t="s">
        <v>21</v>
      </c>
      <c r="L1093" t="s">
        <v>33</v>
      </c>
      <c r="M1093" t="s">
        <v>34</v>
      </c>
      <c r="N1093" t="s">
        <v>35</v>
      </c>
    </row>
    <row r="1094" spans="1:14" x14ac:dyDescent="0.3">
      <c r="A1094">
        <v>1093</v>
      </c>
      <c r="B1094">
        <v>476</v>
      </c>
      <c r="C1094">
        <f>1/COUNTIF(pizza_sales[[#All],[order_id]],pizza_sales[[#This Row],[order_id]])</f>
        <v>0.33333333333333331</v>
      </c>
      <c r="D1094" t="s">
        <v>119</v>
      </c>
      <c r="E1094">
        <v>1</v>
      </c>
      <c r="F1094" s="1">
        <v>42012</v>
      </c>
      <c r="G1094" s="1" t="str">
        <f>TEXT(pizza_sales[[#This Row],[order_date]],"dddd")</f>
        <v>Thursday</v>
      </c>
      <c r="H1094" s="2">
        <v>36526.727731481478</v>
      </c>
      <c r="I1094">
        <v>12.5</v>
      </c>
      <c r="J1094">
        <v>12.5</v>
      </c>
      <c r="K1094" t="s">
        <v>13</v>
      </c>
      <c r="L1094" t="s">
        <v>14</v>
      </c>
      <c r="M1094" t="s">
        <v>78</v>
      </c>
      <c r="N1094" t="s">
        <v>79</v>
      </c>
    </row>
    <row r="1095" spans="1:14" x14ac:dyDescent="0.3">
      <c r="A1095">
        <v>1094</v>
      </c>
      <c r="B1095">
        <v>476</v>
      </c>
      <c r="C1095">
        <f>1/COUNTIF(pizza_sales[[#All],[order_id]],pizza_sales[[#This Row],[order_id]])</f>
        <v>0.33333333333333331</v>
      </c>
      <c r="D1095" t="s">
        <v>37</v>
      </c>
      <c r="E1095">
        <v>1</v>
      </c>
      <c r="F1095" s="1">
        <v>42012</v>
      </c>
      <c r="G1095" s="1" t="str">
        <f>TEXT(pizza_sales[[#This Row],[order_date]],"dddd")</f>
        <v>Thursday</v>
      </c>
      <c r="H1095" s="2">
        <v>36526.727731481478</v>
      </c>
      <c r="I1095">
        <v>20.75</v>
      </c>
      <c r="J1095">
        <v>20.75</v>
      </c>
      <c r="K1095" t="s">
        <v>21</v>
      </c>
      <c r="L1095" t="s">
        <v>26</v>
      </c>
      <c r="M1095" t="s">
        <v>38</v>
      </c>
      <c r="N1095" t="s">
        <v>39</v>
      </c>
    </row>
    <row r="1096" spans="1:14" x14ac:dyDescent="0.3">
      <c r="A1096">
        <v>1095</v>
      </c>
      <c r="B1096">
        <v>476</v>
      </c>
      <c r="C1096">
        <f>1/COUNTIF(pizza_sales[[#All],[order_id]],pizza_sales[[#This Row],[order_id]])</f>
        <v>0.33333333333333331</v>
      </c>
      <c r="D1096" t="s">
        <v>154</v>
      </c>
      <c r="E1096">
        <v>1</v>
      </c>
      <c r="F1096" s="1">
        <v>42012</v>
      </c>
      <c r="G1096" s="1" t="str">
        <f>TEXT(pizza_sales[[#This Row],[order_date]],"dddd")</f>
        <v>Thursday</v>
      </c>
      <c r="H1096" s="2">
        <v>36526.727731481478</v>
      </c>
      <c r="I1096">
        <v>16</v>
      </c>
      <c r="J1096">
        <v>16</v>
      </c>
      <c r="K1096" t="s">
        <v>13</v>
      </c>
      <c r="L1096" t="s">
        <v>22</v>
      </c>
      <c r="M1096" t="s">
        <v>66</v>
      </c>
      <c r="N1096" t="s">
        <v>67</v>
      </c>
    </row>
    <row r="1097" spans="1:14" x14ac:dyDescent="0.3">
      <c r="A1097">
        <v>1096</v>
      </c>
      <c r="B1097">
        <v>477</v>
      </c>
      <c r="C1097">
        <f>1/COUNTIF(pizza_sales[[#All],[order_id]],pizza_sales[[#This Row],[order_id]])</f>
        <v>0.5</v>
      </c>
      <c r="D1097" t="s">
        <v>128</v>
      </c>
      <c r="E1097">
        <v>1</v>
      </c>
      <c r="F1097" s="1">
        <v>42012</v>
      </c>
      <c r="G1097" s="1" t="str">
        <f>TEXT(pizza_sales[[#This Row],[order_date]],"dddd")</f>
        <v>Thursday</v>
      </c>
      <c r="H1097" s="2">
        <v>36526.729212962964</v>
      </c>
      <c r="I1097">
        <v>16</v>
      </c>
      <c r="J1097">
        <v>16</v>
      </c>
      <c r="K1097" t="s">
        <v>13</v>
      </c>
      <c r="L1097" t="s">
        <v>22</v>
      </c>
      <c r="M1097" t="s">
        <v>52</v>
      </c>
      <c r="N1097" t="s">
        <v>53</v>
      </c>
    </row>
    <row r="1098" spans="1:14" x14ac:dyDescent="0.3">
      <c r="A1098">
        <v>1097</v>
      </c>
      <c r="B1098">
        <v>477</v>
      </c>
      <c r="C1098">
        <f>1/COUNTIF(pizza_sales[[#All],[order_id]],pizza_sales[[#This Row],[order_id]])</f>
        <v>0.5</v>
      </c>
      <c r="D1098" t="s">
        <v>29</v>
      </c>
      <c r="E1098">
        <v>1</v>
      </c>
      <c r="F1098" s="1">
        <v>42012</v>
      </c>
      <c r="G1098" s="1" t="str">
        <f>TEXT(pizza_sales[[#This Row],[order_date]],"dddd")</f>
        <v>Thursday</v>
      </c>
      <c r="H1098" s="2">
        <v>36526.729212962964</v>
      </c>
      <c r="I1098">
        <v>16</v>
      </c>
      <c r="J1098">
        <v>16</v>
      </c>
      <c r="K1098" t="s">
        <v>13</v>
      </c>
      <c r="L1098" t="s">
        <v>22</v>
      </c>
      <c r="M1098" t="s">
        <v>30</v>
      </c>
      <c r="N1098" t="s">
        <v>31</v>
      </c>
    </row>
    <row r="1099" spans="1:14" x14ac:dyDescent="0.3">
      <c r="A1099">
        <v>1098</v>
      </c>
      <c r="B1099">
        <v>478</v>
      </c>
      <c r="C1099">
        <f>1/COUNTIF(pizza_sales[[#All],[order_id]],pizza_sales[[#This Row],[order_id]])</f>
        <v>0.5</v>
      </c>
      <c r="D1099" t="s">
        <v>96</v>
      </c>
      <c r="E1099">
        <v>1</v>
      </c>
      <c r="F1099" s="1">
        <v>42012</v>
      </c>
      <c r="G1099" s="1" t="str">
        <f>TEXT(pizza_sales[[#This Row],[order_date]],"dddd")</f>
        <v>Thursday</v>
      </c>
      <c r="H1099" s="2">
        <v>36526.733287037037</v>
      </c>
      <c r="I1099">
        <v>16.25</v>
      </c>
      <c r="J1099">
        <v>16.25</v>
      </c>
      <c r="K1099" t="s">
        <v>13</v>
      </c>
      <c r="L1099" t="s">
        <v>26</v>
      </c>
      <c r="M1099" t="s">
        <v>97</v>
      </c>
      <c r="N1099" t="s">
        <v>98</v>
      </c>
    </row>
    <row r="1100" spans="1:14" x14ac:dyDescent="0.3">
      <c r="A1100">
        <v>1099</v>
      </c>
      <c r="B1100">
        <v>478</v>
      </c>
      <c r="C1100">
        <f>1/COUNTIF(pizza_sales[[#All],[order_id]],pizza_sales[[#This Row],[order_id]])</f>
        <v>0.5</v>
      </c>
      <c r="D1100" t="s">
        <v>134</v>
      </c>
      <c r="E1100">
        <v>1</v>
      </c>
      <c r="F1100" s="1">
        <v>42012</v>
      </c>
      <c r="G1100" s="1" t="str">
        <f>TEXT(pizza_sales[[#This Row],[order_date]],"dddd")</f>
        <v>Thursday</v>
      </c>
      <c r="H1100" s="2">
        <v>36526.733287037037</v>
      </c>
      <c r="I1100">
        <v>16.75</v>
      </c>
      <c r="J1100">
        <v>16.75</v>
      </c>
      <c r="K1100" t="s">
        <v>13</v>
      </c>
      <c r="L1100" t="s">
        <v>33</v>
      </c>
      <c r="M1100" t="s">
        <v>124</v>
      </c>
      <c r="N1100" t="s">
        <v>125</v>
      </c>
    </row>
    <row r="1101" spans="1:14" x14ac:dyDescent="0.3">
      <c r="A1101">
        <v>1100</v>
      </c>
      <c r="B1101">
        <v>479</v>
      </c>
      <c r="C1101">
        <f>1/COUNTIF(pizza_sales[[#All],[order_id]],pizza_sales[[#This Row],[order_id]])</f>
        <v>0.5</v>
      </c>
      <c r="D1101" t="s">
        <v>20</v>
      </c>
      <c r="E1101">
        <v>1</v>
      </c>
      <c r="F1101" s="1">
        <v>42012</v>
      </c>
      <c r="G1101" s="1" t="str">
        <f>TEXT(pizza_sales[[#This Row],[order_date]],"dddd")</f>
        <v>Thursday</v>
      </c>
      <c r="H1101" s="2">
        <v>36526.7340625</v>
      </c>
      <c r="I1101">
        <v>18.5</v>
      </c>
      <c r="J1101">
        <v>18.5</v>
      </c>
      <c r="K1101" t="s">
        <v>21</v>
      </c>
      <c r="L1101" t="s">
        <v>22</v>
      </c>
      <c r="M1101" t="s">
        <v>23</v>
      </c>
      <c r="N1101" t="s">
        <v>24</v>
      </c>
    </row>
    <row r="1102" spans="1:14" x14ac:dyDescent="0.3">
      <c r="A1102">
        <v>1101</v>
      </c>
      <c r="B1102">
        <v>479</v>
      </c>
      <c r="C1102">
        <f>1/COUNTIF(pizza_sales[[#All],[order_id]],pizza_sales[[#This Row],[order_id]])</f>
        <v>0.5</v>
      </c>
      <c r="D1102" t="s">
        <v>54</v>
      </c>
      <c r="E1102">
        <v>2</v>
      </c>
      <c r="F1102" s="1">
        <v>42012</v>
      </c>
      <c r="G1102" s="1" t="str">
        <f>TEXT(pizza_sales[[#This Row],[order_date]],"dddd")</f>
        <v>Thursday</v>
      </c>
      <c r="H1102" s="2">
        <v>36526.7340625</v>
      </c>
      <c r="I1102">
        <v>20.5</v>
      </c>
      <c r="J1102">
        <v>41</v>
      </c>
      <c r="K1102" t="s">
        <v>21</v>
      </c>
      <c r="L1102" t="s">
        <v>14</v>
      </c>
      <c r="M1102" t="s">
        <v>55</v>
      </c>
      <c r="N1102" t="s">
        <v>56</v>
      </c>
    </row>
    <row r="1103" spans="1:14" x14ac:dyDescent="0.3">
      <c r="A1103">
        <v>1102</v>
      </c>
      <c r="B1103">
        <v>480</v>
      </c>
      <c r="C1103">
        <f>1/COUNTIF(pizza_sales[[#All],[order_id]],pizza_sales[[#This Row],[order_id]])</f>
        <v>1</v>
      </c>
      <c r="D1103" t="s">
        <v>119</v>
      </c>
      <c r="E1103">
        <v>1</v>
      </c>
      <c r="F1103" s="1">
        <v>42012</v>
      </c>
      <c r="G1103" s="1" t="str">
        <f>TEXT(pizza_sales[[#This Row],[order_date]],"dddd")</f>
        <v>Thursday</v>
      </c>
      <c r="H1103" s="2">
        <v>36526.737164351849</v>
      </c>
      <c r="I1103">
        <v>12.5</v>
      </c>
      <c r="J1103">
        <v>12.5</v>
      </c>
      <c r="K1103" t="s">
        <v>13</v>
      </c>
      <c r="L1103" t="s">
        <v>14</v>
      </c>
      <c r="M1103" t="s">
        <v>78</v>
      </c>
      <c r="N1103" t="s">
        <v>79</v>
      </c>
    </row>
    <row r="1104" spans="1:14" x14ac:dyDescent="0.3">
      <c r="A1104">
        <v>1103</v>
      </c>
      <c r="B1104">
        <v>481</v>
      </c>
      <c r="C1104">
        <f>1/COUNTIF(pizza_sales[[#All],[order_id]],pizza_sales[[#This Row],[order_id]])</f>
        <v>0.5</v>
      </c>
      <c r="D1104" t="s">
        <v>126</v>
      </c>
      <c r="E1104">
        <v>1</v>
      </c>
      <c r="F1104" s="1">
        <v>42012</v>
      </c>
      <c r="G1104" s="1" t="str">
        <f>TEXT(pizza_sales[[#This Row],[order_date]],"dddd")</f>
        <v>Thursday</v>
      </c>
      <c r="H1104" s="2">
        <v>36526.737233796295</v>
      </c>
      <c r="I1104">
        <v>9.75</v>
      </c>
      <c r="J1104">
        <v>9.75</v>
      </c>
      <c r="K1104" t="s">
        <v>41</v>
      </c>
      <c r="L1104" t="s">
        <v>14</v>
      </c>
      <c r="M1104" t="s">
        <v>78</v>
      </c>
      <c r="N1104" t="s">
        <v>79</v>
      </c>
    </row>
    <row r="1105" spans="1:14" x14ac:dyDescent="0.3">
      <c r="A1105">
        <v>1104</v>
      </c>
      <c r="B1105">
        <v>481</v>
      </c>
      <c r="C1105">
        <f>1/COUNTIF(pizza_sales[[#All],[order_id]],pizza_sales[[#This Row],[order_id]])</f>
        <v>0.5</v>
      </c>
      <c r="D1105" t="s">
        <v>157</v>
      </c>
      <c r="E1105">
        <v>1</v>
      </c>
      <c r="F1105" s="1">
        <v>42012</v>
      </c>
      <c r="G1105" s="1" t="str">
        <f>TEXT(pizza_sales[[#This Row],[order_date]],"dddd")</f>
        <v>Thursday</v>
      </c>
      <c r="H1105" s="2">
        <v>36526.737233796295</v>
      </c>
      <c r="I1105">
        <v>12</v>
      </c>
      <c r="J1105">
        <v>12</v>
      </c>
      <c r="K1105" t="s">
        <v>41</v>
      </c>
      <c r="L1105" t="s">
        <v>22</v>
      </c>
      <c r="M1105" t="s">
        <v>110</v>
      </c>
      <c r="N1105" t="s">
        <v>111</v>
      </c>
    </row>
    <row r="1106" spans="1:14" x14ac:dyDescent="0.3">
      <c r="A1106">
        <v>1105</v>
      </c>
      <c r="B1106">
        <v>482</v>
      </c>
      <c r="C1106">
        <f>1/COUNTIF(pizza_sales[[#All],[order_id]],pizza_sales[[#This Row],[order_id]])</f>
        <v>0.33333333333333331</v>
      </c>
      <c r="D1106" t="s">
        <v>127</v>
      </c>
      <c r="E1106">
        <v>1</v>
      </c>
      <c r="F1106" s="1">
        <v>42012</v>
      </c>
      <c r="G1106" s="1" t="str">
        <f>TEXT(pizza_sales[[#This Row],[order_date]],"dddd")</f>
        <v>Thursday</v>
      </c>
      <c r="H1106" s="2">
        <v>36526.744930555556</v>
      </c>
      <c r="I1106">
        <v>20.25</v>
      </c>
      <c r="J1106">
        <v>20.25</v>
      </c>
      <c r="K1106" t="s">
        <v>21</v>
      </c>
      <c r="L1106" t="s">
        <v>22</v>
      </c>
      <c r="M1106" t="s">
        <v>52</v>
      </c>
      <c r="N1106" t="s">
        <v>53</v>
      </c>
    </row>
    <row r="1107" spans="1:14" x14ac:dyDescent="0.3">
      <c r="A1107">
        <v>1106</v>
      </c>
      <c r="B1107">
        <v>482</v>
      </c>
      <c r="C1107">
        <f>1/COUNTIF(pizza_sales[[#All],[order_id]],pizza_sales[[#This Row],[order_id]])</f>
        <v>0.33333333333333331</v>
      </c>
      <c r="D1107" t="s">
        <v>36</v>
      </c>
      <c r="E1107">
        <v>1</v>
      </c>
      <c r="F1107" s="1">
        <v>42012</v>
      </c>
      <c r="G1107" s="1" t="str">
        <f>TEXT(pizza_sales[[#This Row],[order_date]],"dddd")</f>
        <v>Thursday</v>
      </c>
      <c r="H1107" s="2">
        <v>36526.744930555556</v>
      </c>
      <c r="I1107">
        <v>16.5</v>
      </c>
      <c r="J1107">
        <v>16.5</v>
      </c>
      <c r="K1107" t="s">
        <v>13</v>
      </c>
      <c r="L1107" t="s">
        <v>26</v>
      </c>
      <c r="M1107" t="s">
        <v>27</v>
      </c>
      <c r="N1107" t="s">
        <v>28</v>
      </c>
    </row>
    <row r="1108" spans="1:14" x14ac:dyDescent="0.3">
      <c r="A1108">
        <v>1107</v>
      </c>
      <c r="B1108">
        <v>482</v>
      </c>
      <c r="C1108">
        <f>1/COUNTIF(pizza_sales[[#All],[order_id]],pizza_sales[[#This Row],[order_id]])</f>
        <v>0.33333333333333331</v>
      </c>
      <c r="D1108" t="s">
        <v>150</v>
      </c>
      <c r="E1108">
        <v>1</v>
      </c>
      <c r="F1108" s="1">
        <v>42012</v>
      </c>
      <c r="G1108" s="1" t="str">
        <f>TEXT(pizza_sales[[#This Row],[order_date]],"dddd")</f>
        <v>Thursday</v>
      </c>
      <c r="H1108" s="2">
        <v>36526.744930555556</v>
      </c>
      <c r="I1108">
        <v>12.5</v>
      </c>
      <c r="J1108">
        <v>12.5</v>
      </c>
      <c r="K1108" t="s">
        <v>41</v>
      </c>
      <c r="L1108" t="s">
        <v>26</v>
      </c>
      <c r="M1108" t="s">
        <v>60</v>
      </c>
      <c r="N1108" t="s">
        <v>61</v>
      </c>
    </row>
    <row r="1109" spans="1:14" x14ac:dyDescent="0.3">
      <c r="A1109">
        <v>1108</v>
      </c>
      <c r="B1109">
        <v>483</v>
      </c>
      <c r="C1109">
        <f>1/COUNTIF(pizza_sales[[#All],[order_id]],pizza_sales[[#This Row],[order_id]])</f>
        <v>0.25</v>
      </c>
      <c r="D1109" t="s">
        <v>72</v>
      </c>
      <c r="E1109">
        <v>1</v>
      </c>
      <c r="F1109" s="1">
        <v>42012</v>
      </c>
      <c r="G1109" s="1" t="str">
        <f>TEXT(pizza_sales[[#This Row],[order_date]],"dddd")</f>
        <v>Thursday</v>
      </c>
      <c r="H1109" s="2">
        <v>36526.745891203704</v>
      </c>
      <c r="I1109">
        <v>20.75</v>
      </c>
      <c r="J1109">
        <v>20.75</v>
      </c>
      <c r="K1109" t="s">
        <v>21</v>
      </c>
      <c r="L1109" t="s">
        <v>33</v>
      </c>
      <c r="M1109" t="s">
        <v>42</v>
      </c>
      <c r="N1109" t="s">
        <v>43</v>
      </c>
    </row>
    <row r="1110" spans="1:14" x14ac:dyDescent="0.3">
      <c r="A1110">
        <v>1109</v>
      </c>
      <c r="B1110">
        <v>483</v>
      </c>
      <c r="C1110">
        <f>1/COUNTIF(pizza_sales[[#All],[order_id]],pizza_sales[[#This Row],[order_id]])</f>
        <v>0.25</v>
      </c>
      <c r="D1110" t="s">
        <v>93</v>
      </c>
      <c r="E1110">
        <v>1</v>
      </c>
      <c r="F1110" s="1">
        <v>42012</v>
      </c>
      <c r="G1110" s="1" t="str">
        <f>TEXT(pizza_sales[[#This Row],[order_date]],"dddd")</f>
        <v>Thursday</v>
      </c>
      <c r="H1110" s="2">
        <v>36526.745891203704</v>
      </c>
      <c r="I1110">
        <v>12</v>
      </c>
      <c r="J1110">
        <v>12</v>
      </c>
      <c r="K1110" t="s">
        <v>41</v>
      </c>
      <c r="L1110" t="s">
        <v>14</v>
      </c>
      <c r="M1110" t="s">
        <v>94</v>
      </c>
      <c r="N1110" t="s">
        <v>95</v>
      </c>
    </row>
    <row r="1111" spans="1:14" x14ac:dyDescent="0.3">
      <c r="A1111">
        <v>1110</v>
      </c>
      <c r="B1111">
        <v>483</v>
      </c>
      <c r="C1111">
        <f>1/COUNTIF(pizza_sales[[#All],[order_id]],pizza_sales[[#This Row],[order_id]])</f>
        <v>0.25</v>
      </c>
      <c r="D1111" t="s">
        <v>143</v>
      </c>
      <c r="E1111">
        <v>1</v>
      </c>
      <c r="F1111" s="1">
        <v>42012</v>
      </c>
      <c r="G1111" s="1" t="str">
        <f>TEXT(pizza_sales[[#This Row],[order_date]],"dddd")</f>
        <v>Thursday</v>
      </c>
      <c r="H1111" s="2">
        <v>36526.745891203704</v>
      </c>
      <c r="I1111">
        <v>11</v>
      </c>
      <c r="J1111">
        <v>11</v>
      </c>
      <c r="K1111" t="s">
        <v>41</v>
      </c>
      <c r="L1111" t="s">
        <v>14</v>
      </c>
      <c r="M1111" t="s">
        <v>130</v>
      </c>
      <c r="N1111" t="s">
        <v>131</v>
      </c>
    </row>
    <row r="1112" spans="1:14" x14ac:dyDescent="0.3">
      <c r="A1112">
        <v>1111</v>
      </c>
      <c r="B1112">
        <v>483</v>
      </c>
      <c r="C1112">
        <f>1/COUNTIF(pizza_sales[[#All],[order_id]],pizza_sales[[#This Row],[order_id]])</f>
        <v>0.25</v>
      </c>
      <c r="D1112" t="s">
        <v>158</v>
      </c>
      <c r="E1112">
        <v>1</v>
      </c>
      <c r="F1112" s="1">
        <v>42012</v>
      </c>
      <c r="G1112" s="1" t="str">
        <f>TEXT(pizza_sales[[#This Row],[order_date]],"dddd")</f>
        <v>Thursday</v>
      </c>
      <c r="H1112" s="2">
        <v>36526.745891203704</v>
      </c>
      <c r="I1112">
        <v>16.5</v>
      </c>
      <c r="J1112">
        <v>16.5</v>
      </c>
      <c r="K1112" t="s">
        <v>13</v>
      </c>
      <c r="L1112" t="s">
        <v>26</v>
      </c>
      <c r="M1112" t="s">
        <v>60</v>
      </c>
      <c r="N1112" t="s">
        <v>61</v>
      </c>
    </row>
    <row r="1113" spans="1:14" x14ac:dyDescent="0.3">
      <c r="A1113">
        <v>1112</v>
      </c>
      <c r="B1113">
        <v>484</v>
      </c>
      <c r="C1113">
        <f>1/COUNTIF(pizza_sales[[#All],[order_id]],pizza_sales[[#This Row],[order_id]])</f>
        <v>0.5</v>
      </c>
      <c r="D1113" t="s">
        <v>90</v>
      </c>
      <c r="E1113">
        <v>1</v>
      </c>
      <c r="F1113" s="1">
        <v>42012</v>
      </c>
      <c r="G1113" s="1" t="str">
        <f>TEXT(pizza_sales[[#This Row],[order_date]],"dddd")</f>
        <v>Thursday</v>
      </c>
      <c r="H1113" s="2">
        <v>36526.752013888887</v>
      </c>
      <c r="I1113">
        <v>17.95</v>
      </c>
      <c r="J1113">
        <v>17.95</v>
      </c>
      <c r="K1113" t="s">
        <v>21</v>
      </c>
      <c r="L1113" t="s">
        <v>22</v>
      </c>
      <c r="M1113" t="s">
        <v>91</v>
      </c>
      <c r="N1113" t="s">
        <v>92</v>
      </c>
    </row>
    <row r="1114" spans="1:14" x14ac:dyDescent="0.3">
      <c r="A1114">
        <v>1113</v>
      </c>
      <c r="B1114">
        <v>484</v>
      </c>
      <c r="C1114">
        <f>1/COUNTIF(pizza_sales[[#All],[order_id]],pizza_sales[[#This Row],[order_id]])</f>
        <v>0.5</v>
      </c>
      <c r="D1114" t="s">
        <v>68</v>
      </c>
      <c r="E1114">
        <v>1</v>
      </c>
      <c r="F1114" s="1">
        <v>42012</v>
      </c>
      <c r="G1114" s="1" t="str">
        <f>TEXT(pizza_sales[[#This Row],[order_date]],"dddd")</f>
        <v>Thursday</v>
      </c>
      <c r="H1114" s="2">
        <v>36526.752013888887</v>
      </c>
      <c r="I1114">
        <v>20.25</v>
      </c>
      <c r="J1114">
        <v>20.25</v>
      </c>
      <c r="K1114" t="s">
        <v>21</v>
      </c>
      <c r="L1114" t="s">
        <v>22</v>
      </c>
      <c r="M1114" t="s">
        <v>30</v>
      </c>
      <c r="N1114" t="s">
        <v>31</v>
      </c>
    </row>
    <row r="1115" spans="1:14" x14ac:dyDescent="0.3">
      <c r="A1115">
        <v>1114</v>
      </c>
      <c r="B1115">
        <v>485</v>
      </c>
      <c r="C1115">
        <f>1/COUNTIF(pizza_sales[[#All],[order_id]],pizza_sales[[#This Row],[order_id]])</f>
        <v>1</v>
      </c>
      <c r="D1115" t="s">
        <v>76</v>
      </c>
      <c r="E1115">
        <v>1</v>
      </c>
      <c r="F1115" s="1">
        <v>42012</v>
      </c>
      <c r="G1115" s="1" t="str">
        <f>TEXT(pizza_sales[[#This Row],[order_date]],"dddd")</f>
        <v>Thursday</v>
      </c>
      <c r="H1115" s="2">
        <v>36526.755219907405</v>
      </c>
      <c r="I1115">
        <v>16.75</v>
      </c>
      <c r="J1115">
        <v>16.75</v>
      </c>
      <c r="K1115" t="s">
        <v>13</v>
      </c>
      <c r="L1115" t="s">
        <v>33</v>
      </c>
      <c r="M1115" t="s">
        <v>74</v>
      </c>
      <c r="N1115" t="s">
        <v>75</v>
      </c>
    </row>
    <row r="1116" spans="1:14" x14ac:dyDescent="0.3">
      <c r="A1116">
        <v>1115</v>
      </c>
      <c r="B1116">
        <v>486</v>
      </c>
      <c r="C1116">
        <f>1/COUNTIF(pizza_sales[[#All],[order_id]],pizza_sales[[#This Row],[order_id]])</f>
        <v>1</v>
      </c>
      <c r="D1116" t="s">
        <v>47</v>
      </c>
      <c r="E1116">
        <v>1</v>
      </c>
      <c r="F1116" s="1">
        <v>42012</v>
      </c>
      <c r="G1116" s="1" t="str">
        <f>TEXT(pizza_sales[[#This Row],[order_date]],"dddd")</f>
        <v>Thursday</v>
      </c>
      <c r="H1116" s="2">
        <v>36526.760509259257</v>
      </c>
      <c r="I1116">
        <v>12.5</v>
      </c>
      <c r="J1116">
        <v>12.5</v>
      </c>
      <c r="K1116" t="s">
        <v>41</v>
      </c>
      <c r="L1116" t="s">
        <v>26</v>
      </c>
      <c r="M1116" t="s">
        <v>48</v>
      </c>
      <c r="N1116" t="s">
        <v>49</v>
      </c>
    </row>
    <row r="1117" spans="1:14" x14ac:dyDescent="0.3">
      <c r="A1117">
        <v>1116</v>
      </c>
      <c r="B1117">
        <v>487</v>
      </c>
      <c r="C1117">
        <f>1/COUNTIF(pizza_sales[[#All],[order_id]],pizza_sales[[#This Row],[order_id]])</f>
        <v>0.33333333333333331</v>
      </c>
      <c r="D1117" t="s">
        <v>132</v>
      </c>
      <c r="E1117">
        <v>1</v>
      </c>
      <c r="F1117" s="1">
        <v>42012</v>
      </c>
      <c r="G1117" s="1" t="str">
        <f>TEXT(pizza_sales[[#This Row],[order_date]],"dddd")</f>
        <v>Thursday</v>
      </c>
      <c r="H1117" s="2">
        <v>36526.771018518521</v>
      </c>
      <c r="I1117">
        <v>10.5</v>
      </c>
      <c r="J1117">
        <v>10.5</v>
      </c>
      <c r="K1117" t="s">
        <v>41</v>
      </c>
      <c r="L1117" t="s">
        <v>14</v>
      </c>
      <c r="M1117" t="s">
        <v>15</v>
      </c>
      <c r="N1117" t="s">
        <v>16</v>
      </c>
    </row>
    <row r="1118" spans="1:14" x14ac:dyDescent="0.3">
      <c r="A1118">
        <v>1117</v>
      </c>
      <c r="B1118">
        <v>487</v>
      </c>
      <c r="C1118">
        <f>1/COUNTIF(pizza_sales[[#All],[order_id]],pizza_sales[[#This Row],[order_id]])</f>
        <v>0.33333333333333331</v>
      </c>
      <c r="D1118" t="s">
        <v>113</v>
      </c>
      <c r="E1118">
        <v>1</v>
      </c>
      <c r="F1118" s="1">
        <v>42012</v>
      </c>
      <c r="G1118" s="1" t="str">
        <f>TEXT(pizza_sales[[#This Row],[order_date]],"dddd")</f>
        <v>Thursday</v>
      </c>
      <c r="H1118" s="2">
        <v>36526.771018518521</v>
      </c>
      <c r="I1118">
        <v>20.25</v>
      </c>
      <c r="J1118">
        <v>20.25</v>
      </c>
      <c r="K1118" t="s">
        <v>21</v>
      </c>
      <c r="L1118" t="s">
        <v>26</v>
      </c>
      <c r="M1118" t="s">
        <v>114</v>
      </c>
      <c r="N1118" t="s">
        <v>115</v>
      </c>
    </row>
    <row r="1119" spans="1:14" x14ac:dyDescent="0.3">
      <c r="A1119">
        <v>1118</v>
      </c>
      <c r="B1119">
        <v>487</v>
      </c>
      <c r="C1119">
        <f>1/COUNTIF(pizza_sales[[#All],[order_id]],pizza_sales[[#This Row],[order_id]])</f>
        <v>0.33333333333333331</v>
      </c>
      <c r="D1119" t="s">
        <v>109</v>
      </c>
      <c r="E1119">
        <v>1</v>
      </c>
      <c r="F1119" s="1">
        <v>42012</v>
      </c>
      <c r="G1119" s="1" t="str">
        <f>TEXT(pizza_sales[[#This Row],[order_date]],"dddd")</f>
        <v>Thursday</v>
      </c>
      <c r="H1119" s="2">
        <v>36526.771018518521</v>
      </c>
      <c r="I1119">
        <v>20.25</v>
      </c>
      <c r="J1119">
        <v>20.25</v>
      </c>
      <c r="K1119" t="s">
        <v>21</v>
      </c>
      <c r="L1119" t="s">
        <v>22</v>
      </c>
      <c r="M1119" t="s">
        <v>110</v>
      </c>
      <c r="N1119" t="s">
        <v>111</v>
      </c>
    </row>
    <row r="1120" spans="1:14" x14ac:dyDescent="0.3">
      <c r="A1120">
        <v>1119</v>
      </c>
      <c r="B1120">
        <v>488</v>
      </c>
      <c r="C1120">
        <f>1/COUNTIF(pizza_sales[[#All],[order_id]],pizza_sales[[#This Row],[order_id]])</f>
        <v>1</v>
      </c>
      <c r="D1120" t="s">
        <v>154</v>
      </c>
      <c r="E1120">
        <v>1</v>
      </c>
      <c r="F1120" s="1">
        <v>42012</v>
      </c>
      <c r="G1120" s="1" t="str">
        <f>TEXT(pizza_sales[[#This Row],[order_date]],"dddd")</f>
        <v>Thursday</v>
      </c>
      <c r="H1120" s="2">
        <v>36526.781967592593</v>
      </c>
      <c r="I1120">
        <v>16</v>
      </c>
      <c r="J1120">
        <v>16</v>
      </c>
      <c r="K1120" t="s">
        <v>13</v>
      </c>
      <c r="L1120" t="s">
        <v>22</v>
      </c>
      <c r="M1120" t="s">
        <v>66</v>
      </c>
      <c r="N1120" t="s">
        <v>67</v>
      </c>
    </row>
    <row r="1121" spans="1:14" x14ac:dyDescent="0.3">
      <c r="A1121">
        <v>1120</v>
      </c>
      <c r="B1121">
        <v>489</v>
      </c>
      <c r="C1121">
        <f>1/COUNTIF(pizza_sales[[#All],[order_id]],pizza_sales[[#This Row],[order_id]])</f>
        <v>1</v>
      </c>
      <c r="D1121" t="s">
        <v>135</v>
      </c>
      <c r="E1121">
        <v>1</v>
      </c>
      <c r="F1121" s="1">
        <v>42012</v>
      </c>
      <c r="G1121" s="1" t="str">
        <f>TEXT(pizza_sales[[#This Row],[order_date]],"dddd")</f>
        <v>Thursday</v>
      </c>
      <c r="H1121" s="2">
        <v>36526.783831018518</v>
      </c>
      <c r="I1121">
        <v>20.75</v>
      </c>
      <c r="J1121">
        <v>20.75</v>
      </c>
      <c r="K1121" t="s">
        <v>21</v>
      </c>
      <c r="L1121" t="s">
        <v>26</v>
      </c>
      <c r="M1121" t="s">
        <v>107</v>
      </c>
      <c r="N1121" t="s">
        <v>108</v>
      </c>
    </row>
    <row r="1122" spans="1:14" x14ac:dyDescent="0.3">
      <c r="A1122">
        <v>1121</v>
      </c>
      <c r="B1122">
        <v>490</v>
      </c>
      <c r="C1122">
        <f>1/COUNTIF(pizza_sales[[#All],[order_id]],pizza_sales[[#This Row],[order_id]])</f>
        <v>0.33333333333333331</v>
      </c>
      <c r="D1122" t="s">
        <v>84</v>
      </c>
      <c r="E1122">
        <v>1</v>
      </c>
      <c r="F1122" s="1">
        <v>42012</v>
      </c>
      <c r="G1122" s="1" t="str">
        <f>TEXT(pizza_sales[[#This Row],[order_date]],"dddd")</f>
        <v>Thursday</v>
      </c>
      <c r="H1122" s="2">
        <v>36526.784305555557</v>
      </c>
      <c r="I1122">
        <v>12</v>
      </c>
      <c r="J1122">
        <v>12</v>
      </c>
      <c r="K1122" t="s">
        <v>41</v>
      </c>
      <c r="L1122" t="s">
        <v>14</v>
      </c>
      <c r="M1122" t="s">
        <v>85</v>
      </c>
      <c r="N1122" t="s">
        <v>86</v>
      </c>
    </row>
    <row r="1123" spans="1:14" x14ac:dyDescent="0.3">
      <c r="A1123">
        <v>1122</v>
      </c>
      <c r="B1123">
        <v>490</v>
      </c>
      <c r="C1123">
        <f>1/COUNTIF(pizza_sales[[#All],[order_id]],pizza_sales[[#This Row],[order_id]])</f>
        <v>0.33333333333333331</v>
      </c>
      <c r="D1123" t="s">
        <v>17</v>
      </c>
      <c r="E1123">
        <v>1</v>
      </c>
      <c r="F1123" s="1">
        <v>42012</v>
      </c>
      <c r="G1123" s="1" t="str">
        <f>TEXT(pizza_sales[[#This Row],[order_date]],"dddd")</f>
        <v>Thursday</v>
      </c>
      <c r="H1123" s="2">
        <v>36526.784305555557</v>
      </c>
      <c r="I1123">
        <v>16</v>
      </c>
      <c r="J1123">
        <v>16</v>
      </c>
      <c r="K1123" t="s">
        <v>13</v>
      </c>
      <c r="L1123" t="s">
        <v>14</v>
      </c>
      <c r="M1123" t="s">
        <v>18</v>
      </c>
      <c r="N1123" t="s">
        <v>19</v>
      </c>
    </row>
    <row r="1124" spans="1:14" x14ac:dyDescent="0.3">
      <c r="A1124">
        <v>1123</v>
      </c>
      <c r="B1124">
        <v>490</v>
      </c>
      <c r="C1124">
        <f>1/COUNTIF(pizza_sales[[#All],[order_id]],pizza_sales[[#This Row],[order_id]])</f>
        <v>0.33333333333333331</v>
      </c>
      <c r="D1124" t="s">
        <v>163</v>
      </c>
      <c r="E1124">
        <v>1</v>
      </c>
      <c r="F1124" s="1">
        <v>42012</v>
      </c>
      <c r="G1124" s="1" t="str">
        <f>TEXT(pizza_sales[[#This Row],[order_date]],"dddd")</f>
        <v>Thursday</v>
      </c>
      <c r="H1124" s="2">
        <v>36526.784305555557</v>
      </c>
      <c r="I1124">
        <v>16</v>
      </c>
      <c r="J1124">
        <v>16</v>
      </c>
      <c r="K1124" t="s">
        <v>13</v>
      </c>
      <c r="L1124" t="s">
        <v>14</v>
      </c>
      <c r="M1124" t="s">
        <v>94</v>
      </c>
      <c r="N1124" t="s">
        <v>95</v>
      </c>
    </row>
    <row r="1125" spans="1:14" x14ac:dyDescent="0.3">
      <c r="A1125">
        <v>1124</v>
      </c>
      <c r="B1125">
        <v>491</v>
      </c>
      <c r="C1125">
        <f>1/COUNTIF(pizza_sales[[#All],[order_id]],pizza_sales[[#This Row],[order_id]])</f>
        <v>0.25</v>
      </c>
      <c r="D1125" t="s">
        <v>93</v>
      </c>
      <c r="E1125">
        <v>1</v>
      </c>
      <c r="F1125" s="1">
        <v>42012</v>
      </c>
      <c r="G1125" s="1" t="str">
        <f>TEXT(pizza_sales[[#This Row],[order_date]],"dddd")</f>
        <v>Thursday</v>
      </c>
      <c r="H1125" s="2">
        <v>36526.792500000003</v>
      </c>
      <c r="I1125">
        <v>12</v>
      </c>
      <c r="J1125">
        <v>12</v>
      </c>
      <c r="K1125" t="s">
        <v>41</v>
      </c>
      <c r="L1125" t="s">
        <v>14</v>
      </c>
      <c r="M1125" t="s">
        <v>94</v>
      </c>
      <c r="N1125" t="s">
        <v>95</v>
      </c>
    </row>
    <row r="1126" spans="1:14" x14ac:dyDescent="0.3">
      <c r="A1126">
        <v>1125</v>
      </c>
      <c r="B1126">
        <v>491</v>
      </c>
      <c r="C1126">
        <f>1/COUNTIF(pizza_sales[[#All],[order_id]],pizza_sales[[#This Row],[order_id]])</f>
        <v>0.25</v>
      </c>
      <c r="D1126" t="s">
        <v>77</v>
      </c>
      <c r="E1126">
        <v>1</v>
      </c>
      <c r="F1126" s="1">
        <v>42012</v>
      </c>
      <c r="G1126" s="1" t="str">
        <f>TEXT(pizza_sales[[#This Row],[order_date]],"dddd")</f>
        <v>Thursday</v>
      </c>
      <c r="H1126" s="2">
        <v>36526.792500000003</v>
      </c>
      <c r="I1126">
        <v>15.25</v>
      </c>
      <c r="J1126">
        <v>15.25</v>
      </c>
      <c r="K1126" t="s">
        <v>21</v>
      </c>
      <c r="L1126" t="s">
        <v>14</v>
      </c>
      <c r="M1126" t="s">
        <v>78</v>
      </c>
      <c r="N1126" t="s">
        <v>79</v>
      </c>
    </row>
    <row r="1127" spans="1:14" x14ac:dyDescent="0.3">
      <c r="A1127">
        <v>1126</v>
      </c>
      <c r="B1127">
        <v>491</v>
      </c>
      <c r="C1127">
        <f>1/COUNTIF(pizza_sales[[#All],[order_id]],pizza_sales[[#This Row],[order_id]])</f>
        <v>0.25</v>
      </c>
      <c r="D1127" t="s">
        <v>135</v>
      </c>
      <c r="E1127">
        <v>1</v>
      </c>
      <c r="F1127" s="1">
        <v>42012</v>
      </c>
      <c r="G1127" s="1" t="str">
        <f>TEXT(pizza_sales[[#This Row],[order_date]],"dddd")</f>
        <v>Thursday</v>
      </c>
      <c r="H1127" s="2">
        <v>36526.792500000003</v>
      </c>
      <c r="I1127">
        <v>20.75</v>
      </c>
      <c r="J1127">
        <v>20.75</v>
      </c>
      <c r="K1127" t="s">
        <v>21</v>
      </c>
      <c r="L1127" t="s">
        <v>26</v>
      </c>
      <c r="M1127" t="s">
        <v>107</v>
      </c>
      <c r="N1127" t="s">
        <v>108</v>
      </c>
    </row>
    <row r="1128" spans="1:14" x14ac:dyDescent="0.3">
      <c r="A1128">
        <v>1127</v>
      </c>
      <c r="B1128">
        <v>491</v>
      </c>
      <c r="C1128">
        <f>1/COUNTIF(pizza_sales[[#All],[order_id]],pizza_sales[[#This Row],[order_id]])</f>
        <v>0.25</v>
      </c>
      <c r="D1128" t="s">
        <v>145</v>
      </c>
      <c r="E1128">
        <v>1</v>
      </c>
      <c r="F1128" s="1">
        <v>42012</v>
      </c>
      <c r="G1128" s="1" t="str">
        <f>TEXT(pizza_sales[[#This Row],[order_date]],"dddd")</f>
        <v>Thursday</v>
      </c>
      <c r="H1128" s="2">
        <v>36526.792500000003</v>
      </c>
      <c r="I1128">
        <v>16.5</v>
      </c>
      <c r="J1128">
        <v>16.5</v>
      </c>
      <c r="K1128" t="s">
        <v>13</v>
      </c>
      <c r="L1128" t="s">
        <v>26</v>
      </c>
      <c r="M1128" t="s">
        <v>38</v>
      </c>
      <c r="N1128" t="s">
        <v>39</v>
      </c>
    </row>
    <row r="1129" spans="1:14" x14ac:dyDescent="0.3">
      <c r="A1129">
        <v>1128</v>
      </c>
      <c r="B1129">
        <v>492</v>
      </c>
      <c r="C1129">
        <f>1/COUNTIF(pizza_sales[[#All],[order_id]],pizza_sales[[#This Row],[order_id]])</f>
        <v>0.33333333333333331</v>
      </c>
      <c r="D1129" t="s">
        <v>81</v>
      </c>
      <c r="E1129">
        <v>1</v>
      </c>
      <c r="F1129" s="1">
        <v>42012</v>
      </c>
      <c r="G1129" s="1" t="str">
        <f>TEXT(pizza_sales[[#This Row],[order_date]],"dddd")</f>
        <v>Thursday</v>
      </c>
      <c r="H1129" s="2">
        <v>36526.796076388891</v>
      </c>
      <c r="I1129">
        <v>20.75</v>
      </c>
      <c r="J1129">
        <v>20.75</v>
      </c>
      <c r="K1129" t="s">
        <v>21</v>
      </c>
      <c r="L1129" t="s">
        <v>33</v>
      </c>
      <c r="M1129" t="s">
        <v>82</v>
      </c>
      <c r="N1129" t="s">
        <v>83</v>
      </c>
    </row>
    <row r="1130" spans="1:14" x14ac:dyDescent="0.3">
      <c r="A1130">
        <v>1129</v>
      </c>
      <c r="B1130">
        <v>492</v>
      </c>
      <c r="C1130">
        <f>1/COUNTIF(pizza_sales[[#All],[order_id]],pizza_sales[[#This Row],[order_id]])</f>
        <v>0.33333333333333331</v>
      </c>
      <c r="D1130" t="s">
        <v>121</v>
      </c>
      <c r="E1130">
        <v>1</v>
      </c>
      <c r="F1130" s="1">
        <v>42012</v>
      </c>
      <c r="G1130" s="1" t="str">
        <f>TEXT(pizza_sales[[#This Row],[order_date]],"dddd")</f>
        <v>Thursday</v>
      </c>
      <c r="H1130" s="2">
        <v>36526.796076388891</v>
      </c>
      <c r="I1130">
        <v>16.25</v>
      </c>
      <c r="J1130">
        <v>16.25</v>
      </c>
      <c r="K1130" t="s">
        <v>13</v>
      </c>
      <c r="L1130" t="s">
        <v>26</v>
      </c>
      <c r="M1130" t="s">
        <v>114</v>
      </c>
      <c r="N1130" t="s">
        <v>115</v>
      </c>
    </row>
    <row r="1131" spans="1:14" x14ac:dyDescent="0.3">
      <c r="A1131">
        <v>1130</v>
      </c>
      <c r="B1131">
        <v>492</v>
      </c>
      <c r="C1131">
        <f>1/COUNTIF(pizza_sales[[#All],[order_id]],pizza_sales[[#This Row],[order_id]])</f>
        <v>0.33333333333333331</v>
      </c>
      <c r="D1131" t="s">
        <v>162</v>
      </c>
      <c r="E1131">
        <v>1</v>
      </c>
      <c r="F1131" s="1">
        <v>42012</v>
      </c>
      <c r="G1131" s="1" t="str">
        <f>TEXT(pizza_sales[[#This Row],[order_date]],"dddd")</f>
        <v>Thursday</v>
      </c>
      <c r="H1131" s="2">
        <v>36526.796076388891</v>
      </c>
      <c r="I1131">
        <v>16</v>
      </c>
      <c r="J1131">
        <v>16</v>
      </c>
      <c r="K1131" t="s">
        <v>13</v>
      </c>
      <c r="L1131" t="s">
        <v>22</v>
      </c>
      <c r="M1131" t="s">
        <v>110</v>
      </c>
      <c r="N1131" t="s">
        <v>111</v>
      </c>
    </row>
    <row r="1132" spans="1:14" x14ac:dyDescent="0.3">
      <c r="A1132">
        <v>1131</v>
      </c>
      <c r="B1132">
        <v>493</v>
      </c>
      <c r="C1132">
        <f>1/COUNTIF(pizza_sales[[#All],[order_id]],pizza_sales[[#This Row],[order_id]])</f>
        <v>1</v>
      </c>
      <c r="D1132" t="s">
        <v>25</v>
      </c>
      <c r="E1132">
        <v>1</v>
      </c>
      <c r="F1132" s="1">
        <v>42012</v>
      </c>
      <c r="G1132" s="1" t="str">
        <f>TEXT(pizza_sales[[#This Row],[order_date]],"dddd")</f>
        <v>Thursday</v>
      </c>
      <c r="H1132" s="2">
        <v>36526.813738425924</v>
      </c>
      <c r="I1132">
        <v>20.75</v>
      </c>
      <c r="J1132">
        <v>20.75</v>
      </c>
      <c r="K1132" t="s">
        <v>21</v>
      </c>
      <c r="L1132" t="s">
        <v>26</v>
      </c>
      <c r="M1132" t="s">
        <v>27</v>
      </c>
      <c r="N1132" t="s">
        <v>28</v>
      </c>
    </row>
    <row r="1133" spans="1:14" x14ac:dyDescent="0.3">
      <c r="A1133">
        <v>1132</v>
      </c>
      <c r="B1133">
        <v>494</v>
      </c>
      <c r="C1133">
        <f>1/COUNTIF(pizza_sales[[#All],[order_id]],pizza_sales[[#This Row],[order_id]])</f>
        <v>0.25</v>
      </c>
      <c r="D1133" t="s">
        <v>20</v>
      </c>
      <c r="E1133">
        <v>1</v>
      </c>
      <c r="F1133" s="1">
        <v>42012</v>
      </c>
      <c r="G1133" s="1" t="str">
        <f>TEXT(pizza_sales[[#This Row],[order_date]],"dddd")</f>
        <v>Thursday</v>
      </c>
      <c r="H1133" s="2">
        <v>36526.818518518521</v>
      </c>
      <c r="I1133">
        <v>18.5</v>
      </c>
      <c r="J1133">
        <v>18.5</v>
      </c>
      <c r="K1133" t="s">
        <v>21</v>
      </c>
      <c r="L1133" t="s">
        <v>22</v>
      </c>
      <c r="M1133" t="s">
        <v>23</v>
      </c>
      <c r="N1133" t="s">
        <v>24</v>
      </c>
    </row>
    <row r="1134" spans="1:14" x14ac:dyDescent="0.3">
      <c r="A1134">
        <v>1133</v>
      </c>
      <c r="B1134">
        <v>494</v>
      </c>
      <c r="C1134">
        <f>1/COUNTIF(pizza_sales[[#All],[order_id]],pizza_sales[[#This Row],[order_id]])</f>
        <v>0.25</v>
      </c>
      <c r="D1134" t="s">
        <v>90</v>
      </c>
      <c r="E1134">
        <v>1</v>
      </c>
      <c r="F1134" s="1">
        <v>42012</v>
      </c>
      <c r="G1134" s="1" t="str">
        <f>TEXT(pizza_sales[[#This Row],[order_date]],"dddd")</f>
        <v>Thursday</v>
      </c>
      <c r="H1134" s="2">
        <v>36526.818518518521</v>
      </c>
      <c r="I1134">
        <v>17.95</v>
      </c>
      <c r="J1134">
        <v>17.95</v>
      </c>
      <c r="K1134" t="s">
        <v>21</v>
      </c>
      <c r="L1134" t="s">
        <v>22</v>
      </c>
      <c r="M1134" t="s">
        <v>91</v>
      </c>
      <c r="N1134" t="s">
        <v>92</v>
      </c>
    </row>
    <row r="1135" spans="1:14" x14ac:dyDescent="0.3">
      <c r="A1135">
        <v>1134</v>
      </c>
      <c r="B1135">
        <v>494</v>
      </c>
      <c r="C1135">
        <f>1/COUNTIF(pizza_sales[[#All],[order_id]],pizza_sales[[#This Row],[order_id]])</f>
        <v>0.25</v>
      </c>
      <c r="D1135" t="s">
        <v>68</v>
      </c>
      <c r="E1135">
        <v>1</v>
      </c>
      <c r="F1135" s="1">
        <v>42012</v>
      </c>
      <c r="G1135" s="1" t="str">
        <f>TEXT(pizza_sales[[#This Row],[order_date]],"dddd")</f>
        <v>Thursday</v>
      </c>
      <c r="H1135" s="2">
        <v>36526.818518518521</v>
      </c>
      <c r="I1135">
        <v>20.25</v>
      </c>
      <c r="J1135">
        <v>20.25</v>
      </c>
      <c r="K1135" t="s">
        <v>21</v>
      </c>
      <c r="L1135" t="s">
        <v>22</v>
      </c>
      <c r="M1135" t="s">
        <v>30</v>
      </c>
      <c r="N1135" t="s">
        <v>31</v>
      </c>
    </row>
    <row r="1136" spans="1:14" x14ac:dyDescent="0.3">
      <c r="A1136">
        <v>1135</v>
      </c>
      <c r="B1136">
        <v>494</v>
      </c>
      <c r="C1136">
        <f>1/COUNTIF(pizza_sales[[#All],[order_id]],pizza_sales[[#This Row],[order_id]])</f>
        <v>0.25</v>
      </c>
      <c r="D1136" t="s">
        <v>69</v>
      </c>
      <c r="E1136">
        <v>1</v>
      </c>
      <c r="F1136" s="1">
        <v>42012</v>
      </c>
      <c r="G1136" s="1" t="str">
        <f>TEXT(pizza_sales[[#This Row],[order_date]],"dddd")</f>
        <v>Thursday</v>
      </c>
      <c r="H1136" s="2">
        <v>36526.818518518521</v>
      </c>
      <c r="I1136">
        <v>20.75</v>
      </c>
      <c r="J1136">
        <v>20.75</v>
      </c>
      <c r="K1136" t="s">
        <v>21</v>
      </c>
      <c r="L1136" t="s">
        <v>33</v>
      </c>
      <c r="M1136" t="s">
        <v>70</v>
      </c>
      <c r="N1136" t="s">
        <v>71</v>
      </c>
    </row>
    <row r="1137" spans="1:14" x14ac:dyDescent="0.3">
      <c r="A1137">
        <v>1136</v>
      </c>
      <c r="B1137">
        <v>495</v>
      </c>
      <c r="C1137">
        <f>1/COUNTIF(pizza_sales[[#All],[order_id]],pizza_sales[[#This Row],[order_id]])</f>
        <v>0.5</v>
      </c>
      <c r="D1137" t="s">
        <v>36</v>
      </c>
      <c r="E1137">
        <v>1</v>
      </c>
      <c r="F1137" s="1">
        <v>42012</v>
      </c>
      <c r="G1137" s="1" t="str">
        <f>TEXT(pizza_sales[[#This Row],[order_date]],"dddd")</f>
        <v>Thursday</v>
      </c>
      <c r="H1137" s="2">
        <v>36526.821435185186</v>
      </c>
      <c r="I1137">
        <v>16.5</v>
      </c>
      <c r="J1137">
        <v>16.5</v>
      </c>
      <c r="K1137" t="s">
        <v>13</v>
      </c>
      <c r="L1137" t="s">
        <v>26</v>
      </c>
      <c r="M1137" t="s">
        <v>27</v>
      </c>
      <c r="N1137" t="s">
        <v>28</v>
      </c>
    </row>
    <row r="1138" spans="1:14" x14ac:dyDescent="0.3">
      <c r="A1138">
        <v>1137</v>
      </c>
      <c r="B1138">
        <v>495</v>
      </c>
      <c r="C1138">
        <f>1/COUNTIF(pizza_sales[[#All],[order_id]],pizza_sales[[#This Row],[order_id]])</f>
        <v>0.5</v>
      </c>
      <c r="D1138" t="s">
        <v>113</v>
      </c>
      <c r="E1138">
        <v>1</v>
      </c>
      <c r="F1138" s="1">
        <v>42012</v>
      </c>
      <c r="G1138" s="1" t="str">
        <f>TEXT(pizza_sales[[#This Row],[order_date]],"dddd")</f>
        <v>Thursday</v>
      </c>
      <c r="H1138" s="2">
        <v>36526.821435185186</v>
      </c>
      <c r="I1138">
        <v>20.25</v>
      </c>
      <c r="J1138">
        <v>20.25</v>
      </c>
      <c r="K1138" t="s">
        <v>21</v>
      </c>
      <c r="L1138" t="s">
        <v>26</v>
      </c>
      <c r="M1138" t="s">
        <v>114</v>
      </c>
      <c r="N1138" t="s">
        <v>115</v>
      </c>
    </row>
    <row r="1139" spans="1:14" x14ac:dyDescent="0.3">
      <c r="A1139">
        <v>1138</v>
      </c>
      <c r="B1139">
        <v>496</v>
      </c>
      <c r="C1139">
        <f>1/COUNTIF(pizza_sales[[#All],[order_id]],pizza_sales[[#This Row],[order_id]])</f>
        <v>0.5</v>
      </c>
      <c r="D1139" t="s">
        <v>142</v>
      </c>
      <c r="E1139">
        <v>1</v>
      </c>
      <c r="F1139" s="1">
        <v>42012</v>
      </c>
      <c r="G1139" s="1" t="str">
        <f>TEXT(pizza_sales[[#This Row],[order_date]],"dddd")</f>
        <v>Thursday</v>
      </c>
      <c r="H1139" s="2">
        <v>36526.823819444442</v>
      </c>
      <c r="I1139">
        <v>16.5</v>
      </c>
      <c r="J1139">
        <v>16.5</v>
      </c>
      <c r="K1139" t="s">
        <v>21</v>
      </c>
      <c r="L1139" t="s">
        <v>14</v>
      </c>
      <c r="M1139" t="s">
        <v>15</v>
      </c>
      <c r="N1139" t="s">
        <v>16</v>
      </c>
    </row>
    <row r="1140" spans="1:14" x14ac:dyDescent="0.3">
      <c r="A1140">
        <v>1139</v>
      </c>
      <c r="B1140">
        <v>496</v>
      </c>
      <c r="C1140">
        <f>1/COUNTIF(pizza_sales[[#All],[order_id]],pizza_sales[[#This Row],[order_id]])</f>
        <v>0.5</v>
      </c>
      <c r="D1140" t="s">
        <v>172</v>
      </c>
      <c r="E1140">
        <v>1</v>
      </c>
      <c r="F1140" s="1">
        <v>42012</v>
      </c>
      <c r="G1140" s="1" t="str">
        <f>TEXT(pizza_sales[[#This Row],[order_date]],"dddd")</f>
        <v>Thursday</v>
      </c>
      <c r="H1140" s="2">
        <v>36526.823819444442</v>
      </c>
      <c r="I1140">
        <v>12.5</v>
      </c>
      <c r="J1140">
        <v>12.5</v>
      </c>
      <c r="K1140" t="s">
        <v>41</v>
      </c>
      <c r="L1140" t="s">
        <v>26</v>
      </c>
      <c r="M1140" t="s">
        <v>88</v>
      </c>
      <c r="N1140" t="s">
        <v>89</v>
      </c>
    </row>
    <row r="1141" spans="1:14" x14ac:dyDescent="0.3">
      <c r="A1141">
        <v>1140</v>
      </c>
      <c r="B1141">
        <v>497</v>
      </c>
      <c r="C1141">
        <f>1/COUNTIF(pizza_sales[[#All],[order_id]],pizza_sales[[#This Row],[order_id]])</f>
        <v>1</v>
      </c>
      <c r="D1141" t="s">
        <v>65</v>
      </c>
      <c r="E1141">
        <v>1</v>
      </c>
      <c r="F1141" s="1">
        <v>42012</v>
      </c>
      <c r="G1141" s="1" t="str">
        <f>TEXT(pizza_sales[[#This Row],[order_date]],"dddd")</f>
        <v>Thursday</v>
      </c>
      <c r="H1141" s="2">
        <v>36526.825995370367</v>
      </c>
      <c r="I1141">
        <v>12</v>
      </c>
      <c r="J1141">
        <v>12</v>
      </c>
      <c r="K1141" t="s">
        <v>41</v>
      </c>
      <c r="L1141" t="s">
        <v>22</v>
      </c>
      <c r="M1141" t="s">
        <v>66</v>
      </c>
      <c r="N1141" t="s">
        <v>67</v>
      </c>
    </row>
    <row r="1142" spans="1:14" x14ac:dyDescent="0.3">
      <c r="A1142">
        <v>1141</v>
      </c>
      <c r="B1142">
        <v>498</v>
      </c>
      <c r="C1142">
        <f>1/COUNTIF(pizza_sales[[#All],[order_id]],pizza_sales[[#This Row],[order_id]])</f>
        <v>1</v>
      </c>
      <c r="D1142" t="s">
        <v>36</v>
      </c>
      <c r="E1142">
        <v>1</v>
      </c>
      <c r="F1142" s="1">
        <v>42012</v>
      </c>
      <c r="G1142" s="1" t="str">
        <f>TEXT(pizza_sales[[#This Row],[order_date]],"dddd")</f>
        <v>Thursday</v>
      </c>
      <c r="H1142" s="2">
        <v>36526.835011574076</v>
      </c>
      <c r="I1142">
        <v>16.5</v>
      </c>
      <c r="J1142">
        <v>16.5</v>
      </c>
      <c r="K1142" t="s">
        <v>13</v>
      </c>
      <c r="L1142" t="s">
        <v>26</v>
      </c>
      <c r="M1142" t="s">
        <v>27</v>
      </c>
      <c r="N1142" t="s">
        <v>28</v>
      </c>
    </row>
    <row r="1143" spans="1:14" x14ac:dyDescent="0.3">
      <c r="A1143">
        <v>1142</v>
      </c>
      <c r="B1143">
        <v>499</v>
      </c>
      <c r="C1143">
        <f>1/COUNTIF(pizza_sales[[#All],[order_id]],pizza_sales[[#This Row],[order_id]])</f>
        <v>0.25</v>
      </c>
      <c r="D1143" t="s">
        <v>169</v>
      </c>
      <c r="E1143">
        <v>1</v>
      </c>
      <c r="F1143" s="1">
        <v>42012</v>
      </c>
      <c r="G1143" s="1" t="str">
        <f>TEXT(pizza_sales[[#This Row],[order_date]],"dddd")</f>
        <v>Thursday</v>
      </c>
      <c r="H1143" s="2">
        <v>36526.882476851853</v>
      </c>
      <c r="I1143">
        <v>12.25</v>
      </c>
      <c r="J1143">
        <v>12.25</v>
      </c>
      <c r="K1143" t="s">
        <v>41</v>
      </c>
      <c r="L1143" t="s">
        <v>26</v>
      </c>
      <c r="M1143" t="s">
        <v>97</v>
      </c>
      <c r="N1143" t="s">
        <v>98</v>
      </c>
    </row>
    <row r="1144" spans="1:14" x14ac:dyDescent="0.3">
      <c r="A1144">
        <v>1143</v>
      </c>
      <c r="B1144">
        <v>499</v>
      </c>
      <c r="C1144">
        <f>1/COUNTIF(pizza_sales[[#All],[order_id]],pizza_sales[[#This Row],[order_id]])</f>
        <v>0.25</v>
      </c>
      <c r="D1144" t="s">
        <v>90</v>
      </c>
      <c r="E1144">
        <v>1</v>
      </c>
      <c r="F1144" s="1">
        <v>42012</v>
      </c>
      <c r="G1144" s="1" t="str">
        <f>TEXT(pizza_sales[[#This Row],[order_date]],"dddd")</f>
        <v>Thursday</v>
      </c>
      <c r="H1144" s="2">
        <v>36526.882476851853</v>
      </c>
      <c r="I1144">
        <v>17.95</v>
      </c>
      <c r="J1144">
        <v>17.95</v>
      </c>
      <c r="K1144" t="s">
        <v>21</v>
      </c>
      <c r="L1144" t="s">
        <v>22</v>
      </c>
      <c r="M1144" t="s">
        <v>91</v>
      </c>
      <c r="N1144" t="s">
        <v>92</v>
      </c>
    </row>
    <row r="1145" spans="1:14" x14ac:dyDescent="0.3">
      <c r="A1145">
        <v>1144</v>
      </c>
      <c r="B1145">
        <v>499</v>
      </c>
      <c r="C1145">
        <f>1/COUNTIF(pizza_sales[[#All],[order_id]],pizza_sales[[#This Row],[order_id]])</f>
        <v>0.25</v>
      </c>
      <c r="D1145" t="s">
        <v>29</v>
      </c>
      <c r="E1145">
        <v>1</v>
      </c>
      <c r="F1145" s="1">
        <v>42012</v>
      </c>
      <c r="G1145" s="1" t="str">
        <f>TEXT(pizza_sales[[#This Row],[order_date]],"dddd")</f>
        <v>Thursday</v>
      </c>
      <c r="H1145" s="2">
        <v>36526.882476851853</v>
      </c>
      <c r="I1145">
        <v>16</v>
      </c>
      <c r="J1145">
        <v>16</v>
      </c>
      <c r="K1145" t="s">
        <v>13</v>
      </c>
      <c r="L1145" t="s">
        <v>22</v>
      </c>
      <c r="M1145" t="s">
        <v>30</v>
      </c>
      <c r="N1145" t="s">
        <v>31</v>
      </c>
    </row>
    <row r="1146" spans="1:14" x14ac:dyDescent="0.3">
      <c r="A1146">
        <v>1145</v>
      </c>
      <c r="B1146">
        <v>499</v>
      </c>
      <c r="C1146">
        <f>1/COUNTIF(pizza_sales[[#All],[order_id]],pizza_sales[[#This Row],[order_id]])</f>
        <v>0.25</v>
      </c>
      <c r="D1146" t="s">
        <v>148</v>
      </c>
      <c r="E1146">
        <v>1</v>
      </c>
      <c r="F1146" s="1">
        <v>42012</v>
      </c>
      <c r="G1146" s="1" t="str">
        <f>TEXT(pizza_sales[[#This Row],[order_date]],"dddd")</f>
        <v>Thursday</v>
      </c>
      <c r="H1146" s="2">
        <v>36526.882476851853</v>
      </c>
      <c r="I1146">
        <v>14.5</v>
      </c>
      <c r="J1146">
        <v>14.5</v>
      </c>
      <c r="K1146" t="s">
        <v>13</v>
      </c>
      <c r="L1146" t="s">
        <v>14</v>
      </c>
      <c r="M1146" t="s">
        <v>130</v>
      </c>
      <c r="N1146" t="s">
        <v>131</v>
      </c>
    </row>
    <row r="1147" spans="1:14" x14ac:dyDescent="0.3">
      <c r="A1147">
        <v>1146</v>
      </c>
      <c r="B1147">
        <v>500</v>
      </c>
      <c r="C1147">
        <f>1/COUNTIF(pizza_sales[[#All],[order_id]],pizza_sales[[#This Row],[order_id]])</f>
        <v>1</v>
      </c>
      <c r="D1147" t="s">
        <v>103</v>
      </c>
      <c r="E1147">
        <v>1</v>
      </c>
      <c r="F1147" s="1">
        <v>42012</v>
      </c>
      <c r="G1147" s="1" t="str">
        <f>TEXT(pizza_sales[[#This Row],[order_date]],"dddd")</f>
        <v>Thursday</v>
      </c>
      <c r="H1147" s="2">
        <v>36526.907511574071</v>
      </c>
      <c r="I1147">
        <v>16</v>
      </c>
      <c r="J1147">
        <v>16</v>
      </c>
      <c r="K1147" t="s">
        <v>13</v>
      </c>
      <c r="L1147" t="s">
        <v>22</v>
      </c>
      <c r="M1147" t="s">
        <v>104</v>
      </c>
      <c r="N1147" t="s">
        <v>105</v>
      </c>
    </row>
    <row r="1148" spans="1:14" x14ac:dyDescent="0.3">
      <c r="A1148">
        <v>1147</v>
      </c>
      <c r="B1148">
        <v>501</v>
      </c>
      <c r="C1148">
        <f>1/COUNTIF(pizza_sales[[#All],[order_id]],pizza_sales[[#This Row],[order_id]])</f>
        <v>0.33333333333333331</v>
      </c>
      <c r="D1148" t="s">
        <v>80</v>
      </c>
      <c r="E1148">
        <v>1</v>
      </c>
      <c r="F1148" s="1">
        <v>42012</v>
      </c>
      <c r="G1148" s="1" t="str">
        <f>TEXT(pizza_sales[[#This Row],[order_date]],"dddd")</f>
        <v>Thursday</v>
      </c>
      <c r="H1148" s="2">
        <v>36526.910775462966</v>
      </c>
      <c r="I1148">
        <v>12.75</v>
      </c>
      <c r="J1148">
        <v>12.75</v>
      </c>
      <c r="K1148" t="s">
        <v>41</v>
      </c>
      <c r="L1148" t="s">
        <v>33</v>
      </c>
      <c r="M1148" t="s">
        <v>74</v>
      </c>
      <c r="N1148" t="s">
        <v>75</v>
      </c>
    </row>
    <row r="1149" spans="1:14" x14ac:dyDescent="0.3">
      <c r="A1149">
        <v>1148</v>
      </c>
      <c r="B1149">
        <v>501</v>
      </c>
      <c r="C1149">
        <f>1/COUNTIF(pizza_sales[[#All],[order_id]],pizza_sales[[#This Row],[order_id]])</f>
        <v>0.33333333333333331</v>
      </c>
      <c r="D1149" t="s">
        <v>132</v>
      </c>
      <c r="E1149">
        <v>1</v>
      </c>
      <c r="F1149" s="1">
        <v>42012</v>
      </c>
      <c r="G1149" s="1" t="str">
        <f>TEXT(pizza_sales[[#This Row],[order_date]],"dddd")</f>
        <v>Thursday</v>
      </c>
      <c r="H1149" s="2">
        <v>36526.910775462966</v>
      </c>
      <c r="I1149">
        <v>10.5</v>
      </c>
      <c r="J1149">
        <v>10.5</v>
      </c>
      <c r="K1149" t="s">
        <v>41</v>
      </c>
      <c r="L1149" t="s">
        <v>14</v>
      </c>
      <c r="M1149" t="s">
        <v>15</v>
      </c>
      <c r="N1149" t="s">
        <v>16</v>
      </c>
    </row>
    <row r="1150" spans="1:14" x14ac:dyDescent="0.3">
      <c r="A1150">
        <v>1149</v>
      </c>
      <c r="B1150">
        <v>501</v>
      </c>
      <c r="C1150">
        <f>1/COUNTIF(pizza_sales[[#All],[order_id]],pizza_sales[[#This Row],[order_id]])</f>
        <v>0.33333333333333331</v>
      </c>
      <c r="D1150" t="s">
        <v>69</v>
      </c>
      <c r="E1150">
        <v>1</v>
      </c>
      <c r="F1150" s="1">
        <v>42012</v>
      </c>
      <c r="G1150" s="1" t="str">
        <f>TEXT(pizza_sales[[#This Row],[order_date]],"dddd")</f>
        <v>Thursday</v>
      </c>
      <c r="H1150" s="2">
        <v>36526.910775462966</v>
      </c>
      <c r="I1150">
        <v>20.75</v>
      </c>
      <c r="J1150">
        <v>20.75</v>
      </c>
      <c r="K1150" t="s">
        <v>21</v>
      </c>
      <c r="L1150" t="s">
        <v>33</v>
      </c>
      <c r="M1150" t="s">
        <v>70</v>
      </c>
      <c r="N1150" t="s">
        <v>71</v>
      </c>
    </row>
    <row r="1151" spans="1:14" x14ac:dyDescent="0.3">
      <c r="A1151">
        <v>1150</v>
      </c>
      <c r="B1151">
        <v>502</v>
      </c>
      <c r="C1151">
        <f>1/COUNTIF(pizza_sales[[#All],[order_id]],pizza_sales[[#This Row],[order_id]])</f>
        <v>1</v>
      </c>
      <c r="D1151" t="s">
        <v>159</v>
      </c>
      <c r="E1151">
        <v>1</v>
      </c>
      <c r="F1151" s="1">
        <v>42012</v>
      </c>
      <c r="G1151" s="1" t="str">
        <f>TEXT(pizza_sales[[#This Row],[order_date]],"dddd")</f>
        <v>Thursday</v>
      </c>
      <c r="H1151" s="2">
        <v>36526.934814814813</v>
      </c>
      <c r="I1151">
        <v>16.75</v>
      </c>
      <c r="J1151">
        <v>16.75</v>
      </c>
      <c r="K1151" t="s">
        <v>13</v>
      </c>
      <c r="L1151" t="s">
        <v>22</v>
      </c>
      <c r="M1151" t="s">
        <v>101</v>
      </c>
      <c r="N1151" t="s">
        <v>102</v>
      </c>
    </row>
    <row r="1152" spans="1:14" x14ac:dyDescent="0.3">
      <c r="A1152">
        <v>1151</v>
      </c>
      <c r="B1152">
        <v>503</v>
      </c>
      <c r="C1152">
        <f>1/COUNTIF(pizza_sales[[#All],[order_id]],pizza_sales[[#This Row],[order_id]])</f>
        <v>0.5</v>
      </c>
      <c r="D1152" t="s">
        <v>77</v>
      </c>
      <c r="E1152">
        <v>1</v>
      </c>
      <c r="F1152" s="1">
        <v>42013</v>
      </c>
      <c r="G1152" s="1" t="str">
        <f>TEXT(pizza_sales[[#This Row],[order_date]],"dddd")</f>
        <v>Friday</v>
      </c>
      <c r="H1152" s="2">
        <v>36526.469687500001</v>
      </c>
      <c r="I1152">
        <v>15.25</v>
      </c>
      <c r="J1152">
        <v>15.25</v>
      </c>
      <c r="K1152" t="s">
        <v>21</v>
      </c>
      <c r="L1152" t="s">
        <v>14</v>
      </c>
      <c r="M1152" t="s">
        <v>78</v>
      </c>
      <c r="N1152" t="s">
        <v>79</v>
      </c>
    </row>
    <row r="1153" spans="1:14" x14ac:dyDescent="0.3">
      <c r="A1153">
        <v>1152</v>
      </c>
      <c r="B1153">
        <v>503</v>
      </c>
      <c r="C1153">
        <f>1/COUNTIF(pizza_sales[[#All],[order_id]],pizza_sales[[#This Row],[order_id]])</f>
        <v>0.5</v>
      </c>
      <c r="D1153" t="s">
        <v>121</v>
      </c>
      <c r="E1153">
        <v>1</v>
      </c>
      <c r="F1153" s="1">
        <v>42013</v>
      </c>
      <c r="G1153" s="1" t="str">
        <f>TEXT(pizza_sales[[#This Row],[order_date]],"dddd")</f>
        <v>Friday</v>
      </c>
      <c r="H1153" s="2">
        <v>36526.469687500001</v>
      </c>
      <c r="I1153">
        <v>16.25</v>
      </c>
      <c r="J1153">
        <v>16.25</v>
      </c>
      <c r="K1153" t="s">
        <v>13</v>
      </c>
      <c r="L1153" t="s">
        <v>26</v>
      </c>
      <c r="M1153" t="s">
        <v>114</v>
      </c>
      <c r="N1153" t="s">
        <v>115</v>
      </c>
    </row>
    <row r="1154" spans="1:14" x14ac:dyDescent="0.3">
      <c r="A1154">
        <v>1153</v>
      </c>
      <c r="B1154">
        <v>504</v>
      </c>
      <c r="C1154">
        <f>1/COUNTIF(pizza_sales[[#All],[order_id]],pizza_sales[[#This Row],[order_id]])</f>
        <v>1</v>
      </c>
      <c r="D1154" t="s">
        <v>170</v>
      </c>
      <c r="E1154">
        <v>1</v>
      </c>
      <c r="F1154" s="1">
        <v>42013</v>
      </c>
      <c r="G1154" s="1" t="str">
        <f>TEXT(pizza_sales[[#This Row],[order_date]],"dddd")</f>
        <v>Friday</v>
      </c>
      <c r="H1154" s="2">
        <v>36526.491875</v>
      </c>
      <c r="I1154">
        <v>20.5</v>
      </c>
      <c r="J1154">
        <v>20.5</v>
      </c>
      <c r="K1154" t="s">
        <v>21</v>
      </c>
      <c r="L1154" t="s">
        <v>14</v>
      </c>
      <c r="M1154" t="s">
        <v>45</v>
      </c>
      <c r="N1154" t="s">
        <v>46</v>
      </c>
    </row>
    <row r="1155" spans="1:14" x14ac:dyDescent="0.3">
      <c r="A1155">
        <v>1154</v>
      </c>
      <c r="B1155">
        <v>505</v>
      </c>
      <c r="C1155">
        <f>1/COUNTIF(pizza_sales[[#All],[order_id]],pizza_sales[[#This Row],[order_id]])</f>
        <v>0.5</v>
      </c>
      <c r="D1155" t="s">
        <v>119</v>
      </c>
      <c r="E1155">
        <v>1</v>
      </c>
      <c r="F1155" s="1">
        <v>42013</v>
      </c>
      <c r="G1155" s="1" t="str">
        <f>TEXT(pizza_sales[[#This Row],[order_date]],"dddd")</f>
        <v>Friday</v>
      </c>
      <c r="H1155" s="2">
        <v>36526.49664351852</v>
      </c>
      <c r="I1155">
        <v>12.5</v>
      </c>
      <c r="J1155">
        <v>12.5</v>
      </c>
      <c r="K1155" t="s">
        <v>13</v>
      </c>
      <c r="L1155" t="s">
        <v>14</v>
      </c>
      <c r="M1155" t="s">
        <v>78</v>
      </c>
      <c r="N1155" t="s">
        <v>79</v>
      </c>
    </row>
    <row r="1156" spans="1:14" x14ac:dyDescent="0.3">
      <c r="A1156">
        <v>1155</v>
      </c>
      <c r="B1156">
        <v>505</v>
      </c>
      <c r="C1156">
        <f>1/COUNTIF(pizza_sales[[#All],[order_id]],pizza_sales[[#This Row],[order_id]])</f>
        <v>0.5</v>
      </c>
      <c r="D1156" t="s">
        <v>140</v>
      </c>
      <c r="E1156">
        <v>1</v>
      </c>
      <c r="F1156" s="1">
        <v>42013</v>
      </c>
      <c r="G1156" s="1" t="str">
        <f>TEXT(pizza_sales[[#This Row],[order_date]],"dddd")</f>
        <v>Friday</v>
      </c>
      <c r="H1156" s="2">
        <v>36526.49664351852</v>
      </c>
      <c r="I1156">
        <v>25.5</v>
      </c>
      <c r="J1156">
        <v>25.5</v>
      </c>
      <c r="K1156" t="s">
        <v>141</v>
      </c>
      <c r="L1156" t="s">
        <v>14</v>
      </c>
      <c r="M1156" t="s">
        <v>45</v>
      </c>
      <c r="N1156" t="s">
        <v>46</v>
      </c>
    </row>
    <row r="1157" spans="1:14" x14ac:dyDescent="0.3">
      <c r="A1157">
        <v>1156</v>
      </c>
      <c r="B1157">
        <v>506</v>
      </c>
      <c r="C1157">
        <f>1/COUNTIF(pizza_sales[[#All],[order_id]],pizza_sales[[#This Row],[order_id]])</f>
        <v>1</v>
      </c>
      <c r="D1157" t="s">
        <v>162</v>
      </c>
      <c r="E1157">
        <v>1</v>
      </c>
      <c r="F1157" s="1">
        <v>42013</v>
      </c>
      <c r="G1157" s="1" t="str">
        <f>TEXT(pizza_sales[[#This Row],[order_date]],"dddd")</f>
        <v>Friday</v>
      </c>
      <c r="H1157" s="2">
        <v>36526.501493055555</v>
      </c>
      <c r="I1157">
        <v>16</v>
      </c>
      <c r="J1157">
        <v>16</v>
      </c>
      <c r="K1157" t="s">
        <v>13</v>
      </c>
      <c r="L1157" t="s">
        <v>22</v>
      </c>
      <c r="M1157" t="s">
        <v>110</v>
      </c>
      <c r="N1157" t="s">
        <v>111</v>
      </c>
    </row>
    <row r="1158" spans="1:14" x14ac:dyDescent="0.3">
      <c r="A1158">
        <v>1157</v>
      </c>
      <c r="B1158">
        <v>507</v>
      </c>
      <c r="C1158">
        <f>1/COUNTIF(pizza_sales[[#All],[order_id]],pizza_sales[[#This Row],[order_id]])</f>
        <v>1</v>
      </c>
      <c r="D1158" t="s">
        <v>156</v>
      </c>
      <c r="E1158">
        <v>1</v>
      </c>
      <c r="F1158" s="1">
        <v>42013</v>
      </c>
      <c r="G1158" s="1" t="str">
        <f>TEXT(pizza_sales[[#This Row],[order_date]],"dddd")</f>
        <v>Friday</v>
      </c>
      <c r="H1158" s="2">
        <v>36526.504201388889</v>
      </c>
      <c r="I1158">
        <v>12.75</v>
      </c>
      <c r="J1158">
        <v>12.75</v>
      </c>
      <c r="K1158" t="s">
        <v>41</v>
      </c>
      <c r="L1158" t="s">
        <v>33</v>
      </c>
      <c r="M1158" t="s">
        <v>82</v>
      </c>
      <c r="N1158" t="s">
        <v>83</v>
      </c>
    </row>
    <row r="1159" spans="1:14" x14ac:dyDescent="0.3">
      <c r="A1159">
        <v>1158</v>
      </c>
      <c r="B1159">
        <v>508</v>
      </c>
      <c r="C1159">
        <f>1/COUNTIF(pizza_sales[[#All],[order_id]],pizza_sales[[#This Row],[order_id]])</f>
        <v>0.33333333333333331</v>
      </c>
      <c r="D1159" t="s">
        <v>76</v>
      </c>
      <c r="E1159">
        <v>1</v>
      </c>
      <c r="F1159" s="1">
        <v>42013</v>
      </c>
      <c r="G1159" s="1" t="str">
        <f>TEXT(pizza_sales[[#This Row],[order_date]],"dddd")</f>
        <v>Friday</v>
      </c>
      <c r="H1159" s="2">
        <v>36526.509398148148</v>
      </c>
      <c r="I1159">
        <v>16.75</v>
      </c>
      <c r="J1159">
        <v>16.75</v>
      </c>
      <c r="K1159" t="s">
        <v>13</v>
      </c>
      <c r="L1159" t="s">
        <v>33</v>
      </c>
      <c r="M1159" t="s">
        <v>74</v>
      </c>
      <c r="N1159" t="s">
        <v>75</v>
      </c>
    </row>
    <row r="1160" spans="1:14" x14ac:dyDescent="0.3">
      <c r="A1160">
        <v>1159</v>
      </c>
      <c r="B1160">
        <v>508</v>
      </c>
      <c r="C1160">
        <f>1/COUNTIF(pizza_sales[[#All],[order_id]],pizza_sales[[#This Row],[order_id]])</f>
        <v>0.33333333333333331</v>
      </c>
      <c r="D1160" t="s">
        <v>80</v>
      </c>
      <c r="E1160">
        <v>1</v>
      </c>
      <c r="F1160" s="1">
        <v>42013</v>
      </c>
      <c r="G1160" s="1" t="str">
        <f>TEXT(pizza_sales[[#This Row],[order_date]],"dddd")</f>
        <v>Friday</v>
      </c>
      <c r="H1160" s="2">
        <v>36526.509398148148</v>
      </c>
      <c r="I1160">
        <v>12.75</v>
      </c>
      <c r="J1160">
        <v>12.75</v>
      </c>
      <c r="K1160" t="s">
        <v>41</v>
      </c>
      <c r="L1160" t="s">
        <v>33</v>
      </c>
      <c r="M1160" t="s">
        <v>74</v>
      </c>
      <c r="N1160" t="s">
        <v>75</v>
      </c>
    </row>
    <row r="1161" spans="1:14" x14ac:dyDescent="0.3">
      <c r="A1161">
        <v>1160</v>
      </c>
      <c r="B1161">
        <v>508</v>
      </c>
      <c r="C1161">
        <f>1/COUNTIF(pizza_sales[[#All],[order_id]],pizza_sales[[#This Row],[order_id]])</f>
        <v>0.33333333333333331</v>
      </c>
      <c r="D1161" t="s">
        <v>119</v>
      </c>
      <c r="E1161">
        <v>1</v>
      </c>
      <c r="F1161" s="1">
        <v>42013</v>
      </c>
      <c r="G1161" s="1" t="str">
        <f>TEXT(pizza_sales[[#This Row],[order_date]],"dddd")</f>
        <v>Friday</v>
      </c>
      <c r="H1161" s="2">
        <v>36526.509398148148</v>
      </c>
      <c r="I1161">
        <v>12.5</v>
      </c>
      <c r="J1161">
        <v>12.5</v>
      </c>
      <c r="K1161" t="s">
        <v>13</v>
      </c>
      <c r="L1161" t="s">
        <v>14</v>
      </c>
      <c r="M1161" t="s">
        <v>78</v>
      </c>
      <c r="N1161" t="s">
        <v>79</v>
      </c>
    </row>
    <row r="1162" spans="1:14" x14ac:dyDescent="0.3">
      <c r="A1162">
        <v>1161</v>
      </c>
      <c r="B1162">
        <v>509</v>
      </c>
      <c r="C1162">
        <f>1/COUNTIF(pizza_sales[[#All],[order_id]],pizza_sales[[#This Row],[order_id]])</f>
        <v>1</v>
      </c>
      <c r="D1162" t="s">
        <v>59</v>
      </c>
      <c r="E1162">
        <v>1</v>
      </c>
      <c r="F1162" s="1">
        <v>42013</v>
      </c>
      <c r="G1162" s="1" t="str">
        <f>TEXT(pizza_sales[[#This Row],[order_date]],"dddd")</f>
        <v>Friday</v>
      </c>
      <c r="H1162" s="2">
        <v>36526.509699074071</v>
      </c>
      <c r="I1162">
        <v>20.75</v>
      </c>
      <c r="J1162">
        <v>20.75</v>
      </c>
      <c r="K1162" t="s">
        <v>21</v>
      </c>
      <c r="L1162" t="s">
        <v>26</v>
      </c>
      <c r="M1162" t="s">
        <v>60</v>
      </c>
      <c r="N1162" t="s">
        <v>61</v>
      </c>
    </row>
    <row r="1163" spans="1:14" x14ac:dyDescent="0.3">
      <c r="A1163">
        <v>1162</v>
      </c>
      <c r="B1163">
        <v>510</v>
      </c>
      <c r="C1163">
        <f>1/COUNTIF(pizza_sales[[#All],[order_id]],pizza_sales[[#This Row],[order_id]])</f>
        <v>0.25</v>
      </c>
      <c r="D1163" t="s">
        <v>17</v>
      </c>
      <c r="E1163">
        <v>1</v>
      </c>
      <c r="F1163" s="1">
        <v>42013</v>
      </c>
      <c r="G1163" s="1" t="str">
        <f>TEXT(pizza_sales[[#This Row],[order_date]],"dddd")</f>
        <v>Friday</v>
      </c>
      <c r="H1163" s="2">
        <v>36526.510451388887</v>
      </c>
      <c r="I1163">
        <v>16</v>
      </c>
      <c r="J1163">
        <v>16</v>
      </c>
      <c r="K1163" t="s">
        <v>13</v>
      </c>
      <c r="L1163" t="s">
        <v>14</v>
      </c>
      <c r="M1163" t="s">
        <v>18</v>
      </c>
      <c r="N1163" t="s">
        <v>19</v>
      </c>
    </row>
    <row r="1164" spans="1:14" x14ac:dyDescent="0.3">
      <c r="A1164">
        <v>1163</v>
      </c>
      <c r="B1164">
        <v>510</v>
      </c>
      <c r="C1164">
        <f>1/COUNTIF(pizza_sales[[#All],[order_id]],pizza_sales[[#This Row],[order_id]])</f>
        <v>0.25</v>
      </c>
      <c r="D1164" t="s">
        <v>50</v>
      </c>
      <c r="E1164">
        <v>1</v>
      </c>
      <c r="F1164" s="1">
        <v>42013</v>
      </c>
      <c r="G1164" s="1" t="str">
        <f>TEXT(pizza_sales[[#This Row],[order_date]],"dddd")</f>
        <v>Friday</v>
      </c>
      <c r="H1164" s="2">
        <v>36526.510451388887</v>
      </c>
      <c r="I1164">
        <v>12</v>
      </c>
      <c r="J1164">
        <v>12</v>
      </c>
      <c r="K1164" t="s">
        <v>41</v>
      </c>
      <c r="L1164" t="s">
        <v>14</v>
      </c>
      <c r="M1164" t="s">
        <v>18</v>
      </c>
      <c r="N1164" t="s">
        <v>19</v>
      </c>
    </row>
    <row r="1165" spans="1:14" x14ac:dyDescent="0.3">
      <c r="A1165">
        <v>1164</v>
      </c>
      <c r="B1165">
        <v>510</v>
      </c>
      <c r="C1165">
        <f>1/COUNTIF(pizza_sales[[#All],[order_id]],pizza_sales[[#This Row],[order_id]])</f>
        <v>0.25</v>
      </c>
      <c r="D1165" t="s">
        <v>25</v>
      </c>
      <c r="E1165">
        <v>1</v>
      </c>
      <c r="F1165" s="1">
        <v>42013</v>
      </c>
      <c r="G1165" s="1" t="str">
        <f>TEXT(pizza_sales[[#This Row],[order_date]],"dddd")</f>
        <v>Friday</v>
      </c>
      <c r="H1165" s="2">
        <v>36526.510451388887</v>
      </c>
      <c r="I1165">
        <v>20.75</v>
      </c>
      <c r="J1165">
        <v>20.75</v>
      </c>
      <c r="K1165" t="s">
        <v>21</v>
      </c>
      <c r="L1165" t="s">
        <v>26</v>
      </c>
      <c r="M1165" t="s">
        <v>27</v>
      </c>
      <c r="N1165" t="s">
        <v>28</v>
      </c>
    </row>
    <row r="1166" spans="1:14" x14ac:dyDescent="0.3">
      <c r="A1166">
        <v>1165</v>
      </c>
      <c r="B1166">
        <v>510</v>
      </c>
      <c r="C1166">
        <f>1/COUNTIF(pizza_sales[[#All],[order_id]],pizza_sales[[#This Row],[order_id]])</f>
        <v>0.25</v>
      </c>
      <c r="D1166" t="s">
        <v>59</v>
      </c>
      <c r="E1166">
        <v>1</v>
      </c>
      <c r="F1166" s="1">
        <v>42013</v>
      </c>
      <c r="G1166" s="1" t="str">
        <f>TEXT(pizza_sales[[#This Row],[order_date]],"dddd")</f>
        <v>Friday</v>
      </c>
      <c r="H1166" s="2">
        <v>36526.510451388887</v>
      </c>
      <c r="I1166">
        <v>20.75</v>
      </c>
      <c r="J1166">
        <v>20.75</v>
      </c>
      <c r="K1166" t="s">
        <v>21</v>
      </c>
      <c r="L1166" t="s">
        <v>26</v>
      </c>
      <c r="M1166" t="s">
        <v>60</v>
      </c>
      <c r="N1166" t="s">
        <v>61</v>
      </c>
    </row>
    <row r="1167" spans="1:14" x14ac:dyDescent="0.3">
      <c r="A1167">
        <v>1166</v>
      </c>
      <c r="B1167">
        <v>511</v>
      </c>
      <c r="C1167">
        <f>1/COUNTIF(pizza_sales[[#All],[order_id]],pizza_sales[[#This Row],[order_id]])</f>
        <v>1</v>
      </c>
      <c r="D1167" t="s">
        <v>20</v>
      </c>
      <c r="E1167">
        <v>1</v>
      </c>
      <c r="F1167" s="1">
        <v>42013</v>
      </c>
      <c r="G1167" s="1" t="str">
        <f>TEXT(pizza_sales[[#This Row],[order_date]],"dddd")</f>
        <v>Friday</v>
      </c>
      <c r="H1167" s="2">
        <v>36526.512743055559</v>
      </c>
      <c r="I1167">
        <v>18.5</v>
      </c>
      <c r="J1167">
        <v>18.5</v>
      </c>
      <c r="K1167" t="s">
        <v>21</v>
      </c>
      <c r="L1167" t="s">
        <v>22</v>
      </c>
      <c r="M1167" t="s">
        <v>23</v>
      </c>
      <c r="N1167" t="s">
        <v>24</v>
      </c>
    </row>
    <row r="1168" spans="1:14" x14ac:dyDescent="0.3">
      <c r="A1168">
        <v>1167</v>
      </c>
      <c r="B1168">
        <v>512</v>
      </c>
      <c r="C1168">
        <f>1/COUNTIF(pizza_sales[[#All],[order_id]],pizza_sales[[#This Row],[order_id]])</f>
        <v>1</v>
      </c>
      <c r="D1168" t="s">
        <v>159</v>
      </c>
      <c r="E1168">
        <v>1</v>
      </c>
      <c r="F1168" s="1">
        <v>42013</v>
      </c>
      <c r="G1168" s="1" t="str">
        <f>TEXT(pizza_sales[[#This Row],[order_date]],"dddd")</f>
        <v>Friday</v>
      </c>
      <c r="H1168" s="2">
        <v>36526.513472222221</v>
      </c>
      <c r="I1168">
        <v>16.75</v>
      </c>
      <c r="J1168">
        <v>16.75</v>
      </c>
      <c r="K1168" t="s">
        <v>13</v>
      </c>
      <c r="L1168" t="s">
        <v>22</v>
      </c>
      <c r="M1168" t="s">
        <v>101</v>
      </c>
      <c r="N1168" t="s">
        <v>102</v>
      </c>
    </row>
    <row r="1169" spans="1:14" x14ac:dyDescent="0.3">
      <c r="A1169">
        <v>1168</v>
      </c>
      <c r="B1169">
        <v>513</v>
      </c>
      <c r="C1169">
        <f>1/COUNTIF(pizza_sales[[#All],[order_id]],pizza_sales[[#This Row],[order_id]])</f>
        <v>0.25</v>
      </c>
      <c r="D1169" t="s">
        <v>90</v>
      </c>
      <c r="E1169">
        <v>1</v>
      </c>
      <c r="F1169" s="1">
        <v>42013</v>
      </c>
      <c r="G1169" s="1" t="str">
        <f>TEXT(pizza_sales[[#This Row],[order_date]],"dddd")</f>
        <v>Friday</v>
      </c>
      <c r="H1169" s="2">
        <v>36526.515833333331</v>
      </c>
      <c r="I1169">
        <v>17.95</v>
      </c>
      <c r="J1169">
        <v>17.95</v>
      </c>
      <c r="K1169" t="s">
        <v>21</v>
      </c>
      <c r="L1169" t="s">
        <v>22</v>
      </c>
      <c r="M1169" t="s">
        <v>91</v>
      </c>
      <c r="N1169" t="s">
        <v>92</v>
      </c>
    </row>
    <row r="1170" spans="1:14" x14ac:dyDescent="0.3">
      <c r="A1170">
        <v>1169</v>
      </c>
      <c r="B1170">
        <v>513</v>
      </c>
      <c r="C1170">
        <f>1/COUNTIF(pizza_sales[[#All],[order_id]],pizza_sales[[#This Row],[order_id]])</f>
        <v>0.25</v>
      </c>
      <c r="D1170" t="s">
        <v>159</v>
      </c>
      <c r="E1170">
        <v>1</v>
      </c>
      <c r="F1170" s="1">
        <v>42013</v>
      </c>
      <c r="G1170" s="1" t="str">
        <f>TEXT(pizza_sales[[#This Row],[order_date]],"dddd")</f>
        <v>Friday</v>
      </c>
      <c r="H1170" s="2">
        <v>36526.515833333331</v>
      </c>
      <c r="I1170">
        <v>16.75</v>
      </c>
      <c r="J1170">
        <v>16.75</v>
      </c>
      <c r="K1170" t="s">
        <v>13</v>
      </c>
      <c r="L1170" t="s">
        <v>22</v>
      </c>
      <c r="M1170" t="s">
        <v>101</v>
      </c>
      <c r="N1170" t="s">
        <v>102</v>
      </c>
    </row>
    <row r="1171" spans="1:14" x14ac:dyDescent="0.3">
      <c r="A1171">
        <v>1170</v>
      </c>
      <c r="B1171">
        <v>513</v>
      </c>
      <c r="C1171">
        <f>1/COUNTIF(pizza_sales[[#All],[order_id]],pizza_sales[[#This Row],[order_id]])</f>
        <v>0.25</v>
      </c>
      <c r="D1171" t="s">
        <v>77</v>
      </c>
      <c r="E1171">
        <v>1</v>
      </c>
      <c r="F1171" s="1">
        <v>42013</v>
      </c>
      <c r="G1171" s="1" t="str">
        <f>TEXT(pizza_sales[[#This Row],[order_date]],"dddd")</f>
        <v>Friday</v>
      </c>
      <c r="H1171" s="2">
        <v>36526.515833333331</v>
      </c>
      <c r="I1171">
        <v>15.25</v>
      </c>
      <c r="J1171">
        <v>15.25</v>
      </c>
      <c r="K1171" t="s">
        <v>21</v>
      </c>
      <c r="L1171" t="s">
        <v>14</v>
      </c>
      <c r="M1171" t="s">
        <v>78</v>
      </c>
      <c r="N1171" t="s">
        <v>79</v>
      </c>
    </row>
    <row r="1172" spans="1:14" x14ac:dyDescent="0.3">
      <c r="A1172">
        <v>1171</v>
      </c>
      <c r="B1172">
        <v>513</v>
      </c>
      <c r="C1172">
        <f>1/COUNTIF(pizza_sales[[#All],[order_id]],pizza_sales[[#This Row],[order_id]])</f>
        <v>0.25</v>
      </c>
      <c r="D1172" t="s">
        <v>32</v>
      </c>
      <c r="E1172">
        <v>1</v>
      </c>
      <c r="F1172" s="1">
        <v>42013</v>
      </c>
      <c r="G1172" s="1" t="str">
        <f>TEXT(pizza_sales[[#This Row],[order_date]],"dddd")</f>
        <v>Friday</v>
      </c>
      <c r="H1172" s="2">
        <v>36526.515833333331</v>
      </c>
      <c r="I1172">
        <v>20.75</v>
      </c>
      <c r="J1172">
        <v>20.75</v>
      </c>
      <c r="K1172" t="s">
        <v>21</v>
      </c>
      <c r="L1172" t="s">
        <v>33</v>
      </c>
      <c r="M1172" t="s">
        <v>34</v>
      </c>
      <c r="N1172" t="s">
        <v>35</v>
      </c>
    </row>
    <row r="1173" spans="1:14" x14ac:dyDescent="0.3">
      <c r="A1173">
        <v>1172</v>
      </c>
      <c r="B1173">
        <v>514</v>
      </c>
      <c r="C1173">
        <f>1/COUNTIF(pizza_sales[[#All],[order_id]],pizza_sales[[#This Row],[order_id]])</f>
        <v>1</v>
      </c>
      <c r="D1173" t="s">
        <v>50</v>
      </c>
      <c r="E1173">
        <v>1</v>
      </c>
      <c r="F1173" s="1">
        <v>42013</v>
      </c>
      <c r="G1173" s="1" t="str">
        <f>TEXT(pizza_sales[[#This Row],[order_date]],"dddd")</f>
        <v>Friday</v>
      </c>
      <c r="H1173" s="2">
        <v>36526.518599537034</v>
      </c>
      <c r="I1173">
        <v>12</v>
      </c>
      <c r="J1173">
        <v>12</v>
      </c>
      <c r="K1173" t="s">
        <v>41</v>
      </c>
      <c r="L1173" t="s">
        <v>14</v>
      </c>
      <c r="M1173" t="s">
        <v>18</v>
      </c>
      <c r="N1173" t="s">
        <v>19</v>
      </c>
    </row>
    <row r="1174" spans="1:14" x14ac:dyDescent="0.3">
      <c r="A1174">
        <v>1173</v>
      </c>
      <c r="B1174">
        <v>515</v>
      </c>
      <c r="C1174">
        <f>1/COUNTIF(pizza_sales[[#All],[order_id]],pizza_sales[[#This Row],[order_id]])</f>
        <v>0.5</v>
      </c>
      <c r="D1174" t="s">
        <v>81</v>
      </c>
      <c r="E1174">
        <v>1</v>
      </c>
      <c r="F1174" s="1">
        <v>42013</v>
      </c>
      <c r="G1174" s="1" t="str">
        <f>TEXT(pizza_sales[[#This Row],[order_date]],"dddd")</f>
        <v>Friday</v>
      </c>
      <c r="H1174" s="2">
        <v>36526.546956018516</v>
      </c>
      <c r="I1174">
        <v>20.75</v>
      </c>
      <c r="J1174">
        <v>20.75</v>
      </c>
      <c r="K1174" t="s">
        <v>21</v>
      </c>
      <c r="L1174" t="s">
        <v>33</v>
      </c>
      <c r="M1174" t="s">
        <v>82</v>
      </c>
      <c r="N1174" t="s">
        <v>83</v>
      </c>
    </row>
    <row r="1175" spans="1:14" x14ac:dyDescent="0.3">
      <c r="A1175">
        <v>1174</v>
      </c>
      <c r="B1175">
        <v>515</v>
      </c>
      <c r="C1175">
        <f>1/COUNTIF(pizza_sales[[#All],[order_id]],pizza_sales[[#This Row],[order_id]])</f>
        <v>0.5</v>
      </c>
      <c r="D1175" t="s">
        <v>146</v>
      </c>
      <c r="E1175">
        <v>1</v>
      </c>
      <c r="F1175" s="1">
        <v>42013</v>
      </c>
      <c r="G1175" s="1" t="str">
        <f>TEXT(pizza_sales[[#This Row],[order_date]],"dddd")</f>
        <v>Friday</v>
      </c>
      <c r="H1175" s="2">
        <v>36526.546956018516</v>
      </c>
      <c r="I1175">
        <v>20.25</v>
      </c>
      <c r="J1175">
        <v>20.25</v>
      </c>
      <c r="K1175" t="s">
        <v>21</v>
      </c>
      <c r="L1175" t="s">
        <v>22</v>
      </c>
      <c r="M1175" t="s">
        <v>104</v>
      </c>
      <c r="N1175" t="s">
        <v>105</v>
      </c>
    </row>
    <row r="1176" spans="1:14" x14ac:dyDescent="0.3">
      <c r="A1176">
        <v>1175</v>
      </c>
      <c r="B1176">
        <v>516</v>
      </c>
      <c r="C1176">
        <f>1/COUNTIF(pizza_sales[[#All],[order_id]],pizza_sales[[#This Row],[order_id]])</f>
        <v>0.5</v>
      </c>
      <c r="D1176" t="s">
        <v>112</v>
      </c>
      <c r="E1176">
        <v>1</v>
      </c>
      <c r="F1176" s="1">
        <v>42013</v>
      </c>
      <c r="G1176" s="1" t="str">
        <f>TEXT(pizza_sales[[#This Row],[order_date]],"dddd")</f>
        <v>Friday</v>
      </c>
      <c r="H1176" s="2">
        <v>36526.548020833332</v>
      </c>
      <c r="I1176">
        <v>20.5</v>
      </c>
      <c r="J1176">
        <v>20.5</v>
      </c>
      <c r="K1176" t="s">
        <v>21</v>
      </c>
      <c r="L1176" t="s">
        <v>14</v>
      </c>
      <c r="M1176" t="s">
        <v>94</v>
      </c>
      <c r="N1176" t="s">
        <v>95</v>
      </c>
    </row>
    <row r="1177" spans="1:14" x14ac:dyDescent="0.3">
      <c r="A1177">
        <v>1176</v>
      </c>
      <c r="B1177">
        <v>516</v>
      </c>
      <c r="C1177">
        <f>1/COUNTIF(pizza_sales[[#All],[order_id]],pizza_sales[[#This Row],[order_id]])</f>
        <v>0.5</v>
      </c>
      <c r="D1177" t="s">
        <v>122</v>
      </c>
      <c r="E1177">
        <v>1</v>
      </c>
      <c r="F1177" s="1">
        <v>42013</v>
      </c>
      <c r="G1177" s="1" t="str">
        <f>TEXT(pizza_sales[[#This Row],[order_date]],"dddd")</f>
        <v>Friday</v>
      </c>
      <c r="H1177" s="2">
        <v>36526.548020833332</v>
      </c>
      <c r="I1177">
        <v>20.25</v>
      </c>
      <c r="J1177">
        <v>20.25</v>
      </c>
      <c r="K1177" t="s">
        <v>21</v>
      </c>
      <c r="L1177" t="s">
        <v>22</v>
      </c>
      <c r="M1177" t="s">
        <v>66</v>
      </c>
      <c r="N1177" t="s">
        <v>67</v>
      </c>
    </row>
    <row r="1178" spans="1:14" x14ac:dyDescent="0.3">
      <c r="A1178">
        <v>1177</v>
      </c>
      <c r="B1178">
        <v>517</v>
      </c>
      <c r="C1178">
        <f>1/COUNTIF(pizza_sales[[#All],[order_id]],pizza_sales[[#This Row],[order_id]])</f>
        <v>1</v>
      </c>
      <c r="D1178" t="s">
        <v>29</v>
      </c>
      <c r="E1178">
        <v>1</v>
      </c>
      <c r="F1178" s="1">
        <v>42013</v>
      </c>
      <c r="G1178" s="1" t="str">
        <f>TEXT(pizza_sales[[#This Row],[order_date]],"dddd")</f>
        <v>Friday</v>
      </c>
      <c r="H1178" s="2">
        <v>36526.548043981478</v>
      </c>
      <c r="I1178">
        <v>16</v>
      </c>
      <c r="J1178">
        <v>16</v>
      </c>
      <c r="K1178" t="s">
        <v>13</v>
      </c>
      <c r="L1178" t="s">
        <v>22</v>
      </c>
      <c r="M1178" t="s">
        <v>30</v>
      </c>
      <c r="N1178" t="s">
        <v>31</v>
      </c>
    </row>
    <row r="1179" spans="1:14" x14ac:dyDescent="0.3">
      <c r="A1179">
        <v>1178</v>
      </c>
      <c r="B1179">
        <v>518</v>
      </c>
      <c r="C1179">
        <f>1/COUNTIF(pizza_sales[[#All],[order_id]],pizza_sales[[#This Row],[order_id]])</f>
        <v>0.33333333333333331</v>
      </c>
      <c r="D1179" t="s">
        <v>84</v>
      </c>
      <c r="E1179">
        <v>1</v>
      </c>
      <c r="F1179" s="1">
        <v>42013</v>
      </c>
      <c r="G1179" s="1" t="str">
        <f>TEXT(pizza_sales[[#This Row],[order_date]],"dddd")</f>
        <v>Friday</v>
      </c>
      <c r="H1179" s="2">
        <v>36526.54959490741</v>
      </c>
      <c r="I1179">
        <v>12</v>
      </c>
      <c r="J1179">
        <v>12</v>
      </c>
      <c r="K1179" t="s">
        <v>41</v>
      </c>
      <c r="L1179" t="s">
        <v>14</v>
      </c>
      <c r="M1179" t="s">
        <v>85</v>
      </c>
      <c r="N1179" t="s">
        <v>86</v>
      </c>
    </row>
    <row r="1180" spans="1:14" x14ac:dyDescent="0.3">
      <c r="A1180">
        <v>1179</v>
      </c>
      <c r="B1180">
        <v>518</v>
      </c>
      <c r="C1180">
        <f>1/COUNTIF(pizza_sales[[#All],[order_id]],pizza_sales[[#This Row],[order_id]])</f>
        <v>0.33333333333333331</v>
      </c>
      <c r="D1180" t="s">
        <v>37</v>
      </c>
      <c r="E1180">
        <v>1</v>
      </c>
      <c r="F1180" s="1">
        <v>42013</v>
      </c>
      <c r="G1180" s="1" t="str">
        <f>TEXT(pizza_sales[[#This Row],[order_date]],"dddd")</f>
        <v>Friday</v>
      </c>
      <c r="H1180" s="2">
        <v>36526.54959490741</v>
      </c>
      <c r="I1180">
        <v>20.75</v>
      </c>
      <c r="J1180">
        <v>20.75</v>
      </c>
      <c r="K1180" t="s">
        <v>21</v>
      </c>
      <c r="L1180" t="s">
        <v>26</v>
      </c>
      <c r="M1180" t="s">
        <v>38</v>
      </c>
      <c r="N1180" t="s">
        <v>39</v>
      </c>
    </row>
    <row r="1181" spans="1:14" x14ac:dyDescent="0.3">
      <c r="A1181">
        <v>1180</v>
      </c>
      <c r="B1181">
        <v>518</v>
      </c>
      <c r="C1181">
        <f>1/COUNTIF(pizza_sales[[#All],[order_id]],pizza_sales[[#This Row],[order_id]])</f>
        <v>0.33333333333333331</v>
      </c>
      <c r="D1181" t="s">
        <v>149</v>
      </c>
      <c r="E1181">
        <v>1</v>
      </c>
      <c r="F1181" s="1">
        <v>42013</v>
      </c>
      <c r="G1181" s="1" t="str">
        <f>TEXT(pizza_sales[[#This Row],[order_date]],"dddd")</f>
        <v>Friday</v>
      </c>
      <c r="H1181" s="2">
        <v>36526.54959490741</v>
      </c>
      <c r="I1181">
        <v>12.25</v>
      </c>
      <c r="J1181">
        <v>12.25</v>
      </c>
      <c r="K1181" t="s">
        <v>41</v>
      </c>
      <c r="L1181" t="s">
        <v>26</v>
      </c>
      <c r="M1181" t="s">
        <v>114</v>
      </c>
      <c r="N1181" t="s">
        <v>115</v>
      </c>
    </row>
    <row r="1182" spans="1:14" x14ac:dyDescent="0.3">
      <c r="A1182">
        <v>1181</v>
      </c>
      <c r="B1182">
        <v>519</v>
      </c>
      <c r="C1182">
        <f>1/COUNTIF(pizza_sales[[#All],[order_id]],pizza_sales[[#This Row],[order_id]])</f>
        <v>1</v>
      </c>
      <c r="D1182" t="s">
        <v>120</v>
      </c>
      <c r="E1182">
        <v>1</v>
      </c>
      <c r="F1182" s="1">
        <v>42013</v>
      </c>
      <c r="G1182" s="1" t="str">
        <f>TEXT(pizza_sales[[#This Row],[order_date]],"dddd")</f>
        <v>Friday</v>
      </c>
      <c r="H1182" s="2">
        <v>36526.552314814813</v>
      </c>
      <c r="I1182">
        <v>12.5</v>
      </c>
      <c r="J1182">
        <v>12.5</v>
      </c>
      <c r="K1182" t="s">
        <v>41</v>
      </c>
      <c r="L1182" t="s">
        <v>26</v>
      </c>
      <c r="M1182" t="s">
        <v>38</v>
      </c>
      <c r="N1182" t="s">
        <v>39</v>
      </c>
    </row>
    <row r="1183" spans="1:14" x14ac:dyDescent="0.3">
      <c r="A1183">
        <v>1182</v>
      </c>
      <c r="B1183">
        <v>520</v>
      </c>
      <c r="C1183">
        <f>1/COUNTIF(pizza_sales[[#All],[order_id]],pizza_sales[[#This Row],[order_id]])</f>
        <v>1</v>
      </c>
      <c r="D1183" t="s">
        <v>62</v>
      </c>
      <c r="E1183">
        <v>1</v>
      </c>
      <c r="F1183" s="1">
        <v>42013</v>
      </c>
      <c r="G1183" s="1" t="str">
        <f>TEXT(pizza_sales[[#This Row],[order_date]],"dddd")</f>
        <v>Friday</v>
      </c>
      <c r="H1183" s="2">
        <v>36526.557326388887</v>
      </c>
      <c r="I1183">
        <v>20.75</v>
      </c>
      <c r="J1183">
        <v>20.75</v>
      </c>
      <c r="K1183" t="s">
        <v>21</v>
      </c>
      <c r="L1183" t="s">
        <v>22</v>
      </c>
      <c r="M1183" t="s">
        <v>63</v>
      </c>
      <c r="N1183" t="s">
        <v>64</v>
      </c>
    </row>
    <row r="1184" spans="1:14" x14ac:dyDescent="0.3">
      <c r="A1184">
        <v>1183</v>
      </c>
      <c r="B1184">
        <v>521</v>
      </c>
      <c r="C1184">
        <f>1/COUNTIF(pizza_sales[[#All],[order_id]],pizza_sales[[#This Row],[order_id]])</f>
        <v>1</v>
      </c>
      <c r="D1184" t="s">
        <v>151</v>
      </c>
      <c r="E1184">
        <v>1</v>
      </c>
      <c r="F1184" s="1">
        <v>42013</v>
      </c>
      <c r="G1184" s="1" t="str">
        <f>TEXT(pizza_sales[[#This Row],[order_date]],"dddd")</f>
        <v>Friday</v>
      </c>
      <c r="H1184" s="2">
        <v>36526.571608796294</v>
      </c>
      <c r="I1184">
        <v>12.75</v>
      </c>
      <c r="J1184">
        <v>12.75</v>
      </c>
      <c r="K1184" t="s">
        <v>41</v>
      </c>
      <c r="L1184" t="s">
        <v>33</v>
      </c>
      <c r="M1184" t="s">
        <v>34</v>
      </c>
      <c r="N1184" t="s">
        <v>35</v>
      </c>
    </row>
    <row r="1185" spans="1:14" x14ac:dyDescent="0.3">
      <c r="A1185">
        <v>1184</v>
      </c>
      <c r="B1185">
        <v>522</v>
      </c>
      <c r="C1185">
        <f>1/COUNTIF(pizza_sales[[#All],[order_id]],pizza_sales[[#This Row],[order_id]])</f>
        <v>9.0909090909090912E-2</v>
      </c>
      <c r="D1185" t="s">
        <v>40</v>
      </c>
      <c r="E1185">
        <v>1</v>
      </c>
      <c r="F1185" s="1">
        <v>42013</v>
      </c>
      <c r="G1185" s="1" t="str">
        <f>TEXT(pizza_sales[[#This Row],[order_date]],"dddd")</f>
        <v>Friday</v>
      </c>
      <c r="H1185" s="2">
        <v>36526.589965277781</v>
      </c>
      <c r="I1185">
        <v>12.75</v>
      </c>
      <c r="J1185">
        <v>12.75</v>
      </c>
      <c r="K1185" t="s">
        <v>41</v>
      </c>
      <c r="L1185" t="s">
        <v>33</v>
      </c>
      <c r="M1185" t="s">
        <v>42</v>
      </c>
      <c r="N1185" t="s">
        <v>43</v>
      </c>
    </row>
    <row r="1186" spans="1:14" x14ac:dyDescent="0.3">
      <c r="A1186">
        <v>1185</v>
      </c>
      <c r="B1186">
        <v>522</v>
      </c>
      <c r="C1186">
        <f>1/COUNTIF(pizza_sales[[#All],[order_id]],pizza_sales[[#This Row],[order_id]])</f>
        <v>9.0909090909090912E-2</v>
      </c>
      <c r="D1186" t="s">
        <v>84</v>
      </c>
      <c r="E1186">
        <v>1</v>
      </c>
      <c r="F1186" s="1">
        <v>42013</v>
      </c>
      <c r="G1186" s="1" t="str">
        <f>TEXT(pizza_sales[[#This Row],[order_date]],"dddd")</f>
        <v>Friday</v>
      </c>
      <c r="H1186" s="2">
        <v>36526.589965277781</v>
      </c>
      <c r="I1186">
        <v>12</v>
      </c>
      <c r="J1186">
        <v>12</v>
      </c>
      <c r="K1186" t="s">
        <v>41</v>
      </c>
      <c r="L1186" t="s">
        <v>14</v>
      </c>
      <c r="M1186" t="s">
        <v>85</v>
      </c>
      <c r="N1186" t="s">
        <v>86</v>
      </c>
    </row>
    <row r="1187" spans="1:14" x14ac:dyDescent="0.3">
      <c r="A1187">
        <v>1186</v>
      </c>
      <c r="B1187">
        <v>522</v>
      </c>
      <c r="C1187">
        <f>1/COUNTIF(pizza_sales[[#All],[order_id]],pizza_sales[[#This Row],[order_id]])</f>
        <v>9.0909090909090912E-2</v>
      </c>
      <c r="D1187" t="s">
        <v>50</v>
      </c>
      <c r="E1187">
        <v>1</v>
      </c>
      <c r="F1187" s="1">
        <v>42013</v>
      </c>
      <c r="G1187" s="1" t="str">
        <f>TEXT(pizza_sales[[#This Row],[order_date]],"dddd")</f>
        <v>Friday</v>
      </c>
      <c r="H1187" s="2">
        <v>36526.589965277781</v>
      </c>
      <c r="I1187">
        <v>12</v>
      </c>
      <c r="J1187">
        <v>12</v>
      </c>
      <c r="K1187" t="s">
        <v>41</v>
      </c>
      <c r="L1187" t="s">
        <v>14</v>
      </c>
      <c r="M1187" t="s">
        <v>18</v>
      </c>
      <c r="N1187" t="s">
        <v>19</v>
      </c>
    </row>
    <row r="1188" spans="1:14" x14ac:dyDescent="0.3">
      <c r="A1188">
        <v>1187</v>
      </c>
      <c r="B1188">
        <v>522</v>
      </c>
      <c r="C1188">
        <f>1/COUNTIF(pizza_sales[[#All],[order_id]],pizza_sales[[#This Row],[order_id]])</f>
        <v>9.0909090909090912E-2</v>
      </c>
      <c r="D1188" t="s">
        <v>20</v>
      </c>
      <c r="E1188">
        <v>1</v>
      </c>
      <c r="F1188" s="1">
        <v>42013</v>
      </c>
      <c r="G1188" s="1" t="str">
        <f>TEXT(pizza_sales[[#This Row],[order_date]],"dddd")</f>
        <v>Friday</v>
      </c>
      <c r="H1188" s="2">
        <v>36526.589965277781</v>
      </c>
      <c r="I1188">
        <v>18.5</v>
      </c>
      <c r="J1188">
        <v>18.5</v>
      </c>
      <c r="K1188" t="s">
        <v>21</v>
      </c>
      <c r="L1188" t="s">
        <v>22</v>
      </c>
      <c r="M1188" t="s">
        <v>23</v>
      </c>
      <c r="N1188" t="s">
        <v>24</v>
      </c>
    </row>
    <row r="1189" spans="1:14" x14ac:dyDescent="0.3">
      <c r="A1189">
        <v>1188</v>
      </c>
      <c r="B1189">
        <v>522</v>
      </c>
      <c r="C1189">
        <f>1/COUNTIF(pizza_sales[[#All],[order_id]],pizza_sales[[#This Row],[order_id]])</f>
        <v>9.0909090909090912E-2</v>
      </c>
      <c r="D1189" t="s">
        <v>90</v>
      </c>
      <c r="E1189">
        <v>2</v>
      </c>
      <c r="F1189" s="1">
        <v>42013</v>
      </c>
      <c r="G1189" s="1" t="str">
        <f>TEXT(pizza_sales[[#This Row],[order_date]],"dddd")</f>
        <v>Friday</v>
      </c>
      <c r="H1189" s="2">
        <v>36526.589965277781</v>
      </c>
      <c r="I1189">
        <v>17.95</v>
      </c>
      <c r="J1189">
        <v>35.9</v>
      </c>
      <c r="K1189" t="s">
        <v>21</v>
      </c>
      <c r="L1189" t="s">
        <v>22</v>
      </c>
      <c r="M1189" t="s">
        <v>91</v>
      </c>
      <c r="N1189" t="s">
        <v>92</v>
      </c>
    </row>
    <row r="1190" spans="1:14" x14ac:dyDescent="0.3">
      <c r="A1190">
        <v>1189</v>
      </c>
      <c r="B1190">
        <v>522</v>
      </c>
      <c r="C1190">
        <f>1/COUNTIF(pizza_sales[[#All],[order_id]],pizza_sales[[#This Row],[order_id]])</f>
        <v>9.0909090909090912E-2</v>
      </c>
      <c r="D1190" t="s">
        <v>51</v>
      </c>
      <c r="E1190">
        <v>1</v>
      </c>
      <c r="F1190" s="1">
        <v>42013</v>
      </c>
      <c r="G1190" s="1" t="str">
        <f>TEXT(pizza_sales[[#This Row],[order_date]],"dddd")</f>
        <v>Friday</v>
      </c>
      <c r="H1190" s="2">
        <v>36526.589965277781</v>
      </c>
      <c r="I1190">
        <v>12</v>
      </c>
      <c r="J1190">
        <v>12</v>
      </c>
      <c r="K1190" t="s">
        <v>41</v>
      </c>
      <c r="L1190" t="s">
        <v>22</v>
      </c>
      <c r="M1190" t="s">
        <v>52</v>
      </c>
      <c r="N1190" t="s">
        <v>53</v>
      </c>
    </row>
    <row r="1191" spans="1:14" x14ac:dyDescent="0.3">
      <c r="A1191">
        <v>1190</v>
      </c>
      <c r="B1191">
        <v>522</v>
      </c>
      <c r="C1191">
        <f>1/COUNTIF(pizza_sales[[#All],[order_id]],pizza_sales[[#This Row],[order_id]])</f>
        <v>9.0909090909090912E-2</v>
      </c>
      <c r="D1191" t="s">
        <v>116</v>
      </c>
      <c r="E1191">
        <v>2</v>
      </c>
      <c r="F1191" s="1">
        <v>42013</v>
      </c>
      <c r="G1191" s="1" t="str">
        <f>TEXT(pizza_sales[[#This Row],[order_date]],"dddd")</f>
        <v>Friday</v>
      </c>
      <c r="H1191" s="2">
        <v>36526.589965277781</v>
      </c>
      <c r="I1191">
        <v>16</v>
      </c>
      <c r="J1191">
        <v>32</v>
      </c>
      <c r="K1191" t="s">
        <v>13</v>
      </c>
      <c r="L1191" t="s">
        <v>14</v>
      </c>
      <c r="M1191" t="s">
        <v>55</v>
      </c>
      <c r="N1191" t="s">
        <v>56</v>
      </c>
    </row>
    <row r="1192" spans="1:14" x14ac:dyDescent="0.3">
      <c r="A1192">
        <v>1191</v>
      </c>
      <c r="B1192">
        <v>522</v>
      </c>
      <c r="C1192">
        <f>1/COUNTIF(pizza_sales[[#All],[order_id]],pizza_sales[[#This Row],[order_id]])</f>
        <v>9.0909090909090912E-2</v>
      </c>
      <c r="D1192" t="s">
        <v>153</v>
      </c>
      <c r="E1192">
        <v>1</v>
      </c>
      <c r="F1192" s="1">
        <v>42013</v>
      </c>
      <c r="G1192" s="1" t="str">
        <f>TEXT(pizza_sales[[#This Row],[order_date]],"dddd")</f>
        <v>Friday</v>
      </c>
      <c r="H1192" s="2">
        <v>36526.589965277781</v>
      </c>
      <c r="I1192">
        <v>21</v>
      </c>
      <c r="J1192">
        <v>21</v>
      </c>
      <c r="K1192" t="s">
        <v>21</v>
      </c>
      <c r="L1192" t="s">
        <v>22</v>
      </c>
      <c r="M1192" t="s">
        <v>101</v>
      </c>
      <c r="N1192" t="s">
        <v>102</v>
      </c>
    </row>
    <row r="1193" spans="1:14" x14ac:dyDescent="0.3">
      <c r="A1193">
        <v>1192</v>
      </c>
      <c r="B1193">
        <v>522</v>
      </c>
      <c r="C1193">
        <f>1/COUNTIF(pizza_sales[[#All],[order_id]],pizza_sales[[#This Row],[order_id]])</f>
        <v>9.0909090909090912E-2</v>
      </c>
      <c r="D1193" t="s">
        <v>113</v>
      </c>
      <c r="E1193">
        <v>1</v>
      </c>
      <c r="F1193" s="1">
        <v>42013</v>
      </c>
      <c r="G1193" s="1" t="str">
        <f>TEXT(pizza_sales[[#This Row],[order_date]],"dddd")</f>
        <v>Friday</v>
      </c>
      <c r="H1193" s="2">
        <v>36526.589965277781</v>
      </c>
      <c r="I1193">
        <v>20.25</v>
      </c>
      <c r="J1193">
        <v>20.25</v>
      </c>
      <c r="K1193" t="s">
        <v>21</v>
      </c>
      <c r="L1193" t="s">
        <v>26</v>
      </c>
      <c r="M1193" t="s">
        <v>114</v>
      </c>
      <c r="N1193" t="s">
        <v>115</v>
      </c>
    </row>
    <row r="1194" spans="1:14" x14ac:dyDescent="0.3">
      <c r="A1194">
        <v>1193</v>
      </c>
      <c r="B1194">
        <v>522</v>
      </c>
      <c r="C1194">
        <f>1/COUNTIF(pizza_sales[[#All],[order_id]],pizza_sales[[#This Row],[order_id]])</f>
        <v>9.0909090909090912E-2</v>
      </c>
      <c r="D1194" t="s">
        <v>170</v>
      </c>
      <c r="E1194">
        <v>1</v>
      </c>
      <c r="F1194" s="1">
        <v>42013</v>
      </c>
      <c r="G1194" s="1" t="str">
        <f>TEXT(pizza_sales[[#This Row],[order_date]],"dddd")</f>
        <v>Friday</v>
      </c>
      <c r="H1194" s="2">
        <v>36526.589965277781</v>
      </c>
      <c r="I1194">
        <v>20.5</v>
      </c>
      <c r="J1194">
        <v>20.5</v>
      </c>
      <c r="K1194" t="s">
        <v>21</v>
      </c>
      <c r="L1194" t="s">
        <v>14</v>
      </c>
      <c r="M1194" t="s">
        <v>45</v>
      </c>
      <c r="N1194" t="s">
        <v>46</v>
      </c>
    </row>
    <row r="1195" spans="1:14" x14ac:dyDescent="0.3">
      <c r="A1195">
        <v>1194</v>
      </c>
      <c r="B1195">
        <v>522</v>
      </c>
      <c r="C1195">
        <f>1/COUNTIF(pizza_sales[[#All],[order_id]],pizza_sales[[#This Row],[order_id]])</f>
        <v>9.0909090909090912E-2</v>
      </c>
      <c r="D1195" t="s">
        <v>155</v>
      </c>
      <c r="E1195">
        <v>1</v>
      </c>
      <c r="F1195" s="1">
        <v>42013</v>
      </c>
      <c r="G1195" s="1" t="str">
        <f>TEXT(pizza_sales[[#This Row],[order_date]],"dddd")</f>
        <v>Friday</v>
      </c>
      <c r="H1195" s="2">
        <v>36526.589965277781</v>
      </c>
      <c r="I1195">
        <v>16</v>
      </c>
      <c r="J1195">
        <v>16</v>
      </c>
      <c r="K1195" t="s">
        <v>13</v>
      </c>
      <c r="L1195" t="s">
        <v>14</v>
      </c>
      <c r="M1195" t="s">
        <v>45</v>
      </c>
      <c r="N1195" t="s">
        <v>46</v>
      </c>
    </row>
    <row r="1196" spans="1:14" x14ac:dyDescent="0.3">
      <c r="A1196">
        <v>1195</v>
      </c>
      <c r="B1196">
        <v>523</v>
      </c>
      <c r="C1196">
        <f>1/COUNTIF(pizza_sales[[#All],[order_id]],pizza_sales[[#This Row],[order_id]])</f>
        <v>1</v>
      </c>
      <c r="D1196" t="s">
        <v>145</v>
      </c>
      <c r="E1196">
        <v>1</v>
      </c>
      <c r="F1196" s="1">
        <v>42013</v>
      </c>
      <c r="G1196" s="1" t="str">
        <f>TEXT(pizza_sales[[#This Row],[order_date]],"dddd")</f>
        <v>Friday</v>
      </c>
      <c r="H1196" s="2">
        <v>36526.612662037034</v>
      </c>
      <c r="I1196">
        <v>16.5</v>
      </c>
      <c r="J1196">
        <v>16.5</v>
      </c>
      <c r="K1196" t="s">
        <v>13</v>
      </c>
      <c r="L1196" t="s">
        <v>26</v>
      </c>
      <c r="M1196" t="s">
        <v>38</v>
      </c>
      <c r="N1196" t="s">
        <v>39</v>
      </c>
    </row>
    <row r="1197" spans="1:14" x14ac:dyDescent="0.3">
      <c r="A1197">
        <v>1196</v>
      </c>
      <c r="B1197">
        <v>524</v>
      </c>
      <c r="C1197">
        <f>1/COUNTIF(pizza_sales[[#All],[order_id]],pizza_sales[[#This Row],[order_id]])</f>
        <v>0.5</v>
      </c>
      <c r="D1197" t="s">
        <v>149</v>
      </c>
      <c r="E1197">
        <v>1</v>
      </c>
      <c r="F1197" s="1">
        <v>42013</v>
      </c>
      <c r="G1197" s="1" t="str">
        <f>TEXT(pizza_sales[[#This Row],[order_date]],"dddd")</f>
        <v>Friday</v>
      </c>
      <c r="H1197" s="2">
        <v>36526.619155092594</v>
      </c>
      <c r="I1197">
        <v>12.25</v>
      </c>
      <c r="J1197">
        <v>12.25</v>
      </c>
      <c r="K1197" t="s">
        <v>41</v>
      </c>
      <c r="L1197" t="s">
        <v>26</v>
      </c>
      <c r="M1197" t="s">
        <v>114</v>
      </c>
      <c r="N1197" t="s">
        <v>115</v>
      </c>
    </row>
    <row r="1198" spans="1:14" x14ac:dyDescent="0.3">
      <c r="A1198">
        <v>1197</v>
      </c>
      <c r="B1198">
        <v>524</v>
      </c>
      <c r="C1198">
        <f>1/COUNTIF(pizza_sales[[#All],[order_id]],pizza_sales[[#This Row],[order_id]])</f>
        <v>0.5</v>
      </c>
      <c r="D1198" t="s">
        <v>137</v>
      </c>
      <c r="E1198">
        <v>1</v>
      </c>
      <c r="F1198" s="1">
        <v>42013</v>
      </c>
      <c r="G1198" s="1" t="str">
        <f>TEXT(pizza_sales[[#This Row],[order_date]],"dddd")</f>
        <v>Friday</v>
      </c>
      <c r="H1198" s="2">
        <v>36526.619155092594</v>
      </c>
      <c r="I1198">
        <v>16.75</v>
      </c>
      <c r="J1198">
        <v>16.75</v>
      </c>
      <c r="K1198" t="s">
        <v>13</v>
      </c>
      <c r="L1198" t="s">
        <v>33</v>
      </c>
      <c r="M1198" t="s">
        <v>34</v>
      </c>
      <c r="N1198" t="s">
        <v>35</v>
      </c>
    </row>
    <row r="1199" spans="1:14" x14ac:dyDescent="0.3">
      <c r="A1199">
        <v>1198</v>
      </c>
      <c r="B1199">
        <v>525</v>
      </c>
      <c r="C1199">
        <f>1/COUNTIF(pizza_sales[[#All],[order_id]],pizza_sales[[#This Row],[order_id]])</f>
        <v>1</v>
      </c>
      <c r="D1199" t="s">
        <v>77</v>
      </c>
      <c r="E1199">
        <v>1</v>
      </c>
      <c r="F1199" s="1">
        <v>42013</v>
      </c>
      <c r="G1199" s="1" t="str">
        <f>TEXT(pizza_sales[[#This Row],[order_date]],"dddd")</f>
        <v>Friday</v>
      </c>
      <c r="H1199" s="2">
        <v>36526.63108796296</v>
      </c>
      <c r="I1199">
        <v>15.25</v>
      </c>
      <c r="J1199">
        <v>15.25</v>
      </c>
      <c r="K1199" t="s">
        <v>21</v>
      </c>
      <c r="L1199" t="s">
        <v>14</v>
      </c>
      <c r="M1199" t="s">
        <v>78</v>
      </c>
      <c r="N1199" t="s">
        <v>79</v>
      </c>
    </row>
    <row r="1200" spans="1:14" x14ac:dyDescent="0.3">
      <c r="A1200">
        <v>1199</v>
      </c>
      <c r="B1200">
        <v>526</v>
      </c>
      <c r="C1200">
        <f>1/COUNTIF(pizza_sales[[#All],[order_id]],pizza_sales[[#This Row],[order_id]])</f>
        <v>0.5</v>
      </c>
      <c r="D1200" t="s">
        <v>73</v>
      </c>
      <c r="E1200">
        <v>1</v>
      </c>
      <c r="F1200" s="1">
        <v>42013</v>
      </c>
      <c r="G1200" s="1" t="str">
        <f>TEXT(pizza_sales[[#This Row],[order_date]],"dddd")</f>
        <v>Friday</v>
      </c>
      <c r="H1200" s="2">
        <v>36526.632094907407</v>
      </c>
      <c r="I1200">
        <v>20.75</v>
      </c>
      <c r="J1200">
        <v>20.75</v>
      </c>
      <c r="K1200" t="s">
        <v>21</v>
      </c>
      <c r="L1200" t="s">
        <v>33</v>
      </c>
      <c r="M1200" t="s">
        <v>74</v>
      </c>
      <c r="N1200" t="s">
        <v>75</v>
      </c>
    </row>
    <row r="1201" spans="1:14" x14ac:dyDescent="0.3">
      <c r="A1201">
        <v>1200</v>
      </c>
      <c r="B1201">
        <v>526</v>
      </c>
      <c r="C1201">
        <f>1/COUNTIF(pizza_sales[[#All],[order_id]],pizza_sales[[#This Row],[order_id]])</f>
        <v>0.5</v>
      </c>
      <c r="D1201" t="s">
        <v>20</v>
      </c>
      <c r="E1201">
        <v>1</v>
      </c>
      <c r="F1201" s="1">
        <v>42013</v>
      </c>
      <c r="G1201" s="1" t="str">
        <f>TEXT(pizza_sales[[#This Row],[order_date]],"dddd")</f>
        <v>Friday</v>
      </c>
      <c r="H1201" s="2">
        <v>36526.632094907407</v>
      </c>
      <c r="I1201">
        <v>18.5</v>
      </c>
      <c r="J1201">
        <v>18.5</v>
      </c>
      <c r="K1201" t="s">
        <v>21</v>
      </c>
      <c r="L1201" t="s">
        <v>22</v>
      </c>
      <c r="M1201" t="s">
        <v>23</v>
      </c>
      <c r="N1201" t="s">
        <v>24</v>
      </c>
    </row>
    <row r="1202" spans="1:14" x14ac:dyDescent="0.3">
      <c r="A1202">
        <v>1201</v>
      </c>
      <c r="B1202">
        <v>527</v>
      </c>
      <c r="C1202">
        <f>1/COUNTIF(pizza_sales[[#All],[order_id]],pizza_sales[[#This Row],[order_id]])</f>
        <v>0.5</v>
      </c>
      <c r="D1202" t="s">
        <v>90</v>
      </c>
      <c r="E1202">
        <v>1</v>
      </c>
      <c r="F1202" s="1">
        <v>42013</v>
      </c>
      <c r="G1202" s="1" t="str">
        <f>TEXT(pizza_sales[[#This Row],[order_date]],"dddd")</f>
        <v>Friday</v>
      </c>
      <c r="H1202" s="2">
        <v>36526.641400462962</v>
      </c>
      <c r="I1202">
        <v>17.95</v>
      </c>
      <c r="J1202">
        <v>17.95</v>
      </c>
      <c r="K1202" t="s">
        <v>21</v>
      </c>
      <c r="L1202" t="s">
        <v>22</v>
      </c>
      <c r="M1202" t="s">
        <v>91</v>
      </c>
      <c r="N1202" t="s">
        <v>92</v>
      </c>
    </row>
    <row r="1203" spans="1:14" x14ac:dyDescent="0.3">
      <c r="A1203">
        <v>1202</v>
      </c>
      <c r="B1203">
        <v>527</v>
      </c>
      <c r="C1203">
        <f>1/COUNTIF(pizza_sales[[#All],[order_id]],pizza_sales[[#This Row],[order_id]])</f>
        <v>0.5</v>
      </c>
      <c r="D1203" t="s">
        <v>69</v>
      </c>
      <c r="E1203">
        <v>1</v>
      </c>
      <c r="F1203" s="1">
        <v>42013</v>
      </c>
      <c r="G1203" s="1" t="str">
        <f>TEXT(pizza_sales[[#This Row],[order_date]],"dddd")</f>
        <v>Friday</v>
      </c>
      <c r="H1203" s="2">
        <v>36526.641400462962</v>
      </c>
      <c r="I1203">
        <v>20.75</v>
      </c>
      <c r="J1203">
        <v>20.75</v>
      </c>
      <c r="K1203" t="s">
        <v>21</v>
      </c>
      <c r="L1203" t="s">
        <v>33</v>
      </c>
      <c r="M1203" t="s">
        <v>70</v>
      </c>
      <c r="N1203" t="s">
        <v>71</v>
      </c>
    </row>
    <row r="1204" spans="1:14" x14ac:dyDescent="0.3">
      <c r="A1204">
        <v>1203</v>
      </c>
      <c r="B1204">
        <v>528</v>
      </c>
      <c r="C1204">
        <f>1/COUNTIF(pizza_sales[[#All],[order_id]],pizza_sales[[#This Row],[order_id]])</f>
        <v>1</v>
      </c>
      <c r="D1204" t="s">
        <v>116</v>
      </c>
      <c r="E1204">
        <v>1</v>
      </c>
      <c r="F1204" s="1">
        <v>42013</v>
      </c>
      <c r="G1204" s="1" t="str">
        <f>TEXT(pizza_sales[[#This Row],[order_date]],"dddd")</f>
        <v>Friday</v>
      </c>
      <c r="H1204" s="2">
        <v>36526.643993055557</v>
      </c>
      <c r="I1204">
        <v>16</v>
      </c>
      <c r="J1204">
        <v>16</v>
      </c>
      <c r="K1204" t="s">
        <v>13</v>
      </c>
      <c r="L1204" t="s">
        <v>14</v>
      </c>
      <c r="M1204" t="s">
        <v>55</v>
      </c>
      <c r="N1204" t="s">
        <v>56</v>
      </c>
    </row>
    <row r="1205" spans="1:14" x14ac:dyDescent="0.3">
      <c r="A1205">
        <v>1204</v>
      </c>
      <c r="B1205">
        <v>529</v>
      </c>
      <c r="C1205">
        <f>1/COUNTIF(pizza_sales[[#All],[order_id]],pizza_sales[[#This Row],[order_id]])</f>
        <v>0.33333333333333331</v>
      </c>
      <c r="D1205" t="s">
        <v>96</v>
      </c>
      <c r="E1205">
        <v>1</v>
      </c>
      <c r="F1205" s="1">
        <v>42013</v>
      </c>
      <c r="G1205" s="1" t="str">
        <f>TEXT(pizza_sales[[#This Row],[order_date]],"dddd")</f>
        <v>Friday</v>
      </c>
      <c r="H1205" s="2">
        <v>36526.646539351852</v>
      </c>
      <c r="I1205">
        <v>16.25</v>
      </c>
      <c r="J1205">
        <v>16.25</v>
      </c>
      <c r="K1205" t="s">
        <v>13</v>
      </c>
      <c r="L1205" t="s">
        <v>26</v>
      </c>
      <c r="M1205" t="s">
        <v>97</v>
      </c>
      <c r="N1205" t="s">
        <v>98</v>
      </c>
    </row>
    <row r="1206" spans="1:14" x14ac:dyDescent="0.3">
      <c r="A1206">
        <v>1205</v>
      </c>
      <c r="B1206">
        <v>529</v>
      </c>
      <c r="C1206">
        <f>1/COUNTIF(pizza_sales[[#All],[order_id]],pizza_sales[[#This Row],[order_id]])</f>
        <v>0.33333333333333331</v>
      </c>
      <c r="D1206" t="s">
        <v>76</v>
      </c>
      <c r="E1206">
        <v>2</v>
      </c>
      <c r="F1206" s="1">
        <v>42013</v>
      </c>
      <c r="G1206" s="1" t="str">
        <f>TEXT(pizza_sales[[#This Row],[order_date]],"dddd")</f>
        <v>Friday</v>
      </c>
      <c r="H1206" s="2">
        <v>36526.646539351852</v>
      </c>
      <c r="I1206">
        <v>16.75</v>
      </c>
      <c r="J1206">
        <v>33.5</v>
      </c>
      <c r="K1206" t="s">
        <v>13</v>
      </c>
      <c r="L1206" t="s">
        <v>33</v>
      </c>
      <c r="M1206" t="s">
        <v>74</v>
      </c>
      <c r="N1206" t="s">
        <v>75</v>
      </c>
    </row>
    <row r="1207" spans="1:14" x14ac:dyDescent="0.3">
      <c r="A1207">
        <v>1206</v>
      </c>
      <c r="B1207">
        <v>529</v>
      </c>
      <c r="C1207">
        <f>1/COUNTIF(pizza_sales[[#All],[order_id]],pizza_sales[[#This Row],[order_id]])</f>
        <v>0.33333333333333331</v>
      </c>
      <c r="D1207" t="s">
        <v>132</v>
      </c>
      <c r="E1207">
        <v>1</v>
      </c>
      <c r="F1207" s="1">
        <v>42013</v>
      </c>
      <c r="G1207" s="1" t="str">
        <f>TEXT(pizza_sales[[#This Row],[order_date]],"dddd")</f>
        <v>Friday</v>
      </c>
      <c r="H1207" s="2">
        <v>36526.646539351852</v>
      </c>
      <c r="I1207">
        <v>10.5</v>
      </c>
      <c r="J1207">
        <v>10.5</v>
      </c>
      <c r="K1207" t="s">
        <v>41</v>
      </c>
      <c r="L1207" t="s">
        <v>14</v>
      </c>
      <c r="M1207" t="s">
        <v>15</v>
      </c>
      <c r="N1207" t="s">
        <v>16</v>
      </c>
    </row>
    <row r="1208" spans="1:14" x14ac:dyDescent="0.3">
      <c r="A1208">
        <v>1207</v>
      </c>
      <c r="B1208">
        <v>530</v>
      </c>
      <c r="C1208">
        <f>1/COUNTIF(pizza_sales[[#All],[order_id]],pizza_sales[[#This Row],[order_id]])</f>
        <v>0.5</v>
      </c>
      <c r="D1208" t="s">
        <v>138</v>
      </c>
      <c r="E1208">
        <v>1</v>
      </c>
      <c r="F1208" s="1">
        <v>42013</v>
      </c>
      <c r="G1208" s="1" t="str">
        <f>TEXT(pizza_sales[[#This Row],[order_date]],"dddd")</f>
        <v>Friday</v>
      </c>
      <c r="H1208" s="2">
        <v>36526.654872685183</v>
      </c>
      <c r="I1208">
        <v>20.5</v>
      </c>
      <c r="J1208">
        <v>20.5</v>
      </c>
      <c r="K1208" t="s">
        <v>21</v>
      </c>
      <c r="L1208" t="s">
        <v>14</v>
      </c>
      <c r="M1208" t="s">
        <v>18</v>
      </c>
      <c r="N1208" t="s">
        <v>19</v>
      </c>
    </row>
    <row r="1209" spans="1:14" x14ac:dyDescent="0.3">
      <c r="A1209">
        <v>1208</v>
      </c>
      <c r="B1209">
        <v>530</v>
      </c>
      <c r="C1209">
        <f>1/COUNTIF(pizza_sales[[#All],[order_id]],pizza_sales[[#This Row],[order_id]])</f>
        <v>0.5</v>
      </c>
      <c r="D1209" t="s">
        <v>36</v>
      </c>
      <c r="E1209">
        <v>1</v>
      </c>
      <c r="F1209" s="1">
        <v>42013</v>
      </c>
      <c r="G1209" s="1" t="str">
        <f>TEXT(pizza_sales[[#This Row],[order_date]],"dddd")</f>
        <v>Friday</v>
      </c>
      <c r="H1209" s="2">
        <v>36526.654872685183</v>
      </c>
      <c r="I1209">
        <v>16.5</v>
      </c>
      <c r="J1209">
        <v>16.5</v>
      </c>
      <c r="K1209" t="s">
        <v>13</v>
      </c>
      <c r="L1209" t="s">
        <v>26</v>
      </c>
      <c r="M1209" t="s">
        <v>27</v>
      </c>
      <c r="N1209" t="s">
        <v>28</v>
      </c>
    </row>
    <row r="1210" spans="1:14" x14ac:dyDescent="0.3">
      <c r="A1210">
        <v>1209</v>
      </c>
      <c r="B1210">
        <v>531</v>
      </c>
      <c r="C1210">
        <f>1/COUNTIF(pizza_sales[[#All],[order_id]],pizza_sales[[#This Row],[order_id]])</f>
        <v>1</v>
      </c>
      <c r="D1210" t="s">
        <v>133</v>
      </c>
      <c r="E1210">
        <v>2</v>
      </c>
      <c r="F1210" s="1">
        <v>42013</v>
      </c>
      <c r="G1210" s="1" t="str">
        <f>TEXT(pizza_sales[[#This Row],[order_date]],"dddd")</f>
        <v>Friday</v>
      </c>
      <c r="H1210" s="2">
        <v>36526.665393518517</v>
      </c>
      <c r="I1210">
        <v>16.5</v>
      </c>
      <c r="J1210">
        <v>33</v>
      </c>
      <c r="K1210" t="s">
        <v>13</v>
      </c>
      <c r="L1210" t="s">
        <v>26</v>
      </c>
      <c r="M1210" t="s">
        <v>107</v>
      </c>
      <c r="N1210" t="s">
        <v>108</v>
      </c>
    </row>
    <row r="1211" spans="1:14" x14ac:dyDescent="0.3">
      <c r="A1211">
        <v>1210</v>
      </c>
      <c r="B1211">
        <v>532</v>
      </c>
      <c r="C1211">
        <f>1/COUNTIF(pizza_sales[[#All],[order_id]],pizza_sales[[#This Row],[order_id]])</f>
        <v>0.5</v>
      </c>
      <c r="D1211" t="s">
        <v>135</v>
      </c>
      <c r="E1211">
        <v>1</v>
      </c>
      <c r="F1211" s="1">
        <v>42013</v>
      </c>
      <c r="G1211" s="1" t="str">
        <f>TEXT(pizza_sales[[#This Row],[order_date]],"dddd")</f>
        <v>Friday</v>
      </c>
      <c r="H1211" s="2">
        <v>36526.676712962966</v>
      </c>
      <c r="I1211">
        <v>20.75</v>
      </c>
      <c r="J1211">
        <v>20.75</v>
      </c>
      <c r="K1211" t="s">
        <v>21</v>
      </c>
      <c r="L1211" t="s">
        <v>26</v>
      </c>
      <c r="M1211" t="s">
        <v>107</v>
      </c>
      <c r="N1211" t="s">
        <v>108</v>
      </c>
    </row>
    <row r="1212" spans="1:14" x14ac:dyDescent="0.3">
      <c r="A1212">
        <v>1211</v>
      </c>
      <c r="B1212">
        <v>532</v>
      </c>
      <c r="C1212">
        <f>1/COUNTIF(pizza_sales[[#All],[order_id]],pizza_sales[[#This Row],[order_id]])</f>
        <v>0.5</v>
      </c>
      <c r="D1212" t="s">
        <v>172</v>
      </c>
      <c r="E1212">
        <v>1</v>
      </c>
      <c r="F1212" s="1">
        <v>42013</v>
      </c>
      <c r="G1212" s="1" t="str">
        <f>TEXT(pizza_sales[[#This Row],[order_date]],"dddd")</f>
        <v>Friday</v>
      </c>
      <c r="H1212" s="2">
        <v>36526.676712962966</v>
      </c>
      <c r="I1212">
        <v>12.5</v>
      </c>
      <c r="J1212">
        <v>12.5</v>
      </c>
      <c r="K1212" t="s">
        <v>41</v>
      </c>
      <c r="L1212" t="s">
        <v>26</v>
      </c>
      <c r="M1212" t="s">
        <v>88</v>
      </c>
      <c r="N1212" t="s">
        <v>89</v>
      </c>
    </row>
    <row r="1213" spans="1:14" x14ac:dyDescent="0.3">
      <c r="A1213">
        <v>1212</v>
      </c>
      <c r="B1213">
        <v>533</v>
      </c>
      <c r="C1213">
        <f>1/COUNTIF(pizza_sales[[#All],[order_id]],pizza_sales[[#This Row],[order_id]])</f>
        <v>0.33333333333333331</v>
      </c>
      <c r="D1213" t="s">
        <v>20</v>
      </c>
      <c r="E1213">
        <v>1</v>
      </c>
      <c r="F1213" s="1">
        <v>42013</v>
      </c>
      <c r="G1213" s="1" t="str">
        <f>TEXT(pizza_sales[[#This Row],[order_date]],"dddd")</f>
        <v>Friday</v>
      </c>
      <c r="H1213" s="2">
        <v>36526.686608796299</v>
      </c>
      <c r="I1213">
        <v>18.5</v>
      </c>
      <c r="J1213">
        <v>18.5</v>
      </c>
      <c r="K1213" t="s">
        <v>21</v>
      </c>
      <c r="L1213" t="s">
        <v>22</v>
      </c>
      <c r="M1213" t="s">
        <v>23</v>
      </c>
      <c r="N1213" t="s">
        <v>24</v>
      </c>
    </row>
    <row r="1214" spans="1:14" x14ac:dyDescent="0.3">
      <c r="A1214">
        <v>1213</v>
      </c>
      <c r="B1214">
        <v>533</v>
      </c>
      <c r="C1214">
        <f>1/COUNTIF(pizza_sales[[#All],[order_id]],pizza_sales[[#This Row],[order_id]])</f>
        <v>0.33333333333333331</v>
      </c>
      <c r="D1214" t="s">
        <v>59</v>
      </c>
      <c r="E1214">
        <v>1</v>
      </c>
      <c r="F1214" s="1">
        <v>42013</v>
      </c>
      <c r="G1214" s="1" t="str">
        <f>TEXT(pizza_sales[[#This Row],[order_date]],"dddd")</f>
        <v>Friday</v>
      </c>
      <c r="H1214" s="2">
        <v>36526.686608796299</v>
      </c>
      <c r="I1214">
        <v>20.75</v>
      </c>
      <c r="J1214">
        <v>20.75</v>
      </c>
      <c r="K1214" t="s">
        <v>21</v>
      </c>
      <c r="L1214" t="s">
        <v>26</v>
      </c>
      <c r="M1214" t="s">
        <v>60</v>
      </c>
      <c r="N1214" t="s">
        <v>61</v>
      </c>
    </row>
    <row r="1215" spans="1:14" x14ac:dyDescent="0.3">
      <c r="A1215">
        <v>1214</v>
      </c>
      <c r="B1215">
        <v>533</v>
      </c>
      <c r="C1215">
        <f>1/COUNTIF(pizza_sales[[#All],[order_id]],pizza_sales[[#This Row],[order_id]])</f>
        <v>0.33333333333333331</v>
      </c>
      <c r="D1215" t="s">
        <v>140</v>
      </c>
      <c r="E1215">
        <v>1</v>
      </c>
      <c r="F1215" s="1">
        <v>42013</v>
      </c>
      <c r="G1215" s="1" t="str">
        <f>TEXT(pizza_sales[[#This Row],[order_date]],"dddd")</f>
        <v>Friday</v>
      </c>
      <c r="H1215" s="2">
        <v>36526.686608796299</v>
      </c>
      <c r="I1215">
        <v>25.5</v>
      </c>
      <c r="J1215">
        <v>25.5</v>
      </c>
      <c r="K1215" t="s">
        <v>141</v>
      </c>
      <c r="L1215" t="s">
        <v>14</v>
      </c>
      <c r="M1215" t="s">
        <v>45</v>
      </c>
      <c r="N1215" t="s">
        <v>46</v>
      </c>
    </row>
    <row r="1216" spans="1:14" x14ac:dyDescent="0.3">
      <c r="A1216">
        <v>1215</v>
      </c>
      <c r="B1216">
        <v>534</v>
      </c>
      <c r="C1216">
        <f>1/COUNTIF(pizza_sales[[#All],[order_id]],pizza_sales[[#This Row],[order_id]])</f>
        <v>0.5</v>
      </c>
      <c r="D1216" t="s">
        <v>37</v>
      </c>
      <c r="E1216">
        <v>1</v>
      </c>
      <c r="F1216" s="1">
        <v>42013</v>
      </c>
      <c r="G1216" s="1" t="str">
        <f>TEXT(pizza_sales[[#This Row],[order_date]],"dddd")</f>
        <v>Friday</v>
      </c>
      <c r="H1216" s="2">
        <v>36526.696898148148</v>
      </c>
      <c r="I1216">
        <v>20.75</v>
      </c>
      <c r="J1216">
        <v>20.75</v>
      </c>
      <c r="K1216" t="s">
        <v>21</v>
      </c>
      <c r="L1216" t="s">
        <v>26</v>
      </c>
      <c r="M1216" t="s">
        <v>38</v>
      </c>
      <c r="N1216" t="s">
        <v>39</v>
      </c>
    </row>
    <row r="1217" spans="1:14" x14ac:dyDescent="0.3">
      <c r="A1217">
        <v>1216</v>
      </c>
      <c r="B1217">
        <v>534</v>
      </c>
      <c r="C1217">
        <f>1/COUNTIF(pizza_sales[[#All],[order_id]],pizza_sales[[#This Row],[order_id]])</f>
        <v>0.5</v>
      </c>
      <c r="D1217" t="s">
        <v>69</v>
      </c>
      <c r="E1217">
        <v>1</v>
      </c>
      <c r="F1217" s="1">
        <v>42013</v>
      </c>
      <c r="G1217" s="1" t="str">
        <f>TEXT(pizza_sales[[#This Row],[order_date]],"dddd")</f>
        <v>Friday</v>
      </c>
      <c r="H1217" s="2">
        <v>36526.696898148148</v>
      </c>
      <c r="I1217">
        <v>20.75</v>
      </c>
      <c r="J1217">
        <v>20.75</v>
      </c>
      <c r="K1217" t="s">
        <v>21</v>
      </c>
      <c r="L1217" t="s">
        <v>33</v>
      </c>
      <c r="M1217" t="s">
        <v>70</v>
      </c>
      <c r="N1217" t="s">
        <v>71</v>
      </c>
    </row>
    <row r="1218" spans="1:14" x14ac:dyDescent="0.3">
      <c r="A1218">
        <v>1217</v>
      </c>
      <c r="B1218">
        <v>535</v>
      </c>
      <c r="C1218">
        <f>1/COUNTIF(pizza_sales[[#All],[order_id]],pizza_sales[[#This Row],[order_id]])</f>
        <v>1</v>
      </c>
      <c r="D1218" t="s">
        <v>17</v>
      </c>
      <c r="E1218">
        <v>1</v>
      </c>
      <c r="F1218" s="1">
        <v>42013</v>
      </c>
      <c r="G1218" s="1" t="str">
        <f>TEXT(pizza_sales[[#This Row],[order_date]],"dddd")</f>
        <v>Friday</v>
      </c>
      <c r="H1218" s="2">
        <v>36526.714432870373</v>
      </c>
      <c r="I1218">
        <v>16</v>
      </c>
      <c r="J1218">
        <v>16</v>
      </c>
      <c r="K1218" t="s">
        <v>13</v>
      </c>
      <c r="L1218" t="s">
        <v>14</v>
      </c>
      <c r="M1218" t="s">
        <v>18</v>
      </c>
      <c r="N1218" t="s">
        <v>19</v>
      </c>
    </row>
    <row r="1219" spans="1:14" x14ac:dyDescent="0.3">
      <c r="A1219">
        <v>1218</v>
      </c>
      <c r="B1219">
        <v>536</v>
      </c>
      <c r="C1219">
        <f>1/COUNTIF(pizza_sales[[#All],[order_id]],pizza_sales[[#This Row],[order_id]])</f>
        <v>0.5</v>
      </c>
      <c r="D1219" t="s">
        <v>165</v>
      </c>
      <c r="E1219">
        <v>1</v>
      </c>
      <c r="F1219" s="1">
        <v>42013</v>
      </c>
      <c r="G1219" s="1" t="str">
        <f>TEXT(pizza_sales[[#This Row],[order_date]],"dddd")</f>
        <v>Friday</v>
      </c>
      <c r="H1219" s="2">
        <v>36526.721412037034</v>
      </c>
      <c r="I1219">
        <v>23.65</v>
      </c>
      <c r="J1219">
        <v>23.65</v>
      </c>
      <c r="K1219" t="s">
        <v>41</v>
      </c>
      <c r="L1219" t="s">
        <v>26</v>
      </c>
      <c r="M1219" t="s">
        <v>166</v>
      </c>
      <c r="N1219" t="s">
        <v>167</v>
      </c>
    </row>
    <row r="1220" spans="1:14" x14ac:dyDescent="0.3">
      <c r="A1220">
        <v>1219</v>
      </c>
      <c r="B1220">
        <v>536</v>
      </c>
      <c r="C1220">
        <f>1/COUNTIF(pizza_sales[[#All],[order_id]],pizza_sales[[#This Row],[order_id]])</f>
        <v>0.5</v>
      </c>
      <c r="D1220" t="s">
        <v>135</v>
      </c>
      <c r="E1220">
        <v>1</v>
      </c>
      <c r="F1220" s="1">
        <v>42013</v>
      </c>
      <c r="G1220" s="1" t="str">
        <f>TEXT(pizza_sales[[#This Row],[order_date]],"dddd")</f>
        <v>Friday</v>
      </c>
      <c r="H1220" s="2">
        <v>36526.721412037034</v>
      </c>
      <c r="I1220">
        <v>20.75</v>
      </c>
      <c r="J1220">
        <v>20.75</v>
      </c>
      <c r="K1220" t="s">
        <v>21</v>
      </c>
      <c r="L1220" t="s">
        <v>26</v>
      </c>
      <c r="M1220" t="s">
        <v>107</v>
      </c>
      <c r="N1220" t="s">
        <v>108</v>
      </c>
    </row>
    <row r="1221" spans="1:14" x14ac:dyDescent="0.3">
      <c r="A1221">
        <v>1220</v>
      </c>
      <c r="B1221">
        <v>537</v>
      </c>
      <c r="C1221">
        <f>1/COUNTIF(pizza_sales[[#All],[order_id]],pizza_sales[[#This Row],[order_id]])</f>
        <v>0.33333333333333331</v>
      </c>
      <c r="D1221" t="s">
        <v>50</v>
      </c>
      <c r="E1221">
        <v>1</v>
      </c>
      <c r="F1221" s="1">
        <v>42013</v>
      </c>
      <c r="G1221" s="1" t="str">
        <f>TEXT(pizza_sales[[#This Row],[order_date]],"dddd")</f>
        <v>Friday</v>
      </c>
      <c r="H1221" s="2">
        <v>36526.724907407406</v>
      </c>
      <c r="I1221">
        <v>12</v>
      </c>
      <c r="J1221">
        <v>12</v>
      </c>
      <c r="K1221" t="s">
        <v>41</v>
      </c>
      <c r="L1221" t="s">
        <v>14</v>
      </c>
      <c r="M1221" t="s">
        <v>18</v>
      </c>
      <c r="N1221" t="s">
        <v>19</v>
      </c>
    </row>
    <row r="1222" spans="1:14" x14ac:dyDescent="0.3">
      <c r="A1222">
        <v>1221</v>
      </c>
      <c r="B1222">
        <v>537</v>
      </c>
      <c r="C1222">
        <f>1/COUNTIF(pizza_sales[[#All],[order_id]],pizza_sales[[#This Row],[order_id]])</f>
        <v>0.33333333333333331</v>
      </c>
      <c r="D1222" t="s">
        <v>132</v>
      </c>
      <c r="E1222">
        <v>1</v>
      </c>
      <c r="F1222" s="1">
        <v>42013</v>
      </c>
      <c r="G1222" s="1" t="str">
        <f>TEXT(pizza_sales[[#This Row],[order_date]],"dddd")</f>
        <v>Friday</v>
      </c>
      <c r="H1222" s="2">
        <v>36526.724907407406</v>
      </c>
      <c r="I1222">
        <v>10.5</v>
      </c>
      <c r="J1222">
        <v>10.5</v>
      </c>
      <c r="K1222" t="s">
        <v>41</v>
      </c>
      <c r="L1222" t="s">
        <v>14</v>
      </c>
      <c r="M1222" t="s">
        <v>15</v>
      </c>
      <c r="N1222" t="s">
        <v>16</v>
      </c>
    </row>
    <row r="1223" spans="1:14" x14ac:dyDescent="0.3">
      <c r="A1223">
        <v>1222</v>
      </c>
      <c r="B1223">
        <v>537</v>
      </c>
      <c r="C1223">
        <f>1/COUNTIF(pizza_sales[[#All],[order_id]],pizza_sales[[#This Row],[order_id]])</f>
        <v>0.33333333333333331</v>
      </c>
      <c r="D1223" t="s">
        <v>25</v>
      </c>
      <c r="E1223">
        <v>1</v>
      </c>
      <c r="F1223" s="1">
        <v>42013</v>
      </c>
      <c r="G1223" s="1" t="str">
        <f>TEXT(pizza_sales[[#This Row],[order_date]],"dddd")</f>
        <v>Friday</v>
      </c>
      <c r="H1223" s="2">
        <v>36526.724907407406</v>
      </c>
      <c r="I1223">
        <v>20.75</v>
      </c>
      <c r="J1223">
        <v>20.75</v>
      </c>
      <c r="K1223" t="s">
        <v>21</v>
      </c>
      <c r="L1223" t="s">
        <v>26</v>
      </c>
      <c r="M1223" t="s">
        <v>27</v>
      </c>
      <c r="N1223" t="s">
        <v>28</v>
      </c>
    </row>
    <row r="1224" spans="1:14" x14ac:dyDescent="0.3">
      <c r="A1224">
        <v>1223</v>
      </c>
      <c r="B1224">
        <v>538</v>
      </c>
      <c r="C1224">
        <f>1/COUNTIF(pizza_sales[[#All],[order_id]],pizza_sales[[#This Row],[order_id]])</f>
        <v>1</v>
      </c>
      <c r="D1224" t="s">
        <v>152</v>
      </c>
      <c r="E1224">
        <v>1</v>
      </c>
      <c r="F1224" s="1">
        <v>42013</v>
      </c>
      <c r="G1224" s="1" t="str">
        <f>TEXT(pizza_sales[[#This Row],[order_date]],"dddd")</f>
        <v>Friday</v>
      </c>
      <c r="H1224" s="2">
        <v>36526.738935185182</v>
      </c>
      <c r="I1224">
        <v>20.75</v>
      </c>
      <c r="J1224">
        <v>20.75</v>
      </c>
      <c r="K1224" t="s">
        <v>21</v>
      </c>
      <c r="L1224" t="s">
        <v>26</v>
      </c>
      <c r="M1224" t="s">
        <v>48</v>
      </c>
      <c r="N1224" t="s">
        <v>49</v>
      </c>
    </row>
    <row r="1225" spans="1:14" x14ac:dyDescent="0.3">
      <c r="A1225">
        <v>1224</v>
      </c>
      <c r="B1225">
        <v>539</v>
      </c>
      <c r="C1225">
        <f>1/COUNTIF(pizza_sales[[#All],[order_id]],pizza_sales[[#This Row],[order_id]])</f>
        <v>0.33333333333333331</v>
      </c>
      <c r="D1225" t="s">
        <v>20</v>
      </c>
      <c r="E1225">
        <v>1</v>
      </c>
      <c r="F1225" s="1">
        <v>42013</v>
      </c>
      <c r="G1225" s="1" t="str">
        <f>TEXT(pizza_sales[[#This Row],[order_date]],"dddd")</f>
        <v>Friday</v>
      </c>
      <c r="H1225" s="2">
        <v>36526.744143518517</v>
      </c>
      <c r="I1225">
        <v>18.5</v>
      </c>
      <c r="J1225">
        <v>18.5</v>
      </c>
      <c r="K1225" t="s">
        <v>21</v>
      </c>
      <c r="L1225" t="s">
        <v>22</v>
      </c>
      <c r="M1225" t="s">
        <v>23</v>
      </c>
      <c r="N1225" t="s">
        <v>24</v>
      </c>
    </row>
    <row r="1226" spans="1:14" x14ac:dyDescent="0.3">
      <c r="A1226">
        <v>1225</v>
      </c>
      <c r="B1226">
        <v>539</v>
      </c>
      <c r="C1226">
        <f>1/COUNTIF(pizza_sales[[#All],[order_id]],pizza_sales[[#This Row],[order_id]])</f>
        <v>0.33333333333333331</v>
      </c>
      <c r="D1226" t="s">
        <v>153</v>
      </c>
      <c r="E1226">
        <v>1</v>
      </c>
      <c r="F1226" s="1">
        <v>42013</v>
      </c>
      <c r="G1226" s="1" t="str">
        <f>TEXT(pizza_sales[[#This Row],[order_date]],"dddd")</f>
        <v>Friday</v>
      </c>
      <c r="H1226" s="2">
        <v>36526.744143518517</v>
      </c>
      <c r="I1226">
        <v>21</v>
      </c>
      <c r="J1226">
        <v>21</v>
      </c>
      <c r="K1226" t="s">
        <v>21</v>
      </c>
      <c r="L1226" t="s">
        <v>22</v>
      </c>
      <c r="M1226" t="s">
        <v>101</v>
      </c>
      <c r="N1226" t="s">
        <v>102</v>
      </c>
    </row>
    <row r="1227" spans="1:14" x14ac:dyDescent="0.3">
      <c r="A1227">
        <v>1226</v>
      </c>
      <c r="B1227">
        <v>539</v>
      </c>
      <c r="C1227">
        <f>1/COUNTIF(pizza_sales[[#All],[order_id]],pizza_sales[[#This Row],[order_id]])</f>
        <v>0.33333333333333331</v>
      </c>
      <c r="D1227" t="s">
        <v>162</v>
      </c>
      <c r="E1227">
        <v>1</v>
      </c>
      <c r="F1227" s="1">
        <v>42013</v>
      </c>
      <c r="G1227" s="1" t="str">
        <f>TEXT(pizza_sales[[#This Row],[order_date]],"dddd")</f>
        <v>Friday</v>
      </c>
      <c r="H1227" s="2">
        <v>36526.744143518517</v>
      </c>
      <c r="I1227">
        <v>16</v>
      </c>
      <c r="J1227">
        <v>16</v>
      </c>
      <c r="K1227" t="s">
        <v>13</v>
      </c>
      <c r="L1227" t="s">
        <v>22</v>
      </c>
      <c r="M1227" t="s">
        <v>110</v>
      </c>
      <c r="N1227" t="s">
        <v>111</v>
      </c>
    </row>
    <row r="1228" spans="1:14" x14ac:dyDescent="0.3">
      <c r="A1228">
        <v>1227</v>
      </c>
      <c r="B1228">
        <v>540</v>
      </c>
      <c r="C1228">
        <f>1/COUNTIF(pizza_sales[[#All],[order_id]],pizza_sales[[#This Row],[order_id]])</f>
        <v>1</v>
      </c>
      <c r="D1228" t="s">
        <v>152</v>
      </c>
      <c r="E1228">
        <v>1</v>
      </c>
      <c r="F1228" s="1">
        <v>42013</v>
      </c>
      <c r="G1228" s="1" t="str">
        <f>TEXT(pizza_sales[[#This Row],[order_date]],"dddd")</f>
        <v>Friday</v>
      </c>
      <c r="H1228" s="2">
        <v>36526.74491898148</v>
      </c>
      <c r="I1228">
        <v>20.75</v>
      </c>
      <c r="J1228">
        <v>20.75</v>
      </c>
      <c r="K1228" t="s">
        <v>21</v>
      </c>
      <c r="L1228" t="s">
        <v>26</v>
      </c>
      <c r="M1228" t="s">
        <v>48</v>
      </c>
      <c r="N1228" t="s">
        <v>49</v>
      </c>
    </row>
    <row r="1229" spans="1:14" x14ac:dyDescent="0.3">
      <c r="A1229">
        <v>1228</v>
      </c>
      <c r="B1229">
        <v>541</v>
      </c>
      <c r="C1229">
        <f>1/COUNTIF(pizza_sales[[#All],[order_id]],pizza_sales[[#This Row],[order_id]])</f>
        <v>1</v>
      </c>
      <c r="D1229" t="s">
        <v>84</v>
      </c>
      <c r="E1229">
        <v>1</v>
      </c>
      <c r="F1229" s="1">
        <v>42013</v>
      </c>
      <c r="G1229" s="1" t="str">
        <f>TEXT(pizza_sales[[#This Row],[order_date]],"dddd")</f>
        <v>Friday</v>
      </c>
      <c r="H1229" s="2">
        <v>36526.75540509259</v>
      </c>
      <c r="I1229">
        <v>12</v>
      </c>
      <c r="J1229">
        <v>12</v>
      </c>
      <c r="K1229" t="s">
        <v>41</v>
      </c>
      <c r="L1229" t="s">
        <v>14</v>
      </c>
      <c r="M1229" t="s">
        <v>85</v>
      </c>
      <c r="N1229" t="s">
        <v>86</v>
      </c>
    </row>
    <row r="1230" spans="1:14" x14ac:dyDescent="0.3">
      <c r="A1230">
        <v>1229</v>
      </c>
      <c r="B1230">
        <v>542</v>
      </c>
      <c r="C1230">
        <f>1/COUNTIF(pizza_sales[[#All],[order_id]],pizza_sales[[#This Row],[order_id]])</f>
        <v>0.5</v>
      </c>
      <c r="D1230" t="s">
        <v>72</v>
      </c>
      <c r="E1230">
        <v>1</v>
      </c>
      <c r="F1230" s="1">
        <v>42013</v>
      </c>
      <c r="G1230" s="1" t="str">
        <f>TEXT(pizza_sales[[#This Row],[order_date]],"dddd")</f>
        <v>Friday</v>
      </c>
      <c r="H1230" s="2">
        <v>36526.755624999998</v>
      </c>
      <c r="I1230">
        <v>20.75</v>
      </c>
      <c r="J1230">
        <v>20.75</v>
      </c>
      <c r="K1230" t="s">
        <v>21</v>
      </c>
      <c r="L1230" t="s">
        <v>33</v>
      </c>
      <c r="M1230" t="s">
        <v>42</v>
      </c>
      <c r="N1230" t="s">
        <v>43</v>
      </c>
    </row>
    <row r="1231" spans="1:14" x14ac:dyDescent="0.3">
      <c r="A1231">
        <v>1230</v>
      </c>
      <c r="B1231">
        <v>542</v>
      </c>
      <c r="C1231">
        <f>1/COUNTIF(pizza_sales[[#All],[order_id]],pizza_sales[[#This Row],[order_id]])</f>
        <v>0.5</v>
      </c>
      <c r="D1231" t="s">
        <v>145</v>
      </c>
      <c r="E1231">
        <v>1</v>
      </c>
      <c r="F1231" s="1">
        <v>42013</v>
      </c>
      <c r="G1231" s="1" t="str">
        <f>TEXT(pizza_sales[[#This Row],[order_date]],"dddd")</f>
        <v>Friday</v>
      </c>
      <c r="H1231" s="2">
        <v>36526.755624999998</v>
      </c>
      <c r="I1231">
        <v>16.5</v>
      </c>
      <c r="J1231">
        <v>16.5</v>
      </c>
      <c r="K1231" t="s">
        <v>13</v>
      </c>
      <c r="L1231" t="s">
        <v>26</v>
      </c>
      <c r="M1231" t="s">
        <v>38</v>
      </c>
      <c r="N1231" t="s">
        <v>39</v>
      </c>
    </row>
    <row r="1232" spans="1:14" x14ac:dyDescent="0.3">
      <c r="A1232">
        <v>1231</v>
      </c>
      <c r="B1232">
        <v>543</v>
      </c>
      <c r="C1232">
        <f>1/COUNTIF(pizza_sales[[#All],[order_id]],pizza_sales[[#This Row],[order_id]])</f>
        <v>0.33333333333333331</v>
      </c>
      <c r="D1232" t="s">
        <v>81</v>
      </c>
      <c r="E1232">
        <v>1</v>
      </c>
      <c r="F1232" s="1">
        <v>42013</v>
      </c>
      <c r="G1232" s="1" t="str">
        <f>TEXT(pizza_sales[[#This Row],[order_date]],"dddd")</f>
        <v>Friday</v>
      </c>
      <c r="H1232" s="2">
        <v>36526.766655092593</v>
      </c>
      <c r="I1232">
        <v>20.75</v>
      </c>
      <c r="J1232">
        <v>20.75</v>
      </c>
      <c r="K1232" t="s">
        <v>21</v>
      </c>
      <c r="L1232" t="s">
        <v>33</v>
      </c>
      <c r="M1232" t="s">
        <v>82</v>
      </c>
      <c r="N1232" t="s">
        <v>83</v>
      </c>
    </row>
    <row r="1233" spans="1:14" x14ac:dyDescent="0.3">
      <c r="A1233">
        <v>1232</v>
      </c>
      <c r="B1233">
        <v>543</v>
      </c>
      <c r="C1233">
        <f>1/COUNTIF(pizza_sales[[#All],[order_id]],pizza_sales[[#This Row],[order_id]])</f>
        <v>0.33333333333333331</v>
      </c>
      <c r="D1233" t="s">
        <v>17</v>
      </c>
      <c r="E1233">
        <v>1</v>
      </c>
      <c r="F1233" s="1">
        <v>42013</v>
      </c>
      <c r="G1233" s="1" t="str">
        <f>TEXT(pizza_sales[[#This Row],[order_date]],"dddd")</f>
        <v>Friday</v>
      </c>
      <c r="H1233" s="2">
        <v>36526.766655092593</v>
      </c>
      <c r="I1233">
        <v>16</v>
      </c>
      <c r="J1233">
        <v>16</v>
      </c>
      <c r="K1233" t="s">
        <v>13</v>
      </c>
      <c r="L1233" t="s">
        <v>14</v>
      </c>
      <c r="M1233" t="s">
        <v>18</v>
      </c>
      <c r="N1233" t="s">
        <v>19</v>
      </c>
    </row>
    <row r="1234" spans="1:14" x14ac:dyDescent="0.3">
      <c r="A1234">
        <v>1233</v>
      </c>
      <c r="B1234">
        <v>543</v>
      </c>
      <c r="C1234">
        <f>1/COUNTIF(pizza_sales[[#All],[order_id]],pizza_sales[[#This Row],[order_id]])</f>
        <v>0.33333333333333331</v>
      </c>
      <c r="D1234" t="s">
        <v>103</v>
      </c>
      <c r="E1234">
        <v>1</v>
      </c>
      <c r="F1234" s="1">
        <v>42013</v>
      </c>
      <c r="G1234" s="1" t="str">
        <f>TEXT(pizza_sales[[#This Row],[order_date]],"dddd")</f>
        <v>Friday</v>
      </c>
      <c r="H1234" s="2">
        <v>36526.766655092593</v>
      </c>
      <c r="I1234">
        <v>16</v>
      </c>
      <c r="J1234">
        <v>16</v>
      </c>
      <c r="K1234" t="s">
        <v>13</v>
      </c>
      <c r="L1234" t="s">
        <v>22</v>
      </c>
      <c r="M1234" t="s">
        <v>104</v>
      </c>
      <c r="N1234" t="s">
        <v>105</v>
      </c>
    </row>
    <row r="1235" spans="1:14" x14ac:dyDescent="0.3">
      <c r="A1235">
        <v>1234</v>
      </c>
      <c r="B1235">
        <v>544</v>
      </c>
      <c r="C1235">
        <f>1/COUNTIF(pizza_sales[[#All],[order_id]],pizza_sales[[#This Row],[order_id]])</f>
        <v>0.5</v>
      </c>
      <c r="D1235" t="s">
        <v>163</v>
      </c>
      <c r="E1235">
        <v>1</v>
      </c>
      <c r="F1235" s="1">
        <v>42013</v>
      </c>
      <c r="G1235" s="1" t="str">
        <f>TEXT(pizza_sales[[#This Row],[order_date]],"dddd")</f>
        <v>Friday</v>
      </c>
      <c r="H1235" s="2">
        <v>36526.771574074075</v>
      </c>
      <c r="I1235">
        <v>16</v>
      </c>
      <c r="J1235">
        <v>16</v>
      </c>
      <c r="K1235" t="s">
        <v>13</v>
      </c>
      <c r="L1235" t="s">
        <v>14</v>
      </c>
      <c r="M1235" t="s">
        <v>94</v>
      </c>
      <c r="N1235" t="s">
        <v>95</v>
      </c>
    </row>
    <row r="1236" spans="1:14" x14ac:dyDescent="0.3">
      <c r="A1236">
        <v>1235</v>
      </c>
      <c r="B1236">
        <v>544</v>
      </c>
      <c r="C1236">
        <f>1/COUNTIF(pizza_sales[[#All],[order_id]],pizza_sales[[#This Row],[order_id]])</f>
        <v>0.5</v>
      </c>
      <c r="D1236" t="s">
        <v>121</v>
      </c>
      <c r="E1236">
        <v>1</v>
      </c>
      <c r="F1236" s="1">
        <v>42013</v>
      </c>
      <c r="G1236" s="1" t="str">
        <f>TEXT(pizza_sales[[#This Row],[order_date]],"dddd")</f>
        <v>Friday</v>
      </c>
      <c r="H1236" s="2">
        <v>36526.771574074075</v>
      </c>
      <c r="I1236">
        <v>16.25</v>
      </c>
      <c r="J1236">
        <v>16.25</v>
      </c>
      <c r="K1236" t="s">
        <v>13</v>
      </c>
      <c r="L1236" t="s">
        <v>26</v>
      </c>
      <c r="M1236" t="s">
        <v>114</v>
      </c>
      <c r="N1236" t="s">
        <v>115</v>
      </c>
    </row>
    <row r="1237" spans="1:14" x14ac:dyDescent="0.3">
      <c r="A1237">
        <v>1236</v>
      </c>
      <c r="B1237">
        <v>545</v>
      </c>
      <c r="C1237">
        <f>1/COUNTIF(pizza_sales[[#All],[order_id]],pizza_sales[[#This Row],[order_id]])</f>
        <v>0.25</v>
      </c>
      <c r="D1237" t="s">
        <v>77</v>
      </c>
      <c r="E1237">
        <v>1</v>
      </c>
      <c r="F1237" s="1">
        <v>42013</v>
      </c>
      <c r="G1237" s="1" t="str">
        <f>TEXT(pizza_sales[[#This Row],[order_date]],"dddd")</f>
        <v>Friday</v>
      </c>
      <c r="H1237" s="2">
        <v>36526.782268518517</v>
      </c>
      <c r="I1237">
        <v>15.25</v>
      </c>
      <c r="J1237">
        <v>15.25</v>
      </c>
      <c r="K1237" t="s">
        <v>21</v>
      </c>
      <c r="L1237" t="s">
        <v>14</v>
      </c>
      <c r="M1237" t="s">
        <v>78</v>
      </c>
      <c r="N1237" t="s">
        <v>79</v>
      </c>
    </row>
    <row r="1238" spans="1:14" x14ac:dyDescent="0.3">
      <c r="A1238">
        <v>1237</v>
      </c>
      <c r="B1238">
        <v>545</v>
      </c>
      <c r="C1238">
        <f>1/COUNTIF(pizza_sales[[#All],[order_id]],pizza_sales[[#This Row],[order_id]])</f>
        <v>0.25</v>
      </c>
      <c r="D1238" t="s">
        <v>126</v>
      </c>
      <c r="E1238">
        <v>1</v>
      </c>
      <c r="F1238" s="1">
        <v>42013</v>
      </c>
      <c r="G1238" s="1" t="str">
        <f>TEXT(pizza_sales[[#This Row],[order_date]],"dddd")</f>
        <v>Friday</v>
      </c>
      <c r="H1238" s="2">
        <v>36526.782268518517</v>
      </c>
      <c r="I1238">
        <v>9.75</v>
      </c>
      <c r="J1238">
        <v>9.75</v>
      </c>
      <c r="K1238" t="s">
        <v>41</v>
      </c>
      <c r="L1238" t="s">
        <v>14</v>
      </c>
      <c r="M1238" t="s">
        <v>78</v>
      </c>
      <c r="N1238" t="s">
        <v>79</v>
      </c>
    </row>
    <row r="1239" spans="1:14" x14ac:dyDescent="0.3">
      <c r="A1239">
        <v>1238</v>
      </c>
      <c r="B1239">
        <v>545</v>
      </c>
      <c r="C1239">
        <f>1/COUNTIF(pizza_sales[[#All],[order_id]],pizza_sales[[#This Row],[order_id]])</f>
        <v>0.25</v>
      </c>
      <c r="D1239" t="s">
        <v>135</v>
      </c>
      <c r="E1239">
        <v>1</v>
      </c>
      <c r="F1239" s="1">
        <v>42013</v>
      </c>
      <c r="G1239" s="1" t="str">
        <f>TEXT(pizza_sales[[#This Row],[order_date]],"dddd")</f>
        <v>Friday</v>
      </c>
      <c r="H1239" s="2">
        <v>36526.782268518517</v>
      </c>
      <c r="I1239">
        <v>20.75</v>
      </c>
      <c r="J1239">
        <v>20.75</v>
      </c>
      <c r="K1239" t="s">
        <v>21</v>
      </c>
      <c r="L1239" t="s">
        <v>26</v>
      </c>
      <c r="M1239" t="s">
        <v>107</v>
      </c>
      <c r="N1239" t="s">
        <v>108</v>
      </c>
    </row>
    <row r="1240" spans="1:14" x14ac:dyDescent="0.3">
      <c r="A1240">
        <v>1239</v>
      </c>
      <c r="B1240">
        <v>545</v>
      </c>
      <c r="C1240">
        <f>1/COUNTIF(pizza_sales[[#All],[order_id]],pizza_sales[[#This Row],[order_id]])</f>
        <v>0.25</v>
      </c>
      <c r="D1240" t="s">
        <v>87</v>
      </c>
      <c r="E1240">
        <v>1</v>
      </c>
      <c r="F1240" s="1">
        <v>42013</v>
      </c>
      <c r="G1240" s="1" t="str">
        <f>TEXT(pizza_sales[[#This Row],[order_date]],"dddd")</f>
        <v>Friday</v>
      </c>
      <c r="H1240" s="2">
        <v>36526.782268518517</v>
      </c>
      <c r="I1240">
        <v>20.75</v>
      </c>
      <c r="J1240">
        <v>20.75</v>
      </c>
      <c r="K1240" t="s">
        <v>21</v>
      </c>
      <c r="L1240" t="s">
        <v>26</v>
      </c>
      <c r="M1240" t="s">
        <v>88</v>
      </c>
      <c r="N1240" t="s">
        <v>89</v>
      </c>
    </row>
    <row r="1241" spans="1:14" x14ac:dyDescent="0.3">
      <c r="A1241">
        <v>1240</v>
      </c>
      <c r="B1241">
        <v>546</v>
      </c>
      <c r="C1241">
        <f>1/COUNTIF(pizza_sales[[#All],[order_id]],pizza_sales[[#This Row],[order_id]])</f>
        <v>1</v>
      </c>
      <c r="D1241" t="s">
        <v>51</v>
      </c>
      <c r="E1241">
        <v>1</v>
      </c>
      <c r="F1241" s="1">
        <v>42013</v>
      </c>
      <c r="G1241" s="1" t="str">
        <f>TEXT(pizza_sales[[#This Row],[order_date]],"dddd")</f>
        <v>Friday</v>
      </c>
      <c r="H1241" s="2">
        <v>36526.782951388886</v>
      </c>
      <c r="I1241">
        <v>12</v>
      </c>
      <c r="J1241">
        <v>12</v>
      </c>
      <c r="K1241" t="s">
        <v>41</v>
      </c>
      <c r="L1241" t="s">
        <v>22</v>
      </c>
      <c r="M1241" t="s">
        <v>52</v>
      </c>
      <c r="N1241" t="s">
        <v>53</v>
      </c>
    </row>
    <row r="1242" spans="1:14" x14ac:dyDescent="0.3">
      <c r="A1242">
        <v>1241</v>
      </c>
      <c r="B1242">
        <v>547</v>
      </c>
      <c r="C1242">
        <f>1/COUNTIF(pizza_sales[[#All],[order_id]],pizza_sales[[#This Row],[order_id]])</f>
        <v>1</v>
      </c>
      <c r="D1242" t="s">
        <v>84</v>
      </c>
      <c r="E1242">
        <v>1</v>
      </c>
      <c r="F1242" s="1">
        <v>42013</v>
      </c>
      <c r="G1242" s="1" t="str">
        <f>TEXT(pizza_sales[[#This Row],[order_date]],"dddd")</f>
        <v>Friday</v>
      </c>
      <c r="H1242" s="2">
        <v>36526.78429398148</v>
      </c>
      <c r="I1242">
        <v>12</v>
      </c>
      <c r="J1242">
        <v>12</v>
      </c>
      <c r="K1242" t="s">
        <v>41</v>
      </c>
      <c r="L1242" t="s">
        <v>14</v>
      </c>
      <c r="M1242" t="s">
        <v>85</v>
      </c>
      <c r="N1242" t="s">
        <v>86</v>
      </c>
    </row>
    <row r="1243" spans="1:14" x14ac:dyDescent="0.3">
      <c r="A1243">
        <v>1242</v>
      </c>
      <c r="B1243">
        <v>548</v>
      </c>
      <c r="C1243">
        <f>1/COUNTIF(pizza_sales[[#All],[order_id]],pizza_sales[[#This Row],[order_id]])</f>
        <v>1</v>
      </c>
      <c r="D1243" t="s">
        <v>142</v>
      </c>
      <c r="E1243">
        <v>1</v>
      </c>
      <c r="F1243" s="1">
        <v>42013</v>
      </c>
      <c r="G1243" s="1" t="str">
        <f>TEXT(pizza_sales[[#This Row],[order_date]],"dddd")</f>
        <v>Friday</v>
      </c>
      <c r="H1243" s="2">
        <v>36526.795937499999</v>
      </c>
      <c r="I1243">
        <v>16.5</v>
      </c>
      <c r="J1243">
        <v>16.5</v>
      </c>
      <c r="K1243" t="s">
        <v>21</v>
      </c>
      <c r="L1243" t="s">
        <v>14</v>
      </c>
      <c r="M1243" t="s">
        <v>15</v>
      </c>
      <c r="N1243" t="s">
        <v>16</v>
      </c>
    </row>
    <row r="1244" spans="1:14" x14ac:dyDescent="0.3">
      <c r="A1244">
        <v>1243</v>
      </c>
      <c r="B1244">
        <v>549</v>
      </c>
      <c r="C1244">
        <f>1/COUNTIF(pizza_sales[[#All],[order_id]],pizza_sales[[#This Row],[order_id]])</f>
        <v>0.5</v>
      </c>
      <c r="D1244" t="s">
        <v>84</v>
      </c>
      <c r="E1244">
        <v>1</v>
      </c>
      <c r="F1244" s="1">
        <v>42013</v>
      </c>
      <c r="G1244" s="1" t="str">
        <f>TEXT(pizza_sales[[#This Row],[order_date]],"dddd")</f>
        <v>Friday</v>
      </c>
      <c r="H1244" s="2">
        <v>36526.796226851853</v>
      </c>
      <c r="I1244">
        <v>12</v>
      </c>
      <c r="J1244">
        <v>12</v>
      </c>
      <c r="K1244" t="s">
        <v>41</v>
      </c>
      <c r="L1244" t="s">
        <v>14</v>
      </c>
      <c r="M1244" t="s">
        <v>85</v>
      </c>
      <c r="N1244" t="s">
        <v>86</v>
      </c>
    </row>
    <row r="1245" spans="1:14" x14ac:dyDescent="0.3">
      <c r="A1245">
        <v>1244</v>
      </c>
      <c r="B1245">
        <v>549</v>
      </c>
      <c r="C1245">
        <f>1/COUNTIF(pizza_sales[[#All],[order_id]],pizza_sales[[#This Row],[order_id]])</f>
        <v>0.5</v>
      </c>
      <c r="D1245" t="s">
        <v>32</v>
      </c>
      <c r="E1245">
        <v>1</v>
      </c>
      <c r="F1245" s="1">
        <v>42013</v>
      </c>
      <c r="G1245" s="1" t="str">
        <f>TEXT(pizza_sales[[#This Row],[order_date]],"dddd")</f>
        <v>Friday</v>
      </c>
      <c r="H1245" s="2">
        <v>36526.796226851853</v>
      </c>
      <c r="I1245">
        <v>20.75</v>
      </c>
      <c r="J1245">
        <v>20.75</v>
      </c>
      <c r="K1245" t="s">
        <v>21</v>
      </c>
      <c r="L1245" t="s">
        <v>33</v>
      </c>
      <c r="M1245" t="s">
        <v>34</v>
      </c>
      <c r="N1245" t="s">
        <v>35</v>
      </c>
    </row>
    <row r="1246" spans="1:14" x14ac:dyDescent="0.3">
      <c r="A1246">
        <v>1245</v>
      </c>
      <c r="B1246">
        <v>550</v>
      </c>
      <c r="C1246">
        <f>1/COUNTIF(pizza_sales[[#All],[order_id]],pizza_sales[[#This Row],[order_id]])</f>
        <v>0.5</v>
      </c>
      <c r="D1246" t="s">
        <v>162</v>
      </c>
      <c r="E1246">
        <v>1</v>
      </c>
      <c r="F1246" s="1">
        <v>42013</v>
      </c>
      <c r="G1246" s="1" t="str">
        <f>TEXT(pizza_sales[[#This Row],[order_date]],"dddd")</f>
        <v>Friday</v>
      </c>
      <c r="H1246" s="2">
        <v>36526.800682870373</v>
      </c>
      <c r="I1246">
        <v>16</v>
      </c>
      <c r="J1246">
        <v>16</v>
      </c>
      <c r="K1246" t="s">
        <v>13</v>
      </c>
      <c r="L1246" t="s">
        <v>22</v>
      </c>
      <c r="M1246" t="s">
        <v>110</v>
      </c>
      <c r="N1246" t="s">
        <v>111</v>
      </c>
    </row>
    <row r="1247" spans="1:14" x14ac:dyDescent="0.3">
      <c r="A1247">
        <v>1246</v>
      </c>
      <c r="B1247">
        <v>550</v>
      </c>
      <c r="C1247">
        <f>1/COUNTIF(pizza_sales[[#All],[order_id]],pizza_sales[[#This Row],[order_id]])</f>
        <v>0.5</v>
      </c>
      <c r="D1247" t="s">
        <v>155</v>
      </c>
      <c r="E1247">
        <v>1</v>
      </c>
      <c r="F1247" s="1">
        <v>42013</v>
      </c>
      <c r="G1247" s="1" t="str">
        <f>TEXT(pizza_sales[[#This Row],[order_date]],"dddd")</f>
        <v>Friday</v>
      </c>
      <c r="H1247" s="2">
        <v>36526.800682870373</v>
      </c>
      <c r="I1247">
        <v>16</v>
      </c>
      <c r="J1247">
        <v>16</v>
      </c>
      <c r="K1247" t="s">
        <v>13</v>
      </c>
      <c r="L1247" t="s">
        <v>14</v>
      </c>
      <c r="M1247" t="s">
        <v>45</v>
      </c>
      <c r="N1247" t="s">
        <v>46</v>
      </c>
    </row>
    <row r="1248" spans="1:14" x14ac:dyDescent="0.3">
      <c r="A1248">
        <v>1247</v>
      </c>
      <c r="B1248">
        <v>551</v>
      </c>
      <c r="C1248">
        <f>1/COUNTIF(pizza_sales[[#All],[order_id]],pizza_sales[[#This Row],[order_id]])</f>
        <v>0.25</v>
      </c>
      <c r="D1248" t="s">
        <v>90</v>
      </c>
      <c r="E1248">
        <v>1</v>
      </c>
      <c r="F1248" s="1">
        <v>42013</v>
      </c>
      <c r="G1248" s="1" t="str">
        <f>TEXT(pizza_sales[[#This Row],[order_date]],"dddd")</f>
        <v>Friday</v>
      </c>
      <c r="H1248" s="2">
        <v>36526.81</v>
      </c>
      <c r="I1248">
        <v>17.95</v>
      </c>
      <c r="J1248">
        <v>17.95</v>
      </c>
      <c r="K1248" t="s">
        <v>21</v>
      </c>
      <c r="L1248" t="s">
        <v>22</v>
      </c>
      <c r="M1248" t="s">
        <v>91</v>
      </c>
      <c r="N1248" t="s">
        <v>92</v>
      </c>
    </row>
    <row r="1249" spans="1:14" x14ac:dyDescent="0.3">
      <c r="A1249">
        <v>1248</v>
      </c>
      <c r="B1249">
        <v>551</v>
      </c>
      <c r="C1249">
        <f>1/COUNTIF(pizza_sales[[#All],[order_id]],pizza_sales[[#This Row],[order_id]])</f>
        <v>0.25</v>
      </c>
      <c r="D1249" t="s">
        <v>171</v>
      </c>
      <c r="E1249">
        <v>1</v>
      </c>
      <c r="F1249" s="1">
        <v>42013</v>
      </c>
      <c r="G1249" s="1" t="str">
        <f>TEXT(pizza_sales[[#This Row],[order_date]],"dddd")</f>
        <v>Friday</v>
      </c>
      <c r="H1249" s="2">
        <v>36526.81</v>
      </c>
      <c r="I1249">
        <v>16.5</v>
      </c>
      <c r="J1249">
        <v>16.5</v>
      </c>
      <c r="K1249" t="s">
        <v>13</v>
      </c>
      <c r="L1249" t="s">
        <v>26</v>
      </c>
      <c r="M1249" t="s">
        <v>88</v>
      </c>
      <c r="N1249" t="s">
        <v>89</v>
      </c>
    </row>
    <row r="1250" spans="1:14" x14ac:dyDescent="0.3">
      <c r="A1250">
        <v>1249</v>
      </c>
      <c r="B1250">
        <v>551</v>
      </c>
      <c r="C1250">
        <f>1/COUNTIF(pizza_sales[[#All],[order_id]],pizza_sales[[#This Row],[order_id]])</f>
        <v>0.25</v>
      </c>
      <c r="D1250" t="s">
        <v>32</v>
      </c>
      <c r="E1250">
        <v>1</v>
      </c>
      <c r="F1250" s="1">
        <v>42013</v>
      </c>
      <c r="G1250" s="1" t="str">
        <f>TEXT(pizza_sales[[#This Row],[order_date]],"dddd")</f>
        <v>Friday</v>
      </c>
      <c r="H1250" s="2">
        <v>36526.81</v>
      </c>
      <c r="I1250">
        <v>20.75</v>
      </c>
      <c r="J1250">
        <v>20.75</v>
      </c>
      <c r="K1250" t="s">
        <v>21</v>
      </c>
      <c r="L1250" t="s">
        <v>33</v>
      </c>
      <c r="M1250" t="s">
        <v>34</v>
      </c>
      <c r="N1250" t="s">
        <v>35</v>
      </c>
    </row>
    <row r="1251" spans="1:14" x14ac:dyDescent="0.3">
      <c r="A1251">
        <v>1250</v>
      </c>
      <c r="B1251">
        <v>551</v>
      </c>
      <c r="C1251">
        <f>1/COUNTIF(pizza_sales[[#All],[order_id]],pizza_sales[[#This Row],[order_id]])</f>
        <v>0.25</v>
      </c>
      <c r="D1251" t="s">
        <v>155</v>
      </c>
      <c r="E1251">
        <v>1</v>
      </c>
      <c r="F1251" s="1">
        <v>42013</v>
      </c>
      <c r="G1251" s="1" t="str">
        <f>TEXT(pizza_sales[[#This Row],[order_date]],"dddd")</f>
        <v>Friday</v>
      </c>
      <c r="H1251" s="2">
        <v>36526.81</v>
      </c>
      <c r="I1251">
        <v>16</v>
      </c>
      <c r="J1251">
        <v>16</v>
      </c>
      <c r="K1251" t="s">
        <v>13</v>
      </c>
      <c r="L1251" t="s">
        <v>14</v>
      </c>
      <c r="M1251" t="s">
        <v>45</v>
      </c>
      <c r="N1251" t="s">
        <v>46</v>
      </c>
    </row>
    <row r="1252" spans="1:14" x14ac:dyDescent="0.3">
      <c r="A1252">
        <v>1251</v>
      </c>
      <c r="B1252">
        <v>552</v>
      </c>
      <c r="C1252">
        <f>1/COUNTIF(pizza_sales[[#All],[order_id]],pizza_sales[[#This Row],[order_id]])</f>
        <v>0.33333333333333331</v>
      </c>
      <c r="D1252" t="s">
        <v>134</v>
      </c>
      <c r="E1252">
        <v>1</v>
      </c>
      <c r="F1252" s="1">
        <v>42013</v>
      </c>
      <c r="G1252" s="1" t="str">
        <f>TEXT(pizza_sales[[#This Row],[order_date]],"dddd")</f>
        <v>Friday</v>
      </c>
      <c r="H1252" s="2">
        <v>36526.813483796293</v>
      </c>
      <c r="I1252">
        <v>16.75</v>
      </c>
      <c r="J1252">
        <v>16.75</v>
      </c>
      <c r="K1252" t="s">
        <v>13</v>
      </c>
      <c r="L1252" t="s">
        <v>33</v>
      </c>
      <c r="M1252" t="s">
        <v>124</v>
      </c>
      <c r="N1252" t="s">
        <v>125</v>
      </c>
    </row>
    <row r="1253" spans="1:14" x14ac:dyDescent="0.3">
      <c r="A1253">
        <v>1252</v>
      </c>
      <c r="B1253">
        <v>552</v>
      </c>
      <c r="C1253">
        <f>1/COUNTIF(pizza_sales[[#All],[order_id]],pizza_sales[[#This Row],[order_id]])</f>
        <v>0.33333333333333331</v>
      </c>
      <c r="D1253" t="s">
        <v>51</v>
      </c>
      <c r="E1253">
        <v>1</v>
      </c>
      <c r="F1253" s="1">
        <v>42013</v>
      </c>
      <c r="G1253" s="1" t="str">
        <f>TEXT(pizza_sales[[#This Row],[order_date]],"dddd")</f>
        <v>Friday</v>
      </c>
      <c r="H1253" s="2">
        <v>36526.813483796293</v>
      </c>
      <c r="I1253">
        <v>12</v>
      </c>
      <c r="J1253">
        <v>12</v>
      </c>
      <c r="K1253" t="s">
        <v>41</v>
      </c>
      <c r="L1253" t="s">
        <v>22</v>
      </c>
      <c r="M1253" t="s">
        <v>52</v>
      </c>
      <c r="N1253" t="s">
        <v>53</v>
      </c>
    </row>
    <row r="1254" spans="1:14" x14ac:dyDescent="0.3">
      <c r="A1254">
        <v>1253</v>
      </c>
      <c r="B1254">
        <v>552</v>
      </c>
      <c r="C1254">
        <f>1/COUNTIF(pizza_sales[[#All],[order_id]],pizza_sales[[#This Row],[order_id]])</f>
        <v>0.33333333333333331</v>
      </c>
      <c r="D1254" t="s">
        <v>25</v>
      </c>
      <c r="E1254">
        <v>1</v>
      </c>
      <c r="F1254" s="1">
        <v>42013</v>
      </c>
      <c r="G1254" s="1" t="str">
        <f>TEXT(pizza_sales[[#This Row],[order_date]],"dddd")</f>
        <v>Friday</v>
      </c>
      <c r="H1254" s="2">
        <v>36526.813483796293</v>
      </c>
      <c r="I1254">
        <v>20.75</v>
      </c>
      <c r="J1254">
        <v>20.75</v>
      </c>
      <c r="K1254" t="s">
        <v>21</v>
      </c>
      <c r="L1254" t="s">
        <v>26</v>
      </c>
      <c r="M1254" t="s">
        <v>27</v>
      </c>
      <c r="N1254" t="s">
        <v>28</v>
      </c>
    </row>
    <row r="1255" spans="1:14" x14ac:dyDescent="0.3">
      <c r="A1255">
        <v>1254</v>
      </c>
      <c r="B1255">
        <v>553</v>
      </c>
      <c r="C1255">
        <f>1/COUNTIF(pizza_sales[[#All],[order_id]],pizza_sales[[#This Row],[order_id]])</f>
        <v>1</v>
      </c>
      <c r="D1255" t="s">
        <v>68</v>
      </c>
      <c r="E1255">
        <v>1</v>
      </c>
      <c r="F1255" s="1">
        <v>42013</v>
      </c>
      <c r="G1255" s="1" t="str">
        <f>TEXT(pizza_sales[[#This Row],[order_date]],"dddd")</f>
        <v>Friday</v>
      </c>
      <c r="H1255" s="2">
        <v>36526.843599537038</v>
      </c>
      <c r="I1255">
        <v>20.25</v>
      </c>
      <c r="J1255">
        <v>20.25</v>
      </c>
      <c r="K1255" t="s">
        <v>21</v>
      </c>
      <c r="L1255" t="s">
        <v>22</v>
      </c>
      <c r="M1255" t="s">
        <v>30</v>
      </c>
      <c r="N1255" t="s">
        <v>31</v>
      </c>
    </row>
    <row r="1256" spans="1:14" x14ac:dyDescent="0.3">
      <c r="A1256">
        <v>1255</v>
      </c>
      <c r="B1256">
        <v>554</v>
      </c>
      <c r="C1256">
        <f>1/COUNTIF(pizza_sales[[#All],[order_id]],pizza_sales[[#This Row],[order_id]])</f>
        <v>0.5</v>
      </c>
      <c r="D1256" t="s">
        <v>134</v>
      </c>
      <c r="E1256">
        <v>1</v>
      </c>
      <c r="F1256" s="1">
        <v>42013</v>
      </c>
      <c r="G1256" s="1" t="str">
        <f>TEXT(pizza_sales[[#This Row],[order_date]],"dddd")</f>
        <v>Friday</v>
      </c>
      <c r="H1256" s="2">
        <v>36526.844340277778</v>
      </c>
      <c r="I1256">
        <v>16.75</v>
      </c>
      <c r="J1256">
        <v>16.75</v>
      </c>
      <c r="K1256" t="s">
        <v>13</v>
      </c>
      <c r="L1256" t="s">
        <v>33</v>
      </c>
      <c r="M1256" t="s">
        <v>124</v>
      </c>
      <c r="N1256" t="s">
        <v>125</v>
      </c>
    </row>
    <row r="1257" spans="1:14" x14ac:dyDescent="0.3">
      <c r="A1257">
        <v>1256</v>
      </c>
      <c r="B1257">
        <v>554</v>
      </c>
      <c r="C1257">
        <f>1/COUNTIF(pizza_sales[[#All],[order_id]],pizza_sales[[#This Row],[order_id]])</f>
        <v>0.5</v>
      </c>
      <c r="D1257" t="s">
        <v>51</v>
      </c>
      <c r="E1257">
        <v>1</v>
      </c>
      <c r="F1257" s="1">
        <v>42013</v>
      </c>
      <c r="G1257" s="1" t="str">
        <f>TEXT(pizza_sales[[#This Row],[order_date]],"dddd")</f>
        <v>Friday</v>
      </c>
      <c r="H1257" s="2">
        <v>36526.844340277778</v>
      </c>
      <c r="I1257">
        <v>12</v>
      </c>
      <c r="J1257">
        <v>12</v>
      </c>
      <c r="K1257" t="s">
        <v>41</v>
      </c>
      <c r="L1257" t="s">
        <v>22</v>
      </c>
      <c r="M1257" t="s">
        <v>52</v>
      </c>
      <c r="N1257" t="s">
        <v>53</v>
      </c>
    </row>
    <row r="1258" spans="1:14" x14ac:dyDescent="0.3">
      <c r="A1258">
        <v>1257</v>
      </c>
      <c r="B1258">
        <v>555</v>
      </c>
      <c r="C1258">
        <f>1/COUNTIF(pizza_sales[[#All],[order_id]],pizza_sales[[#This Row],[order_id]])</f>
        <v>0.5</v>
      </c>
      <c r="D1258" t="s">
        <v>40</v>
      </c>
      <c r="E1258">
        <v>1</v>
      </c>
      <c r="F1258" s="1">
        <v>42013</v>
      </c>
      <c r="G1258" s="1" t="str">
        <f>TEXT(pizza_sales[[#This Row],[order_date]],"dddd")</f>
        <v>Friday</v>
      </c>
      <c r="H1258" s="2">
        <v>36526.846122685187</v>
      </c>
      <c r="I1258">
        <v>12.75</v>
      </c>
      <c r="J1258">
        <v>12.75</v>
      </c>
      <c r="K1258" t="s">
        <v>41</v>
      </c>
      <c r="L1258" t="s">
        <v>33</v>
      </c>
      <c r="M1258" t="s">
        <v>42</v>
      </c>
      <c r="N1258" t="s">
        <v>43</v>
      </c>
    </row>
    <row r="1259" spans="1:14" x14ac:dyDescent="0.3">
      <c r="A1259">
        <v>1258</v>
      </c>
      <c r="B1259">
        <v>555</v>
      </c>
      <c r="C1259">
        <f>1/COUNTIF(pizza_sales[[#All],[order_id]],pizza_sales[[#This Row],[order_id]])</f>
        <v>0.5</v>
      </c>
      <c r="D1259" t="s">
        <v>132</v>
      </c>
      <c r="E1259">
        <v>1</v>
      </c>
      <c r="F1259" s="1">
        <v>42013</v>
      </c>
      <c r="G1259" s="1" t="str">
        <f>TEXT(pizza_sales[[#This Row],[order_date]],"dddd")</f>
        <v>Friday</v>
      </c>
      <c r="H1259" s="2">
        <v>36526.846122685187</v>
      </c>
      <c r="I1259">
        <v>10.5</v>
      </c>
      <c r="J1259">
        <v>10.5</v>
      </c>
      <c r="K1259" t="s">
        <v>41</v>
      </c>
      <c r="L1259" t="s">
        <v>14</v>
      </c>
      <c r="M1259" t="s">
        <v>15</v>
      </c>
      <c r="N1259" t="s">
        <v>16</v>
      </c>
    </row>
    <row r="1260" spans="1:14" x14ac:dyDescent="0.3">
      <c r="A1260">
        <v>1259</v>
      </c>
      <c r="B1260">
        <v>556</v>
      </c>
      <c r="C1260">
        <f>1/COUNTIF(pizza_sales[[#All],[order_id]],pizza_sales[[#This Row],[order_id]])</f>
        <v>0.5</v>
      </c>
      <c r="D1260" t="s">
        <v>90</v>
      </c>
      <c r="E1260">
        <v>1</v>
      </c>
      <c r="F1260" s="1">
        <v>42013</v>
      </c>
      <c r="G1260" s="1" t="str">
        <f>TEXT(pizza_sales[[#This Row],[order_date]],"dddd")</f>
        <v>Friday</v>
      </c>
      <c r="H1260" s="2">
        <v>36526.849444444444</v>
      </c>
      <c r="I1260">
        <v>17.95</v>
      </c>
      <c r="J1260">
        <v>17.95</v>
      </c>
      <c r="K1260" t="s">
        <v>21</v>
      </c>
      <c r="L1260" t="s">
        <v>22</v>
      </c>
      <c r="M1260" t="s">
        <v>91</v>
      </c>
      <c r="N1260" t="s">
        <v>92</v>
      </c>
    </row>
    <row r="1261" spans="1:14" x14ac:dyDescent="0.3">
      <c r="A1261">
        <v>1260</v>
      </c>
      <c r="B1261">
        <v>556</v>
      </c>
      <c r="C1261">
        <f>1/COUNTIF(pizza_sales[[#All],[order_id]],pizza_sales[[#This Row],[order_id]])</f>
        <v>0.5</v>
      </c>
      <c r="D1261" t="s">
        <v>140</v>
      </c>
      <c r="E1261">
        <v>1</v>
      </c>
      <c r="F1261" s="1">
        <v>42013</v>
      </c>
      <c r="G1261" s="1" t="str">
        <f>TEXT(pizza_sales[[#This Row],[order_date]],"dddd")</f>
        <v>Friday</v>
      </c>
      <c r="H1261" s="2">
        <v>36526.849444444444</v>
      </c>
      <c r="I1261">
        <v>25.5</v>
      </c>
      <c r="J1261">
        <v>25.5</v>
      </c>
      <c r="K1261" t="s">
        <v>141</v>
      </c>
      <c r="L1261" t="s">
        <v>14</v>
      </c>
      <c r="M1261" t="s">
        <v>45</v>
      </c>
      <c r="N1261" t="s">
        <v>46</v>
      </c>
    </row>
    <row r="1262" spans="1:14" x14ac:dyDescent="0.3">
      <c r="A1262">
        <v>1261</v>
      </c>
      <c r="B1262">
        <v>557</v>
      </c>
      <c r="C1262">
        <f>1/COUNTIF(pizza_sales[[#All],[order_id]],pizza_sales[[#This Row],[order_id]])</f>
        <v>0.5</v>
      </c>
      <c r="D1262" t="s">
        <v>149</v>
      </c>
      <c r="E1262">
        <v>1</v>
      </c>
      <c r="F1262" s="1">
        <v>42013</v>
      </c>
      <c r="G1262" s="1" t="str">
        <f>TEXT(pizza_sales[[#This Row],[order_date]],"dddd")</f>
        <v>Friday</v>
      </c>
      <c r="H1262" s="2">
        <v>36526.85423611111</v>
      </c>
      <c r="I1262">
        <v>12.25</v>
      </c>
      <c r="J1262">
        <v>12.25</v>
      </c>
      <c r="K1262" t="s">
        <v>41</v>
      </c>
      <c r="L1262" t="s">
        <v>26</v>
      </c>
      <c r="M1262" t="s">
        <v>114</v>
      </c>
      <c r="N1262" t="s">
        <v>115</v>
      </c>
    </row>
    <row r="1263" spans="1:14" x14ac:dyDescent="0.3">
      <c r="A1263">
        <v>1262</v>
      </c>
      <c r="B1263">
        <v>557</v>
      </c>
      <c r="C1263">
        <f>1/COUNTIF(pizza_sales[[#All],[order_id]],pizza_sales[[#This Row],[order_id]])</f>
        <v>0.5</v>
      </c>
      <c r="D1263" t="s">
        <v>150</v>
      </c>
      <c r="E1263">
        <v>1</v>
      </c>
      <c r="F1263" s="1">
        <v>42013</v>
      </c>
      <c r="G1263" s="1" t="str">
        <f>TEXT(pizza_sales[[#This Row],[order_date]],"dddd")</f>
        <v>Friday</v>
      </c>
      <c r="H1263" s="2">
        <v>36526.85423611111</v>
      </c>
      <c r="I1263">
        <v>12.5</v>
      </c>
      <c r="J1263">
        <v>12.5</v>
      </c>
      <c r="K1263" t="s">
        <v>41</v>
      </c>
      <c r="L1263" t="s">
        <v>26</v>
      </c>
      <c r="M1263" t="s">
        <v>60</v>
      </c>
      <c r="N1263" t="s">
        <v>61</v>
      </c>
    </row>
    <row r="1264" spans="1:14" x14ac:dyDescent="0.3">
      <c r="A1264">
        <v>1263</v>
      </c>
      <c r="B1264">
        <v>558</v>
      </c>
      <c r="C1264">
        <f>1/COUNTIF(pizza_sales[[#All],[order_id]],pizza_sales[[#This Row],[order_id]])</f>
        <v>1</v>
      </c>
      <c r="D1264" t="s">
        <v>12</v>
      </c>
      <c r="E1264">
        <v>1</v>
      </c>
      <c r="F1264" s="1">
        <v>42013</v>
      </c>
      <c r="G1264" s="1" t="str">
        <f>TEXT(pizza_sales[[#This Row],[order_date]],"dddd")</f>
        <v>Friday</v>
      </c>
      <c r="H1264" s="2">
        <v>36526.86886574074</v>
      </c>
      <c r="I1264">
        <v>13.25</v>
      </c>
      <c r="J1264">
        <v>13.25</v>
      </c>
      <c r="K1264" t="s">
        <v>13</v>
      </c>
      <c r="L1264" t="s">
        <v>14</v>
      </c>
      <c r="M1264" t="s">
        <v>15</v>
      </c>
      <c r="N1264" t="s">
        <v>16</v>
      </c>
    </row>
    <row r="1265" spans="1:14" x14ac:dyDescent="0.3">
      <c r="A1265">
        <v>1264</v>
      </c>
      <c r="B1265">
        <v>559</v>
      </c>
      <c r="C1265">
        <f>1/COUNTIF(pizza_sales[[#All],[order_id]],pizza_sales[[#This Row],[order_id]])</f>
        <v>1</v>
      </c>
      <c r="D1265" t="s">
        <v>50</v>
      </c>
      <c r="E1265">
        <v>1</v>
      </c>
      <c r="F1265" s="1">
        <v>42013</v>
      </c>
      <c r="G1265" s="1" t="str">
        <f>TEXT(pizza_sales[[#This Row],[order_date]],"dddd")</f>
        <v>Friday</v>
      </c>
      <c r="H1265" s="2">
        <v>36526.88212962963</v>
      </c>
      <c r="I1265">
        <v>12</v>
      </c>
      <c r="J1265">
        <v>12</v>
      </c>
      <c r="K1265" t="s">
        <v>41</v>
      </c>
      <c r="L1265" t="s">
        <v>14</v>
      </c>
      <c r="M1265" t="s">
        <v>18</v>
      </c>
      <c r="N1265" t="s">
        <v>19</v>
      </c>
    </row>
    <row r="1266" spans="1:14" x14ac:dyDescent="0.3">
      <c r="A1266">
        <v>1265</v>
      </c>
      <c r="B1266">
        <v>560</v>
      </c>
      <c r="C1266">
        <f>1/COUNTIF(pizza_sales[[#All],[order_id]],pizza_sales[[#This Row],[order_id]])</f>
        <v>0.5</v>
      </c>
      <c r="D1266" t="s">
        <v>128</v>
      </c>
      <c r="E1266">
        <v>1</v>
      </c>
      <c r="F1266" s="1">
        <v>42013</v>
      </c>
      <c r="G1266" s="1" t="str">
        <f>TEXT(pizza_sales[[#This Row],[order_date]],"dddd")</f>
        <v>Friday</v>
      </c>
      <c r="H1266" s="2">
        <v>36526.884583333333</v>
      </c>
      <c r="I1266">
        <v>16</v>
      </c>
      <c r="J1266">
        <v>16</v>
      </c>
      <c r="K1266" t="s">
        <v>13</v>
      </c>
      <c r="L1266" t="s">
        <v>22</v>
      </c>
      <c r="M1266" t="s">
        <v>52</v>
      </c>
      <c r="N1266" t="s">
        <v>53</v>
      </c>
    </row>
    <row r="1267" spans="1:14" x14ac:dyDescent="0.3">
      <c r="A1267">
        <v>1266</v>
      </c>
      <c r="B1267">
        <v>560</v>
      </c>
      <c r="C1267">
        <f>1/COUNTIF(pizza_sales[[#All],[order_id]],pizza_sales[[#This Row],[order_id]])</f>
        <v>0.5</v>
      </c>
      <c r="D1267" t="s">
        <v>158</v>
      </c>
      <c r="E1267">
        <v>1</v>
      </c>
      <c r="F1267" s="1">
        <v>42013</v>
      </c>
      <c r="G1267" s="1" t="str">
        <f>TEXT(pizza_sales[[#This Row],[order_date]],"dddd")</f>
        <v>Friday</v>
      </c>
      <c r="H1267" s="2">
        <v>36526.884583333333</v>
      </c>
      <c r="I1267">
        <v>16.5</v>
      </c>
      <c r="J1267">
        <v>16.5</v>
      </c>
      <c r="K1267" t="s">
        <v>13</v>
      </c>
      <c r="L1267" t="s">
        <v>26</v>
      </c>
      <c r="M1267" t="s">
        <v>60</v>
      </c>
      <c r="N1267" t="s">
        <v>61</v>
      </c>
    </row>
    <row r="1268" spans="1:14" x14ac:dyDescent="0.3">
      <c r="A1268">
        <v>1267</v>
      </c>
      <c r="B1268">
        <v>561</v>
      </c>
      <c r="C1268">
        <f>1/COUNTIF(pizza_sales[[#All],[order_id]],pizza_sales[[#This Row],[order_id]])</f>
        <v>1</v>
      </c>
      <c r="D1268" t="s">
        <v>47</v>
      </c>
      <c r="E1268">
        <v>1</v>
      </c>
      <c r="F1268" s="1">
        <v>42013</v>
      </c>
      <c r="G1268" s="1" t="str">
        <f>TEXT(pizza_sales[[#This Row],[order_date]],"dddd")</f>
        <v>Friday</v>
      </c>
      <c r="H1268" s="2">
        <v>36526.90828703704</v>
      </c>
      <c r="I1268">
        <v>12.5</v>
      </c>
      <c r="J1268">
        <v>12.5</v>
      </c>
      <c r="K1268" t="s">
        <v>41</v>
      </c>
      <c r="L1268" t="s">
        <v>26</v>
      </c>
      <c r="M1268" t="s">
        <v>48</v>
      </c>
      <c r="N1268" t="s">
        <v>49</v>
      </c>
    </row>
    <row r="1269" spans="1:14" x14ac:dyDescent="0.3">
      <c r="A1269">
        <v>1268</v>
      </c>
      <c r="B1269">
        <v>562</v>
      </c>
      <c r="C1269">
        <f>1/COUNTIF(pizza_sales[[#All],[order_id]],pizza_sales[[#This Row],[order_id]])</f>
        <v>1</v>
      </c>
      <c r="D1269" t="s">
        <v>134</v>
      </c>
      <c r="E1269">
        <v>1</v>
      </c>
      <c r="F1269" s="1">
        <v>42013</v>
      </c>
      <c r="G1269" s="1" t="str">
        <f>TEXT(pizza_sales[[#This Row],[order_date]],"dddd")</f>
        <v>Friday</v>
      </c>
      <c r="H1269" s="2">
        <v>36526.919502314813</v>
      </c>
      <c r="I1269">
        <v>16.75</v>
      </c>
      <c r="J1269">
        <v>16.75</v>
      </c>
      <c r="K1269" t="s">
        <v>13</v>
      </c>
      <c r="L1269" t="s">
        <v>33</v>
      </c>
      <c r="M1269" t="s">
        <v>124</v>
      </c>
      <c r="N1269" t="s">
        <v>125</v>
      </c>
    </row>
    <row r="1270" spans="1:14" x14ac:dyDescent="0.3">
      <c r="A1270">
        <v>1269</v>
      </c>
      <c r="B1270">
        <v>563</v>
      </c>
      <c r="C1270">
        <f>1/COUNTIF(pizza_sales[[#All],[order_id]],pizza_sales[[#This Row],[order_id]])</f>
        <v>0.5</v>
      </c>
      <c r="D1270" t="s">
        <v>68</v>
      </c>
      <c r="E1270">
        <v>1</v>
      </c>
      <c r="F1270" s="1">
        <v>42013</v>
      </c>
      <c r="G1270" s="1" t="str">
        <f>TEXT(pizza_sales[[#This Row],[order_date]],"dddd")</f>
        <v>Friday</v>
      </c>
      <c r="H1270" s="2">
        <v>36526.929895833331</v>
      </c>
      <c r="I1270">
        <v>20.25</v>
      </c>
      <c r="J1270">
        <v>20.25</v>
      </c>
      <c r="K1270" t="s">
        <v>21</v>
      </c>
      <c r="L1270" t="s">
        <v>22</v>
      </c>
      <c r="M1270" t="s">
        <v>30</v>
      </c>
      <c r="N1270" t="s">
        <v>31</v>
      </c>
    </row>
    <row r="1271" spans="1:14" x14ac:dyDescent="0.3">
      <c r="A1271">
        <v>1270</v>
      </c>
      <c r="B1271">
        <v>563</v>
      </c>
      <c r="C1271">
        <f>1/COUNTIF(pizza_sales[[#All],[order_id]],pizza_sales[[#This Row],[order_id]])</f>
        <v>0.5</v>
      </c>
      <c r="D1271" t="s">
        <v>65</v>
      </c>
      <c r="E1271">
        <v>1</v>
      </c>
      <c r="F1271" s="1">
        <v>42013</v>
      </c>
      <c r="G1271" s="1" t="str">
        <f>TEXT(pizza_sales[[#This Row],[order_date]],"dddd")</f>
        <v>Friday</v>
      </c>
      <c r="H1271" s="2">
        <v>36526.929895833331</v>
      </c>
      <c r="I1271">
        <v>12</v>
      </c>
      <c r="J1271">
        <v>12</v>
      </c>
      <c r="K1271" t="s">
        <v>41</v>
      </c>
      <c r="L1271" t="s">
        <v>22</v>
      </c>
      <c r="M1271" t="s">
        <v>66</v>
      </c>
      <c r="N1271" t="s">
        <v>67</v>
      </c>
    </row>
    <row r="1272" spans="1:14" x14ac:dyDescent="0.3">
      <c r="A1272">
        <v>1271</v>
      </c>
      <c r="B1272">
        <v>564</v>
      </c>
      <c r="C1272">
        <f>1/COUNTIF(pizza_sales[[#All],[order_id]],pizza_sales[[#This Row],[order_id]])</f>
        <v>0.33333333333333331</v>
      </c>
      <c r="D1272" t="s">
        <v>161</v>
      </c>
      <c r="E1272">
        <v>1</v>
      </c>
      <c r="F1272" s="1">
        <v>42013</v>
      </c>
      <c r="G1272" s="1" t="str">
        <f>TEXT(pizza_sales[[#This Row],[order_date]],"dddd")</f>
        <v>Friday</v>
      </c>
      <c r="H1272" s="2">
        <v>36526.939259259256</v>
      </c>
      <c r="I1272">
        <v>12</v>
      </c>
      <c r="J1272">
        <v>12</v>
      </c>
      <c r="K1272" t="s">
        <v>41</v>
      </c>
      <c r="L1272" t="s">
        <v>22</v>
      </c>
      <c r="M1272" t="s">
        <v>104</v>
      </c>
      <c r="N1272" t="s">
        <v>105</v>
      </c>
    </row>
    <row r="1273" spans="1:14" x14ac:dyDescent="0.3">
      <c r="A1273">
        <v>1272</v>
      </c>
      <c r="B1273">
        <v>564</v>
      </c>
      <c r="C1273">
        <f>1/COUNTIF(pizza_sales[[#All],[order_id]],pizza_sales[[#This Row],[order_id]])</f>
        <v>0.33333333333333331</v>
      </c>
      <c r="D1273" t="s">
        <v>119</v>
      </c>
      <c r="E1273">
        <v>1</v>
      </c>
      <c r="F1273" s="1">
        <v>42013</v>
      </c>
      <c r="G1273" s="1" t="str">
        <f>TEXT(pizza_sales[[#This Row],[order_date]],"dddd")</f>
        <v>Friday</v>
      </c>
      <c r="H1273" s="2">
        <v>36526.939259259256</v>
      </c>
      <c r="I1273">
        <v>12.5</v>
      </c>
      <c r="J1273">
        <v>12.5</v>
      </c>
      <c r="K1273" t="s">
        <v>13</v>
      </c>
      <c r="L1273" t="s">
        <v>14</v>
      </c>
      <c r="M1273" t="s">
        <v>78</v>
      </c>
      <c r="N1273" t="s">
        <v>79</v>
      </c>
    </row>
    <row r="1274" spans="1:14" x14ac:dyDescent="0.3">
      <c r="A1274">
        <v>1273</v>
      </c>
      <c r="B1274">
        <v>564</v>
      </c>
      <c r="C1274">
        <f>1/COUNTIF(pizza_sales[[#All],[order_id]],pizza_sales[[#This Row],[order_id]])</f>
        <v>0.33333333333333331</v>
      </c>
      <c r="D1274" t="s">
        <v>152</v>
      </c>
      <c r="E1274">
        <v>1</v>
      </c>
      <c r="F1274" s="1">
        <v>42013</v>
      </c>
      <c r="G1274" s="1" t="str">
        <f>TEXT(pizza_sales[[#This Row],[order_date]],"dddd")</f>
        <v>Friday</v>
      </c>
      <c r="H1274" s="2">
        <v>36526.939259259256</v>
      </c>
      <c r="I1274">
        <v>20.75</v>
      </c>
      <c r="J1274">
        <v>20.75</v>
      </c>
      <c r="K1274" t="s">
        <v>21</v>
      </c>
      <c r="L1274" t="s">
        <v>26</v>
      </c>
      <c r="M1274" t="s">
        <v>48</v>
      </c>
      <c r="N1274" t="s">
        <v>49</v>
      </c>
    </row>
    <row r="1275" spans="1:14" x14ac:dyDescent="0.3">
      <c r="A1275">
        <v>1274</v>
      </c>
      <c r="B1275">
        <v>565</v>
      </c>
      <c r="C1275">
        <f>1/COUNTIF(pizza_sales[[#All],[order_id]],pizza_sales[[#This Row],[order_id]])</f>
        <v>1</v>
      </c>
      <c r="D1275" t="s">
        <v>100</v>
      </c>
      <c r="E1275">
        <v>1</v>
      </c>
      <c r="F1275" s="1">
        <v>42014</v>
      </c>
      <c r="G1275" s="1" t="str">
        <f>TEXT(pizza_sales[[#This Row],[order_date]],"dddd")</f>
        <v>Saturday</v>
      </c>
      <c r="H1275" s="2">
        <v>36526.5078587963</v>
      </c>
      <c r="I1275">
        <v>12.75</v>
      </c>
      <c r="J1275">
        <v>12.75</v>
      </c>
      <c r="K1275" t="s">
        <v>41</v>
      </c>
      <c r="L1275" t="s">
        <v>22</v>
      </c>
      <c r="M1275" t="s">
        <v>101</v>
      </c>
      <c r="N1275" t="s">
        <v>102</v>
      </c>
    </row>
    <row r="1276" spans="1:14" x14ac:dyDescent="0.3">
      <c r="A1276">
        <v>1275</v>
      </c>
      <c r="B1276">
        <v>566</v>
      </c>
      <c r="C1276">
        <f>1/COUNTIF(pizza_sales[[#All],[order_id]],pizza_sales[[#This Row],[order_id]])</f>
        <v>1</v>
      </c>
      <c r="D1276" t="s">
        <v>152</v>
      </c>
      <c r="E1276">
        <v>1</v>
      </c>
      <c r="F1276" s="1">
        <v>42014</v>
      </c>
      <c r="G1276" s="1" t="str">
        <f>TEXT(pizza_sales[[#This Row],[order_date]],"dddd")</f>
        <v>Saturday</v>
      </c>
      <c r="H1276" s="2">
        <v>36526.514803240738</v>
      </c>
      <c r="I1276">
        <v>20.75</v>
      </c>
      <c r="J1276">
        <v>20.75</v>
      </c>
      <c r="K1276" t="s">
        <v>21</v>
      </c>
      <c r="L1276" t="s">
        <v>26</v>
      </c>
      <c r="M1276" t="s">
        <v>48</v>
      </c>
      <c r="N1276" t="s">
        <v>49</v>
      </c>
    </row>
    <row r="1277" spans="1:14" x14ac:dyDescent="0.3">
      <c r="A1277">
        <v>1276</v>
      </c>
      <c r="B1277">
        <v>567</v>
      </c>
      <c r="C1277">
        <f>1/COUNTIF(pizza_sales[[#All],[order_id]],pizza_sales[[#This Row],[order_id]])</f>
        <v>0.1</v>
      </c>
      <c r="D1277" t="s">
        <v>72</v>
      </c>
      <c r="E1277">
        <v>1</v>
      </c>
      <c r="F1277" s="1">
        <v>42014</v>
      </c>
      <c r="G1277" s="1" t="str">
        <f>TEXT(pizza_sales[[#This Row],[order_date]],"dddd")</f>
        <v>Saturday</v>
      </c>
      <c r="H1277" s="2">
        <v>36526.519293981481</v>
      </c>
      <c r="I1277">
        <v>20.75</v>
      </c>
      <c r="J1277">
        <v>20.75</v>
      </c>
      <c r="K1277" t="s">
        <v>21</v>
      </c>
      <c r="L1277" t="s">
        <v>33</v>
      </c>
      <c r="M1277" t="s">
        <v>42</v>
      </c>
      <c r="N1277" t="s">
        <v>43</v>
      </c>
    </row>
    <row r="1278" spans="1:14" x14ac:dyDescent="0.3">
      <c r="A1278">
        <v>1277</v>
      </c>
      <c r="B1278">
        <v>567</v>
      </c>
      <c r="C1278">
        <f>1/COUNTIF(pizza_sales[[#All],[order_id]],pizza_sales[[#This Row],[order_id]])</f>
        <v>0.1</v>
      </c>
      <c r="D1278" t="s">
        <v>20</v>
      </c>
      <c r="E1278">
        <v>2</v>
      </c>
      <c r="F1278" s="1">
        <v>42014</v>
      </c>
      <c r="G1278" s="1" t="str">
        <f>TEXT(pizza_sales[[#This Row],[order_date]],"dddd")</f>
        <v>Saturday</v>
      </c>
      <c r="H1278" s="2">
        <v>36526.519293981481</v>
      </c>
      <c r="I1278">
        <v>18.5</v>
      </c>
      <c r="J1278">
        <v>37</v>
      </c>
      <c r="K1278" t="s">
        <v>21</v>
      </c>
      <c r="L1278" t="s">
        <v>22</v>
      </c>
      <c r="M1278" t="s">
        <v>23</v>
      </c>
      <c r="N1278" t="s">
        <v>24</v>
      </c>
    </row>
    <row r="1279" spans="1:14" x14ac:dyDescent="0.3">
      <c r="A1279">
        <v>1278</v>
      </c>
      <c r="B1279">
        <v>567</v>
      </c>
      <c r="C1279">
        <f>1/COUNTIF(pizza_sales[[#All],[order_id]],pizza_sales[[#This Row],[order_id]])</f>
        <v>0.1</v>
      </c>
      <c r="D1279" t="s">
        <v>99</v>
      </c>
      <c r="E1279">
        <v>1</v>
      </c>
      <c r="F1279" s="1">
        <v>42014</v>
      </c>
      <c r="G1279" s="1" t="str">
        <f>TEXT(pizza_sales[[#This Row],[order_date]],"dddd")</f>
        <v>Saturday</v>
      </c>
      <c r="H1279" s="2">
        <v>36526.519293981481</v>
      </c>
      <c r="I1279">
        <v>14.75</v>
      </c>
      <c r="J1279">
        <v>14.75</v>
      </c>
      <c r="K1279" t="s">
        <v>13</v>
      </c>
      <c r="L1279" t="s">
        <v>22</v>
      </c>
      <c r="M1279" t="s">
        <v>91</v>
      </c>
      <c r="N1279" t="s">
        <v>92</v>
      </c>
    </row>
    <row r="1280" spans="1:14" x14ac:dyDescent="0.3">
      <c r="A1280">
        <v>1279</v>
      </c>
      <c r="B1280">
        <v>567</v>
      </c>
      <c r="C1280">
        <f>1/COUNTIF(pizza_sales[[#All],[order_id]],pizza_sales[[#This Row],[order_id]])</f>
        <v>0.1</v>
      </c>
      <c r="D1280" t="s">
        <v>119</v>
      </c>
      <c r="E1280">
        <v>1</v>
      </c>
      <c r="F1280" s="1">
        <v>42014</v>
      </c>
      <c r="G1280" s="1" t="str">
        <f>TEXT(pizza_sales[[#This Row],[order_date]],"dddd")</f>
        <v>Saturday</v>
      </c>
      <c r="H1280" s="2">
        <v>36526.519293981481</v>
      </c>
      <c r="I1280">
        <v>12.5</v>
      </c>
      <c r="J1280">
        <v>12.5</v>
      </c>
      <c r="K1280" t="s">
        <v>13</v>
      </c>
      <c r="L1280" t="s">
        <v>14</v>
      </c>
      <c r="M1280" t="s">
        <v>78</v>
      </c>
      <c r="N1280" t="s">
        <v>79</v>
      </c>
    </row>
    <row r="1281" spans="1:14" x14ac:dyDescent="0.3">
      <c r="A1281">
        <v>1280</v>
      </c>
      <c r="B1281">
        <v>567</v>
      </c>
      <c r="C1281">
        <f>1/COUNTIF(pizza_sales[[#All],[order_id]],pizza_sales[[#This Row],[order_id]])</f>
        <v>0.1</v>
      </c>
      <c r="D1281" t="s">
        <v>121</v>
      </c>
      <c r="E1281">
        <v>1</v>
      </c>
      <c r="F1281" s="1">
        <v>42014</v>
      </c>
      <c r="G1281" s="1" t="str">
        <f>TEXT(pizza_sales[[#This Row],[order_date]],"dddd")</f>
        <v>Saturday</v>
      </c>
      <c r="H1281" s="2">
        <v>36526.519293981481</v>
      </c>
      <c r="I1281">
        <v>16.25</v>
      </c>
      <c r="J1281">
        <v>16.25</v>
      </c>
      <c r="K1281" t="s">
        <v>13</v>
      </c>
      <c r="L1281" t="s">
        <v>26</v>
      </c>
      <c r="M1281" t="s">
        <v>114</v>
      </c>
      <c r="N1281" t="s">
        <v>115</v>
      </c>
    </row>
    <row r="1282" spans="1:14" x14ac:dyDescent="0.3">
      <c r="A1282">
        <v>1281</v>
      </c>
      <c r="B1282">
        <v>567</v>
      </c>
      <c r="C1282">
        <f>1/COUNTIF(pizza_sales[[#All],[order_id]],pizza_sales[[#This Row],[order_id]])</f>
        <v>0.1</v>
      </c>
      <c r="D1282" t="s">
        <v>149</v>
      </c>
      <c r="E1282">
        <v>1</v>
      </c>
      <c r="F1282" s="1">
        <v>42014</v>
      </c>
      <c r="G1282" s="1" t="str">
        <f>TEXT(pizza_sales[[#This Row],[order_date]],"dddd")</f>
        <v>Saturday</v>
      </c>
      <c r="H1282" s="2">
        <v>36526.519293981481</v>
      </c>
      <c r="I1282">
        <v>12.25</v>
      </c>
      <c r="J1282">
        <v>12.25</v>
      </c>
      <c r="K1282" t="s">
        <v>41</v>
      </c>
      <c r="L1282" t="s">
        <v>26</v>
      </c>
      <c r="M1282" t="s">
        <v>114</v>
      </c>
      <c r="N1282" t="s">
        <v>115</v>
      </c>
    </row>
    <row r="1283" spans="1:14" x14ac:dyDescent="0.3">
      <c r="A1283">
        <v>1282</v>
      </c>
      <c r="B1283">
        <v>567</v>
      </c>
      <c r="C1283">
        <f>1/COUNTIF(pizza_sales[[#All],[order_id]],pizza_sales[[#This Row],[order_id]])</f>
        <v>0.1</v>
      </c>
      <c r="D1283" t="s">
        <v>87</v>
      </c>
      <c r="E1283">
        <v>1</v>
      </c>
      <c r="F1283" s="1">
        <v>42014</v>
      </c>
      <c r="G1283" s="1" t="str">
        <f>TEXT(pizza_sales[[#This Row],[order_date]],"dddd")</f>
        <v>Saturday</v>
      </c>
      <c r="H1283" s="2">
        <v>36526.519293981481</v>
      </c>
      <c r="I1283">
        <v>20.75</v>
      </c>
      <c r="J1283">
        <v>20.75</v>
      </c>
      <c r="K1283" t="s">
        <v>21</v>
      </c>
      <c r="L1283" t="s">
        <v>26</v>
      </c>
      <c r="M1283" t="s">
        <v>88</v>
      </c>
      <c r="N1283" t="s">
        <v>89</v>
      </c>
    </row>
    <row r="1284" spans="1:14" x14ac:dyDescent="0.3">
      <c r="A1284">
        <v>1283</v>
      </c>
      <c r="B1284">
        <v>567</v>
      </c>
      <c r="C1284">
        <f>1/COUNTIF(pizza_sales[[#All],[order_id]],pizza_sales[[#This Row],[order_id]])</f>
        <v>0.1</v>
      </c>
      <c r="D1284" t="s">
        <v>59</v>
      </c>
      <c r="E1284">
        <v>1</v>
      </c>
      <c r="F1284" s="1">
        <v>42014</v>
      </c>
      <c r="G1284" s="1" t="str">
        <f>TEXT(pizza_sales[[#This Row],[order_date]],"dddd")</f>
        <v>Saturday</v>
      </c>
      <c r="H1284" s="2">
        <v>36526.519293981481</v>
      </c>
      <c r="I1284">
        <v>20.75</v>
      </c>
      <c r="J1284">
        <v>20.75</v>
      </c>
      <c r="K1284" t="s">
        <v>21</v>
      </c>
      <c r="L1284" t="s">
        <v>26</v>
      </c>
      <c r="M1284" t="s">
        <v>60</v>
      </c>
      <c r="N1284" t="s">
        <v>61</v>
      </c>
    </row>
    <row r="1285" spans="1:14" x14ac:dyDescent="0.3">
      <c r="A1285">
        <v>1284</v>
      </c>
      <c r="B1285">
        <v>567</v>
      </c>
      <c r="C1285">
        <f>1/COUNTIF(pizza_sales[[#All],[order_id]],pizza_sales[[#This Row],[order_id]])</f>
        <v>0.1</v>
      </c>
      <c r="D1285" t="s">
        <v>144</v>
      </c>
      <c r="E1285">
        <v>1</v>
      </c>
      <c r="F1285" s="1">
        <v>42014</v>
      </c>
      <c r="G1285" s="1" t="str">
        <f>TEXT(pizza_sales[[#This Row],[order_date]],"dddd")</f>
        <v>Saturday</v>
      </c>
      <c r="H1285" s="2">
        <v>36526.519293981481</v>
      </c>
      <c r="I1285">
        <v>16.5</v>
      </c>
      <c r="J1285">
        <v>16.5</v>
      </c>
      <c r="K1285" t="s">
        <v>13</v>
      </c>
      <c r="L1285" t="s">
        <v>26</v>
      </c>
      <c r="M1285" t="s">
        <v>48</v>
      </c>
      <c r="N1285" t="s">
        <v>49</v>
      </c>
    </row>
    <row r="1286" spans="1:14" x14ac:dyDescent="0.3">
      <c r="A1286">
        <v>1285</v>
      </c>
      <c r="B1286">
        <v>567</v>
      </c>
      <c r="C1286">
        <f>1/COUNTIF(pizza_sales[[#All],[order_id]],pizza_sales[[#This Row],[order_id]])</f>
        <v>0.1</v>
      </c>
      <c r="D1286" t="s">
        <v>151</v>
      </c>
      <c r="E1286">
        <v>1</v>
      </c>
      <c r="F1286" s="1">
        <v>42014</v>
      </c>
      <c r="G1286" s="1" t="str">
        <f>TEXT(pizza_sales[[#This Row],[order_date]],"dddd")</f>
        <v>Saturday</v>
      </c>
      <c r="H1286" s="2">
        <v>36526.519293981481</v>
      </c>
      <c r="I1286">
        <v>12.75</v>
      </c>
      <c r="J1286">
        <v>12.75</v>
      </c>
      <c r="K1286" t="s">
        <v>41</v>
      </c>
      <c r="L1286" t="s">
        <v>33</v>
      </c>
      <c r="M1286" t="s">
        <v>34</v>
      </c>
      <c r="N1286" t="s">
        <v>35</v>
      </c>
    </row>
    <row r="1287" spans="1:14" x14ac:dyDescent="0.3">
      <c r="A1287">
        <v>1286</v>
      </c>
      <c r="B1287">
        <v>568</v>
      </c>
      <c r="C1287">
        <f>1/COUNTIF(pizza_sales[[#All],[order_id]],pizza_sales[[#This Row],[order_id]])</f>
        <v>1</v>
      </c>
      <c r="D1287" t="s">
        <v>68</v>
      </c>
      <c r="E1287">
        <v>1</v>
      </c>
      <c r="F1287" s="1">
        <v>42014</v>
      </c>
      <c r="G1287" s="1" t="str">
        <f>TEXT(pizza_sales[[#This Row],[order_date]],"dddd")</f>
        <v>Saturday</v>
      </c>
      <c r="H1287" s="2">
        <v>36526.520057870373</v>
      </c>
      <c r="I1287">
        <v>20.25</v>
      </c>
      <c r="J1287">
        <v>20.25</v>
      </c>
      <c r="K1287" t="s">
        <v>21</v>
      </c>
      <c r="L1287" t="s">
        <v>22</v>
      </c>
      <c r="M1287" t="s">
        <v>30</v>
      </c>
      <c r="N1287" t="s">
        <v>31</v>
      </c>
    </row>
    <row r="1288" spans="1:14" x14ac:dyDescent="0.3">
      <c r="A1288">
        <v>1287</v>
      </c>
      <c r="B1288">
        <v>569</v>
      </c>
      <c r="C1288">
        <f>1/COUNTIF(pizza_sales[[#All],[order_id]],pizza_sales[[#This Row],[order_id]])</f>
        <v>0.33333333333333331</v>
      </c>
      <c r="D1288" t="s">
        <v>40</v>
      </c>
      <c r="E1288">
        <v>1</v>
      </c>
      <c r="F1288" s="1">
        <v>42014</v>
      </c>
      <c r="G1288" s="1" t="str">
        <f>TEXT(pizza_sales[[#This Row],[order_date]],"dddd")</f>
        <v>Saturday</v>
      </c>
      <c r="H1288" s="2">
        <v>36526.525810185187</v>
      </c>
      <c r="I1288">
        <v>12.75</v>
      </c>
      <c r="J1288">
        <v>12.75</v>
      </c>
      <c r="K1288" t="s">
        <v>41</v>
      </c>
      <c r="L1288" t="s">
        <v>33</v>
      </c>
      <c r="M1288" t="s">
        <v>42</v>
      </c>
      <c r="N1288" t="s">
        <v>43</v>
      </c>
    </row>
    <row r="1289" spans="1:14" x14ac:dyDescent="0.3">
      <c r="A1289">
        <v>1288</v>
      </c>
      <c r="B1289">
        <v>569</v>
      </c>
      <c r="C1289">
        <f>1/COUNTIF(pizza_sales[[#All],[order_id]],pizza_sales[[#This Row],[order_id]])</f>
        <v>0.33333333333333331</v>
      </c>
      <c r="D1289" t="s">
        <v>134</v>
      </c>
      <c r="E1289">
        <v>1</v>
      </c>
      <c r="F1289" s="1">
        <v>42014</v>
      </c>
      <c r="G1289" s="1" t="str">
        <f>TEXT(pizza_sales[[#This Row],[order_date]],"dddd")</f>
        <v>Saturday</v>
      </c>
      <c r="H1289" s="2">
        <v>36526.525810185187</v>
      </c>
      <c r="I1289">
        <v>16.75</v>
      </c>
      <c r="J1289">
        <v>16.75</v>
      </c>
      <c r="K1289" t="s">
        <v>13</v>
      </c>
      <c r="L1289" t="s">
        <v>33</v>
      </c>
      <c r="M1289" t="s">
        <v>124</v>
      </c>
      <c r="N1289" t="s">
        <v>125</v>
      </c>
    </row>
    <row r="1290" spans="1:14" x14ac:dyDescent="0.3">
      <c r="A1290">
        <v>1289</v>
      </c>
      <c r="B1290">
        <v>569</v>
      </c>
      <c r="C1290">
        <f>1/COUNTIF(pizza_sales[[#All],[order_id]],pizza_sales[[#This Row],[order_id]])</f>
        <v>0.33333333333333331</v>
      </c>
      <c r="D1290" t="s">
        <v>50</v>
      </c>
      <c r="E1290">
        <v>1</v>
      </c>
      <c r="F1290" s="1">
        <v>42014</v>
      </c>
      <c r="G1290" s="1" t="str">
        <f>TEXT(pizza_sales[[#This Row],[order_date]],"dddd")</f>
        <v>Saturday</v>
      </c>
      <c r="H1290" s="2">
        <v>36526.525810185187</v>
      </c>
      <c r="I1290">
        <v>12</v>
      </c>
      <c r="J1290">
        <v>12</v>
      </c>
      <c r="K1290" t="s">
        <v>41</v>
      </c>
      <c r="L1290" t="s">
        <v>14</v>
      </c>
      <c r="M1290" t="s">
        <v>18</v>
      </c>
      <c r="N1290" t="s">
        <v>19</v>
      </c>
    </row>
    <row r="1291" spans="1:14" x14ac:dyDescent="0.3">
      <c r="A1291">
        <v>1290</v>
      </c>
      <c r="B1291">
        <v>570</v>
      </c>
      <c r="C1291">
        <f>1/COUNTIF(pizza_sales[[#All],[order_id]],pizza_sales[[#This Row],[order_id]])</f>
        <v>0.5</v>
      </c>
      <c r="D1291" t="s">
        <v>128</v>
      </c>
      <c r="E1291">
        <v>1</v>
      </c>
      <c r="F1291" s="1">
        <v>42014</v>
      </c>
      <c r="G1291" s="1" t="str">
        <f>TEXT(pizza_sales[[#This Row],[order_date]],"dddd")</f>
        <v>Saturday</v>
      </c>
      <c r="H1291" s="2">
        <v>36526.551377314812</v>
      </c>
      <c r="I1291">
        <v>16</v>
      </c>
      <c r="J1291">
        <v>16</v>
      </c>
      <c r="K1291" t="s">
        <v>13</v>
      </c>
      <c r="L1291" t="s">
        <v>22</v>
      </c>
      <c r="M1291" t="s">
        <v>52</v>
      </c>
      <c r="N1291" t="s">
        <v>53</v>
      </c>
    </row>
    <row r="1292" spans="1:14" x14ac:dyDescent="0.3">
      <c r="A1292">
        <v>1291</v>
      </c>
      <c r="B1292">
        <v>570</v>
      </c>
      <c r="C1292">
        <f>1/COUNTIF(pizza_sales[[#All],[order_id]],pizza_sales[[#This Row],[order_id]])</f>
        <v>0.5</v>
      </c>
      <c r="D1292" t="s">
        <v>69</v>
      </c>
      <c r="E1292">
        <v>1</v>
      </c>
      <c r="F1292" s="1">
        <v>42014</v>
      </c>
      <c r="G1292" s="1" t="str">
        <f>TEXT(pizza_sales[[#This Row],[order_date]],"dddd")</f>
        <v>Saturday</v>
      </c>
      <c r="H1292" s="2">
        <v>36526.551377314812</v>
      </c>
      <c r="I1292">
        <v>20.75</v>
      </c>
      <c r="J1292">
        <v>20.75</v>
      </c>
      <c r="K1292" t="s">
        <v>21</v>
      </c>
      <c r="L1292" t="s">
        <v>33</v>
      </c>
      <c r="M1292" t="s">
        <v>70</v>
      </c>
      <c r="N1292" t="s">
        <v>71</v>
      </c>
    </row>
    <row r="1293" spans="1:14" x14ac:dyDescent="0.3">
      <c r="A1293">
        <v>1292</v>
      </c>
      <c r="B1293">
        <v>571</v>
      </c>
      <c r="C1293">
        <f>1/COUNTIF(pizza_sales[[#All],[order_id]],pizza_sales[[#This Row],[order_id]])</f>
        <v>1</v>
      </c>
      <c r="D1293" t="s">
        <v>84</v>
      </c>
      <c r="E1293">
        <v>1</v>
      </c>
      <c r="F1293" s="1">
        <v>42014</v>
      </c>
      <c r="G1293" s="1" t="str">
        <f>TEXT(pizza_sales[[#This Row],[order_date]],"dddd")</f>
        <v>Saturday</v>
      </c>
      <c r="H1293" s="2">
        <v>36526.551932870374</v>
      </c>
      <c r="I1293">
        <v>12</v>
      </c>
      <c r="J1293">
        <v>12</v>
      </c>
      <c r="K1293" t="s">
        <v>41</v>
      </c>
      <c r="L1293" t="s">
        <v>14</v>
      </c>
      <c r="M1293" t="s">
        <v>85</v>
      </c>
      <c r="N1293" t="s">
        <v>86</v>
      </c>
    </row>
    <row r="1294" spans="1:14" x14ac:dyDescent="0.3">
      <c r="A1294">
        <v>1293</v>
      </c>
      <c r="B1294">
        <v>572</v>
      </c>
      <c r="C1294">
        <f>1/COUNTIF(pizza_sales[[#All],[order_id]],pizza_sales[[#This Row],[order_id]])</f>
        <v>1</v>
      </c>
      <c r="D1294" t="s">
        <v>147</v>
      </c>
      <c r="E1294">
        <v>1</v>
      </c>
      <c r="F1294" s="1">
        <v>42014</v>
      </c>
      <c r="G1294" s="1" t="str">
        <f>TEXT(pizza_sales[[#This Row],[order_date]],"dddd")</f>
        <v>Saturday</v>
      </c>
      <c r="H1294" s="2">
        <v>36526.552453703705</v>
      </c>
      <c r="I1294">
        <v>16.75</v>
      </c>
      <c r="J1294">
        <v>16.75</v>
      </c>
      <c r="K1294" t="s">
        <v>13</v>
      </c>
      <c r="L1294" t="s">
        <v>33</v>
      </c>
      <c r="M1294" t="s">
        <v>70</v>
      </c>
      <c r="N1294" t="s">
        <v>71</v>
      </c>
    </row>
    <row r="1295" spans="1:14" x14ac:dyDescent="0.3">
      <c r="A1295">
        <v>1294</v>
      </c>
      <c r="B1295">
        <v>573</v>
      </c>
      <c r="C1295">
        <f>1/COUNTIF(pizza_sales[[#All],[order_id]],pizza_sales[[#This Row],[order_id]])</f>
        <v>0.5</v>
      </c>
      <c r="D1295" t="s">
        <v>17</v>
      </c>
      <c r="E1295">
        <v>1</v>
      </c>
      <c r="F1295" s="1">
        <v>42014</v>
      </c>
      <c r="G1295" s="1" t="str">
        <f>TEXT(pizza_sales[[#This Row],[order_date]],"dddd")</f>
        <v>Saturday</v>
      </c>
      <c r="H1295" s="2">
        <v>36526.569131944445</v>
      </c>
      <c r="I1295">
        <v>16</v>
      </c>
      <c r="J1295">
        <v>16</v>
      </c>
      <c r="K1295" t="s">
        <v>13</v>
      </c>
      <c r="L1295" t="s">
        <v>14</v>
      </c>
      <c r="M1295" t="s">
        <v>18</v>
      </c>
      <c r="N1295" t="s">
        <v>19</v>
      </c>
    </row>
    <row r="1296" spans="1:14" x14ac:dyDescent="0.3">
      <c r="A1296">
        <v>1295</v>
      </c>
      <c r="B1296">
        <v>573</v>
      </c>
      <c r="C1296">
        <f>1/COUNTIF(pizza_sales[[#All],[order_id]],pizza_sales[[#This Row],[order_id]])</f>
        <v>0.5</v>
      </c>
      <c r="D1296" t="s">
        <v>20</v>
      </c>
      <c r="E1296">
        <v>1</v>
      </c>
      <c r="F1296" s="1">
        <v>42014</v>
      </c>
      <c r="G1296" s="1" t="str">
        <f>TEXT(pizza_sales[[#This Row],[order_date]],"dddd")</f>
        <v>Saturday</v>
      </c>
      <c r="H1296" s="2">
        <v>36526.569131944445</v>
      </c>
      <c r="I1296">
        <v>18.5</v>
      </c>
      <c r="J1296">
        <v>18.5</v>
      </c>
      <c r="K1296" t="s">
        <v>21</v>
      </c>
      <c r="L1296" t="s">
        <v>22</v>
      </c>
      <c r="M1296" t="s">
        <v>23</v>
      </c>
      <c r="N1296" t="s">
        <v>24</v>
      </c>
    </row>
    <row r="1297" spans="1:14" x14ac:dyDescent="0.3">
      <c r="A1297">
        <v>1296</v>
      </c>
      <c r="B1297">
        <v>574</v>
      </c>
      <c r="C1297">
        <f>1/COUNTIF(pizza_sales[[#All],[order_id]],pizza_sales[[#This Row],[order_id]])</f>
        <v>1</v>
      </c>
      <c r="D1297" t="s">
        <v>159</v>
      </c>
      <c r="E1297">
        <v>1</v>
      </c>
      <c r="F1297" s="1">
        <v>42014</v>
      </c>
      <c r="G1297" s="1" t="str">
        <f>TEXT(pizza_sales[[#This Row],[order_date]],"dddd")</f>
        <v>Saturday</v>
      </c>
      <c r="H1297" s="2">
        <v>36526.570069444446</v>
      </c>
      <c r="I1297">
        <v>16.75</v>
      </c>
      <c r="J1297">
        <v>16.75</v>
      </c>
      <c r="K1297" t="s">
        <v>13</v>
      </c>
      <c r="L1297" t="s">
        <v>22</v>
      </c>
      <c r="M1297" t="s">
        <v>101</v>
      </c>
      <c r="N1297" t="s">
        <v>102</v>
      </c>
    </row>
    <row r="1298" spans="1:14" x14ac:dyDescent="0.3">
      <c r="A1298">
        <v>1297</v>
      </c>
      <c r="B1298">
        <v>575</v>
      </c>
      <c r="C1298">
        <f>1/COUNTIF(pizza_sales[[#All],[order_id]],pizza_sales[[#This Row],[order_id]])</f>
        <v>0.25</v>
      </c>
      <c r="D1298" t="s">
        <v>138</v>
      </c>
      <c r="E1298">
        <v>1</v>
      </c>
      <c r="F1298" s="1">
        <v>42014</v>
      </c>
      <c r="G1298" s="1" t="str">
        <f>TEXT(pizza_sales[[#This Row],[order_date]],"dddd")</f>
        <v>Saturday</v>
      </c>
      <c r="H1298" s="2">
        <v>36526.570185185185</v>
      </c>
      <c r="I1298">
        <v>20.5</v>
      </c>
      <c r="J1298">
        <v>20.5</v>
      </c>
      <c r="K1298" t="s">
        <v>21</v>
      </c>
      <c r="L1298" t="s">
        <v>14</v>
      </c>
      <c r="M1298" t="s">
        <v>18</v>
      </c>
      <c r="N1298" t="s">
        <v>19</v>
      </c>
    </row>
    <row r="1299" spans="1:14" x14ac:dyDescent="0.3">
      <c r="A1299">
        <v>1298</v>
      </c>
      <c r="B1299">
        <v>575</v>
      </c>
      <c r="C1299">
        <f>1/COUNTIF(pizza_sales[[#All],[order_id]],pizza_sales[[#This Row],[order_id]])</f>
        <v>0.25</v>
      </c>
      <c r="D1299" t="s">
        <v>112</v>
      </c>
      <c r="E1299">
        <v>1</v>
      </c>
      <c r="F1299" s="1">
        <v>42014</v>
      </c>
      <c r="G1299" s="1" t="str">
        <f>TEXT(pizza_sales[[#This Row],[order_date]],"dddd")</f>
        <v>Saturday</v>
      </c>
      <c r="H1299" s="2">
        <v>36526.570185185185</v>
      </c>
      <c r="I1299">
        <v>20.5</v>
      </c>
      <c r="J1299">
        <v>20.5</v>
      </c>
      <c r="K1299" t="s">
        <v>21</v>
      </c>
      <c r="L1299" t="s">
        <v>14</v>
      </c>
      <c r="M1299" t="s">
        <v>94</v>
      </c>
      <c r="N1299" t="s">
        <v>95</v>
      </c>
    </row>
    <row r="1300" spans="1:14" x14ac:dyDescent="0.3">
      <c r="A1300">
        <v>1299</v>
      </c>
      <c r="B1300">
        <v>575</v>
      </c>
      <c r="C1300">
        <f>1/COUNTIF(pizza_sales[[#All],[order_id]],pizza_sales[[#This Row],[order_id]])</f>
        <v>0.25</v>
      </c>
      <c r="D1300" t="s">
        <v>77</v>
      </c>
      <c r="E1300">
        <v>1</v>
      </c>
      <c r="F1300" s="1">
        <v>42014</v>
      </c>
      <c r="G1300" s="1" t="str">
        <f>TEXT(pizza_sales[[#This Row],[order_date]],"dddd")</f>
        <v>Saturday</v>
      </c>
      <c r="H1300" s="2">
        <v>36526.570185185185</v>
      </c>
      <c r="I1300">
        <v>15.25</v>
      </c>
      <c r="J1300">
        <v>15.25</v>
      </c>
      <c r="K1300" t="s">
        <v>21</v>
      </c>
      <c r="L1300" t="s">
        <v>14</v>
      </c>
      <c r="M1300" t="s">
        <v>78</v>
      </c>
      <c r="N1300" t="s">
        <v>79</v>
      </c>
    </row>
    <row r="1301" spans="1:14" x14ac:dyDescent="0.3">
      <c r="A1301">
        <v>1300</v>
      </c>
      <c r="B1301">
        <v>575</v>
      </c>
      <c r="C1301">
        <f>1/COUNTIF(pizza_sales[[#All],[order_id]],pizza_sales[[#This Row],[order_id]])</f>
        <v>0.25</v>
      </c>
      <c r="D1301" t="s">
        <v>162</v>
      </c>
      <c r="E1301">
        <v>1</v>
      </c>
      <c r="F1301" s="1">
        <v>42014</v>
      </c>
      <c r="G1301" s="1" t="str">
        <f>TEXT(pizza_sales[[#This Row],[order_date]],"dddd")</f>
        <v>Saturday</v>
      </c>
      <c r="H1301" s="2">
        <v>36526.570185185185</v>
      </c>
      <c r="I1301">
        <v>16</v>
      </c>
      <c r="J1301">
        <v>16</v>
      </c>
      <c r="K1301" t="s">
        <v>13</v>
      </c>
      <c r="L1301" t="s">
        <v>22</v>
      </c>
      <c r="M1301" t="s">
        <v>110</v>
      </c>
      <c r="N1301" t="s">
        <v>111</v>
      </c>
    </row>
    <row r="1302" spans="1:14" x14ac:dyDescent="0.3">
      <c r="A1302">
        <v>1301</v>
      </c>
      <c r="B1302">
        <v>576</v>
      </c>
      <c r="C1302">
        <f>1/COUNTIF(pizza_sales[[#All],[order_id]],pizza_sales[[#This Row],[order_id]])</f>
        <v>0.33333333333333331</v>
      </c>
      <c r="D1302" t="s">
        <v>84</v>
      </c>
      <c r="E1302">
        <v>1</v>
      </c>
      <c r="F1302" s="1">
        <v>42014</v>
      </c>
      <c r="G1302" s="1" t="str">
        <f>TEXT(pizza_sales[[#This Row],[order_date]],"dddd")</f>
        <v>Saturday</v>
      </c>
      <c r="H1302" s="2">
        <v>36526.572476851848</v>
      </c>
      <c r="I1302">
        <v>12</v>
      </c>
      <c r="J1302">
        <v>12</v>
      </c>
      <c r="K1302" t="s">
        <v>41</v>
      </c>
      <c r="L1302" t="s">
        <v>14</v>
      </c>
      <c r="M1302" t="s">
        <v>85</v>
      </c>
      <c r="N1302" t="s">
        <v>86</v>
      </c>
    </row>
    <row r="1303" spans="1:14" x14ac:dyDescent="0.3">
      <c r="A1303">
        <v>1302</v>
      </c>
      <c r="B1303">
        <v>576</v>
      </c>
      <c r="C1303">
        <f>1/COUNTIF(pizza_sales[[#All],[order_id]],pizza_sales[[#This Row],[order_id]])</f>
        <v>0.33333333333333331</v>
      </c>
      <c r="D1303" t="s">
        <v>134</v>
      </c>
      <c r="E1303">
        <v>1</v>
      </c>
      <c r="F1303" s="1">
        <v>42014</v>
      </c>
      <c r="G1303" s="1" t="str">
        <f>TEXT(pizza_sales[[#This Row],[order_date]],"dddd")</f>
        <v>Saturday</v>
      </c>
      <c r="H1303" s="2">
        <v>36526.572476851848</v>
      </c>
      <c r="I1303">
        <v>16.75</v>
      </c>
      <c r="J1303">
        <v>16.75</v>
      </c>
      <c r="K1303" t="s">
        <v>13</v>
      </c>
      <c r="L1303" t="s">
        <v>33</v>
      </c>
      <c r="M1303" t="s">
        <v>124</v>
      </c>
      <c r="N1303" t="s">
        <v>125</v>
      </c>
    </row>
    <row r="1304" spans="1:14" x14ac:dyDescent="0.3">
      <c r="A1304">
        <v>1303</v>
      </c>
      <c r="B1304">
        <v>576</v>
      </c>
      <c r="C1304">
        <f>1/COUNTIF(pizza_sales[[#All],[order_id]],pizza_sales[[#This Row],[order_id]])</f>
        <v>0.33333333333333331</v>
      </c>
      <c r="D1304" t="s">
        <v>157</v>
      </c>
      <c r="E1304">
        <v>1</v>
      </c>
      <c r="F1304" s="1">
        <v>42014</v>
      </c>
      <c r="G1304" s="1" t="str">
        <f>TEXT(pizza_sales[[#This Row],[order_date]],"dddd")</f>
        <v>Saturday</v>
      </c>
      <c r="H1304" s="2">
        <v>36526.572476851848</v>
      </c>
      <c r="I1304">
        <v>12</v>
      </c>
      <c r="J1304">
        <v>12</v>
      </c>
      <c r="K1304" t="s">
        <v>41</v>
      </c>
      <c r="L1304" t="s">
        <v>22</v>
      </c>
      <c r="M1304" t="s">
        <v>110</v>
      </c>
      <c r="N1304" t="s">
        <v>111</v>
      </c>
    </row>
    <row r="1305" spans="1:14" x14ac:dyDescent="0.3">
      <c r="A1305">
        <v>1304</v>
      </c>
      <c r="B1305">
        <v>577</v>
      </c>
      <c r="C1305">
        <f>1/COUNTIF(pizza_sales[[#All],[order_id]],pizza_sales[[#This Row],[order_id]])</f>
        <v>0.5</v>
      </c>
      <c r="D1305" t="s">
        <v>162</v>
      </c>
      <c r="E1305">
        <v>1</v>
      </c>
      <c r="F1305" s="1">
        <v>42014</v>
      </c>
      <c r="G1305" s="1" t="str">
        <f>TEXT(pizza_sales[[#This Row],[order_date]],"dddd")</f>
        <v>Saturday</v>
      </c>
      <c r="H1305" s="2">
        <v>36526.572916666664</v>
      </c>
      <c r="I1305">
        <v>16</v>
      </c>
      <c r="J1305">
        <v>16</v>
      </c>
      <c r="K1305" t="s">
        <v>13</v>
      </c>
      <c r="L1305" t="s">
        <v>22</v>
      </c>
      <c r="M1305" t="s">
        <v>110</v>
      </c>
      <c r="N1305" t="s">
        <v>111</v>
      </c>
    </row>
    <row r="1306" spans="1:14" x14ac:dyDescent="0.3">
      <c r="A1306">
        <v>1305</v>
      </c>
      <c r="B1306">
        <v>577</v>
      </c>
      <c r="C1306">
        <f>1/COUNTIF(pizza_sales[[#All],[order_id]],pizza_sales[[#This Row],[order_id]])</f>
        <v>0.5</v>
      </c>
      <c r="D1306" t="s">
        <v>122</v>
      </c>
      <c r="E1306">
        <v>1</v>
      </c>
      <c r="F1306" s="1">
        <v>42014</v>
      </c>
      <c r="G1306" s="1" t="str">
        <f>TEXT(pizza_sales[[#This Row],[order_date]],"dddd")</f>
        <v>Saturday</v>
      </c>
      <c r="H1306" s="2">
        <v>36526.572916666664</v>
      </c>
      <c r="I1306">
        <v>20.25</v>
      </c>
      <c r="J1306">
        <v>20.25</v>
      </c>
      <c r="K1306" t="s">
        <v>21</v>
      </c>
      <c r="L1306" t="s">
        <v>22</v>
      </c>
      <c r="M1306" t="s">
        <v>66</v>
      </c>
      <c r="N1306" t="s">
        <v>67</v>
      </c>
    </row>
    <row r="1307" spans="1:14" x14ac:dyDescent="0.3">
      <c r="A1307">
        <v>1306</v>
      </c>
      <c r="B1307">
        <v>578</v>
      </c>
      <c r="C1307">
        <f>1/COUNTIF(pizza_sales[[#All],[order_id]],pizza_sales[[#This Row],[order_id]])</f>
        <v>0.2</v>
      </c>
      <c r="D1307" t="s">
        <v>40</v>
      </c>
      <c r="E1307">
        <v>1</v>
      </c>
      <c r="F1307" s="1">
        <v>42014</v>
      </c>
      <c r="G1307" s="1" t="str">
        <f>TEXT(pizza_sales[[#This Row],[order_date]],"dddd")</f>
        <v>Saturday</v>
      </c>
      <c r="H1307" s="2">
        <v>36526.575567129628</v>
      </c>
      <c r="I1307">
        <v>12.75</v>
      </c>
      <c r="J1307">
        <v>12.75</v>
      </c>
      <c r="K1307" t="s">
        <v>41</v>
      </c>
      <c r="L1307" t="s">
        <v>33</v>
      </c>
      <c r="M1307" t="s">
        <v>42</v>
      </c>
      <c r="N1307" t="s">
        <v>43</v>
      </c>
    </row>
    <row r="1308" spans="1:14" x14ac:dyDescent="0.3">
      <c r="A1308">
        <v>1307</v>
      </c>
      <c r="B1308">
        <v>578</v>
      </c>
      <c r="C1308">
        <f>1/COUNTIF(pizza_sales[[#All],[order_id]],pizza_sales[[#This Row],[order_id]])</f>
        <v>0.2</v>
      </c>
      <c r="D1308" t="s">
        <v>96</v>
      </c>
      <c r="E1308">
        <v>1</v>
      </c>
      <c r="F1308" s="1">
        <v>42014</v>
      </c>
      <c r="G1308" s="1" t="str">
        <f>TEXT(pizza_sales[[#This Row],[order_date]],"dddd")</f>
        <v>Saturday</v>
      </c>
      <c r="H1308" s="2">
        <v>36526.575567129628</v>
      </c>
      <c r="I1308">
        <v>16.25</v>
      </c>
      <c r="J1308">
        <v>16.25</v>
      </c>
      <c r="K1308" t="s">
        <v>13</v>
      </c>
      <c r="L1308" t="s">
        <v>26</v>
      </c>
      <c r="M1308" t="s">
        <v>97</v>
      </c>
      <c r="N1308" t="s">
        <v>98</v>
      </c>
    </row>
    <row r="1309" spans="1:14" x14ac:dyDescent="0.3">
      <c r="A1309">
        <v>1308</v>
      </c>
      <c r="B1309">
        <v>578</v>
      </c>
      <c r="C1309">
        <f>1/COUNTIF(pizza_sales[[#All],[order_id]],pizza_sales[[#This Row],[order_id]])</f>
        <v>0.2</v>
      </c>
      <c r="D1309" t="s">
        <v>77</v>
      </c>
      <c r="E1309">
        <v>1</v>
      </c>
      <c r="F1309" s="1">
        <v>42014</v>
      </c>
      <c r="G1309" s="1" t="str">
        <f>TEXT(pizza_sales[[#This Row],[order_date]],"dddd")</f>
        <v>Saturday</v>
      </c>
      <c r="H1309" s="2">
        <v>36526.575567129628</v>
      </c>
      <c r="I1309">
        <v>15.25</v>
      </c>
      <c r="J1309">
        <v>15.25</v>
      </c>
      <c r="K1309" t="s">
        <v>21</v>
      </c>
      <c r="L1309" t="s">
        <v>14</v>
      </c>
      <c r="M1309" t="s">
        <v>78</v>
      </c>
      <c r="N1309" t="s">
        <v>79</v>
      </c>
    </row>
    <row r="1310" spans="1:14" x14ac:dyDescent="0.3">
      <c r="A1310">
        <v>1309</v>
      </c>
      <c r="B1310">
        <v>578</v>
      </c>
      <c r="C1310">
        <f>1/COUNTIF(pizza_sales[[#All],[order_id]],pizza_sales[[#This Row],[order_id]])</f>
        <v>0.2</v>
      </c>
      <c r="D1310" t="s">
        <v>133</v>
      </c>
      <c r="E1310">
        <v>1</v>
      </c>
      <c r="F1310" s="1">
        <v>42014</v>
      </c>
      <c r="G1310" s="1" t="str">
        <f>TEXT(pizza_sales[[#This Row],[order_date]],"dddd")</f>
        <v>Saturday</v>
      </c>
      <c r="H1310" s="2">
        <v>36526.575567129628</v>
      </c>
      <c r="I1310">
        <v>16.5</v>
      </c>
      <c r="J1310">
        <v>16.5</v>
      </c>
      <c r="K1310" t="s">
        <v>13</v>
      </c>
      <c r="L1310" t="s">
        <v>26</v>
      </c>
      <c r="M1310" t="s">
        <v>107</v>
      </c>
      <c r="N1310" t="s">
        <v>108</v>
      </c>
    </row>
    <row r="1311" spans="1:14" x14ac:dyDescent="0.3">
      <c r="A1311">
        <v>1310</v>
      </c>
      <c r="B1311">
        <v>578</v>
      </c>
      <c r="C1311">
        <f>1/COUNTIF(pizza_sales[[#All],[order_id]],pizza_sales[[#This Row],[order_id]])</f>
        <v>0.2</v>
      </c>
      <c r="D1311" t="s">
        <v>140</v>
      </c>
      <c r="E1311">
        <v>1</v>
      </c>
      <c r="F1311" s="1">
        <v>42014</v>
      </c>
      <c r="G1311" s="1" t="str">
        <f>TEXT(pizza_sales[[#This Row],[order_date]],"dddd")</f>
        <v>Saturday</v>
      </c>
      <c r="H1311" s="2">
        <v>36526.575567129628</v>
      </c>
      <c r="I1311">
        <v>25.5</v>
      </c>
      <c r="J1311">
        <v>25.5</v>
      </c>
      <c r="K1311" t="s">
        <v>141</v>
      </c>
      <c r="L1311" t="s">
        <v>14</v>
      </c>
      <c r="M1311" t="s">
        <v>45</v>
      </c>
      <c r="N1311" t="s">
        <v>46</v>
      </c>
    </row>
    <row r="1312" spans="1:14" x14ac:dyDescent="0.3">
      <c r="A1312">
        <v>1311</v>
      </c>
      <c r="B1312">
        <v>579</v>
      </c>
      <c r="C1312">
        <f>1/COUNTIF(pizza_sales[[#All],[order_id]],pizza_sales[[#This Row],[order_id]])</f>
        <v>1</v>
      </c>
      <c r="D1312" t="s">
        <v>51</v>
      </c>
      <c r="E1312">
        <v>1</v>
      </c>
      <c r="F1312" s="1">
        <v>42014</v>
      </c>
      <c r="G1312" s="1" t="str">
        <f>TEXT(pizza_sales[[#This Row],[order_date]],"dddd")</f>
        <v>Saturday</v>
      </c>
      <c r="H1312" s="2">
        <v>36526.577303240738</v>
      </c>
      <c r="I1312">
        <v>12</v>
      </c>
      <c r="J1312">
        <v>12</v>
      </c>
      <c r="K1312" t="s">
        <v>41</v>
      </c>
      <c r="L1312" t="s">
        <v>22</v>
      </c>
      <c r="M1312" t="s">
        <v>52</v>
      </c>
      <c r="N1312" t="s">
        <v>53</v>
      </c>
    </row>
    <row r="1313" spans="1:14" x14ac:dyDescent="0.3">
      <c r="A1313">
        <v>1312</v>
      </c>
      <c r="B1313">
        <v>580</v>
      </c>
      <c r="C1313">
        <f>1/COUNTIF(pizza_sales[[#All],[order_id]],pizza_sales[[#This Row],[order_id]])</f>
        <v>0.5</v>
      </c>
      <c r="D1313" t="s">
        <v>12</v>
      </c>
      <c r="E1313">
        <v>1</v>
      </c>
      <c r="F1313" s="1">
        <v>42014</v>
      </c>
      <c r="G1313" s="1" t="str">
        <f>TEXT(pizza_sales[[#This Row],[order_date]],"dddd")</f>
        <v>Saturday</v>
      </c>
      <c r="H1313" s="2">
        <v>36526.580567129633</v>
      </c>
      <c r="I1313">
        <v>13.25</v>
      </c>
      <c r="J1313">
        <v>13.25</v>
      </c>
      <c r="K1313" t="s">
        <v>13</v>
      </c>
      <c r="L1313" t="s">
        <v>14</v>
      </c>
      <c r="M1313" t="s">
        <v>15</v>
      </c>
      <c r="N1313" t="s">
        <v>16</v>
      </c>
    </row>
    <row r="1314" spans="1:14" x14ac:dyDescent="0.3">
      <c r="A1314">
        <v>1313</v>
      </c>
      <c r="B1314">
        <v>580</v>
      </c>
      <c r="C1314">
        <f>1/COUNTIF(pizza_sales[[#All],[order_id]],pizza_sales[[#This Row],[order_id]])</f>
        <v>0.5</v>
      </c>
      <c r="D1314" t="s">
        <v>147</v>
      </c>
      <c r="E1314">
        <v>1</v>
      </c>
      <c r="F1314" s="1">
        <v>42014</v>
      </c>
      <c r="G1314" s="1" t="str">
        <f>TEXT(pizza_sales[[#This Row],[order_date]],"dddd")</f>
        <v>Saturday</v>
      </c>
      <c r="H1314" s="2">
        <v>36526.580567129633</v>
      </c>
      <c r="I1314">
        <v>16.75</v>
      </c>
      <c r="J1314">
        <v>16.75</v>
      </c>
      <c r="K1314" t="s">
        <v>13</v>
      </c>
      <c r="L1314" t="s">
        <v>33</v>
      </c>
      <c r="M1314" t="s">
        <v>70</v>
      </c>
      <c r="N1314" t="s">
        <v>71</v>
      </c>
    </row>
    <row r="1315" spans="1:14" x14ac:dyDescent="0.3">
      <c r="A1315">
        <v>1314</v>
      </c>
      <c r="B1315">
        <v>581</v>
      </c>
      <c r="C1315">
        <f>1/COUNTIF(pizza_sales[[#All],[order_id]],pizza_sales[[#This Row],[order_id]])</f>
        <v>1</v>
      </c>
      <c r="D1315" t="s">
        <v>68</v>
      </c>
      <c r="E1315">
        <v>1</v>
      </c>
      <c r="F1315" s="1">
        <v>42014</v>
      </c>
      <c r="G1315" s="1" t="str">
        <f>TEXT(pizza_sales[[#This Row],[order_date]],"dddd")</f>
        <v>Saturday</v>
      </c>
      <c r="H1315" s="2">
        <v>36526.592372685183</v>
      </c>
      <c r="I1315">
        <v>20.25</v>
      </c>
      <c r="J1315">
        <v>20.25</v>
      </c>
      <c r="K1315" t="s">
        <v>21</v>
      </c>
      <c r="L1315" t="s">
        <v>22</v>
      </c>
      <c r="M1315" t="s">
        <v>30</v>
      </c>
      <c r="N1315" t="s">
        <v>31</v>
      </c>
    </row>
    <row r="1316" spans="1:14" x14ac:dyDescent="0.3">
      <c r="A1316">
        <v>1315</v>
      </c>
      <c r="B1316">
        <v>582</v>
      </c>
      <c r="C1316">
        <f>1/COUNTIF(pizza_sales[[#All],[order_id]],pizza_sales[[#This Row],[order_id]])</f>
        <v>1</v>
      </c>
      <c r="D1316" t="s">
        <v>146</v>
      </c>
      <c r="E1316">
        <v>1</v>
      </c>
      <c r="F1316" s="1">
        <v>42014</v>
      </c>
      <c r="G1316" s="1" t="str">
        <f>TEXT(pizza_sales[[#This Row],[order_date]],"dddd")</f>
        <v>Saturday</v>
      </c>
      <c r="H1316" s="2">
        <v>36526.600162037037</v>
      </c>
      <c r="I1316">
        <v>20.25</v>
      </c>
      <c r="J1316">
        <v>20.25</v>
      </c>
      <c r="K1316" t="s">
        <v>21</v>
      </c>
      <c r="L1316" t="s">
        <v>22</v>
      </c>
      <c r="M1316" t="s">
        <v>104</v>
      </c>
      <c r="N1316" t="s">
        <v>105</v>
      </c>
    </row>
    <row r="1317" spans="1:14" x14ac:dyDescent="0.3">
      <c r="A1317">
        <v>1316</v>
      </c>
      <c r="B1317">
        <v>583</v>
      </c>
      <c r="C1317">
        <f>1/COUNTIF(pizza_sales[[#All],[order_id]],pizza_sales[[#This Row],[order_id]])</f>
        <v>1</v>
      </c>
      <c r="D1317" t="s">
        <v>25</v>
      </c>
      <c r="E1317">
        <v>1</v>
      </c>
      <c r="F1317" s="1">
        <v>42014</v>
      </c>
      <c r="G1317" s="1" t="str">
        <f>TEXT(pizza_sales[[#This Row],[order_date]],"dddd")</f>
        <v>Saturday</v>
      </c>
      <c r="H1317" s="2">
        <v>36526.606469907405</v>
      </c>
      <c r="I1317">
        <v>20.75</v>
      </c>
      <c r="J1317">
        <v>20.75</v>
      </c>
      <c r="K1317" t="s">
        <v>21</v>
      </c>
      <c r="L1317" t="s">
        <v>26</v>
      </c>
      <c r="M1317" t="s">
        <v>27</v>
      </c>
      <c r="N1317" t="s">
        <v>28</v>
      </c>
    </row>
    <row r="1318" spans="1:14" x14ac:dyDescent="0.3">
      <c r="A1318">
        <v>1317</v>
      </c>
      <c r="B1318">
        <v>584</v>
      </c>
      <c r="C1318">
        <f>1/COUNTIF(pizza_sales[[#All],[order_id]],pizza_sales[[#This Row],[order_id]])</f>
        <v>0.5</v>
      </c>
      <c r="D1318" t="s">
        <v>149</v>
      </c>
      <c r="E1318">
        <v>1</v>
      </c>
      <c r="F1318" s="1">
        <v>42014</v>
      </c>
      <c r="G1318" s="1" t="str">
        <f>TEXT(pizza_sales[[#This Row],[order_date]],"dddd")</f>
        <v>Saturday</v>
      </c>
      <c r="H1318" s="2">
        <v>36526.628807870373</v>
      </c>
      <c r="I1318">
        <v>12.25</v>
      </c>
      <c r="J1318">
        <v>12.25</v>
      </c>
      <c r="K1318" t="s">
        <v>41</v>
      </c>
      <c r="L1318" t="s">
        <v>26</v>
      </c>
      <c r="M1318" t="s">
        <v>114</v>
      </c>
      <c r="N1318" t="s">
        <v>115</v>
      </c>
    </row>
    <row r="1319" spans="1:14" x14ac:dyDescent="0.3">
      <c r="A1319">
        <v>1318</v>
      </c>
      <c r="B1319">
        <v>584</v>
      </c>
      <c r="C1319">
        <f>1/COUNTIF(pizza_sales[[#All],[order_id]],pizza_sales[[#This Row],[order_id]])</f>
        <v>0.5</v>
      </c>
      <c r="D1319" t="s">
        <v>172</v>
      </c>
      <c r="E1319">
        <v>1</v>
      </c>
      <c r="F1319" s="1">
        <v>42014</v>
      </c>
      <c r="G1319" s="1" t="str">
        <f>TEXT(pizza_sales[[#This Row],[order_date]],"dddd")</f>
        <v>Saturday</v>
      </c>
      <c r="H1319" s="2">
        <v>36526.628807870373</v>
      </c>
      <c r="I1319">
        <v>12.5</v>
      </c>
      <c r="J1319">
        <v>12.5</v>
      </c>
      <c r="K1319" t="s">
        <v>41</v>
      </c>
      <c r="L1319" t="s">
        <v>26</v>
      </c>
      <c r="M1319" t="s">
        <v>88</v>
      </c>
      <c r="N1319" t="s">
        <v>89</v>
      </c>
    </row>
    <row r="1320" spans="1:14" x14ac:dyDescent="0.3">
      <c r="A1320">
        <v>1319</v>
      </c>
      <c r="B1320">
        <v>585</v>
      </c>
      <c r="C1320">
        <f>1/COUNTIF(pizza_sales[[#All],[order_id]],pizza_sales[[#This Row],[order_id]])</f>
        <v>0.5</v>
      </c>
      <c r="D1320" t="s">
        <v>165</v>
      </c>
      <c r="E1320">
        <v>1</v>
      </c>
      <c r="F1320" s="1">
        <v>42014</v>
      </c>
      <c r="G1320" s="1" t="str">
        <f>TEXT(pizza_sales[[#This Row],[order_date]],"dddd")</f>
        <v>Saturday</v>
      </c>
      <c r="H1320" s="2">
        <v>36526.665763888886</v>
      </c>
      <c r="I1320">
        <v>23.65</v>
      </c>
      <c r="J1320">
        <v>23.65</v>
      </c>
      <c r="K1320" t="s">
        <v>41</v>
      </c>
      <c r="L1320" t="s">
        <v>26</v>
      </c>
      <c r="M1320" t="s">
        <v>166</v>
      </c>
      <c r="N1320" t="s">
        <v>167</v>
      </c>
    </row>
    <row r="1321" spans="1:14" x14ac:dyDescent="0.3">
      <c r="A1321">
        <v>1320</v>
      </c>
      <c r="B1321">
        <v>585</v>
      </c>
      <c r="C1321">
        <f>1/COUNTIF(pizza_sales[[#All],[order_id]],pizza_sales[[#This Row],[order_id]])</f>
        <v>0.5</v>
      </c>
      <c r="D1321" t="s">
        <v>68</v>
      </c>
      <c r="E1321">
        <v>1</v>
      </c>
      <c r="F1321" s="1">
        <v>42014</v>
      </c>
      <c r="G1321" s="1" t="str">
        <f>TEXT(pizza_sales[[#This Row],[order_date]],"dddd")</f>
        <v>Saturday</v>
      </c>
      <c r="H1321" s="2">
        <v>36526.665763888886</v>
      </c>
      <c r="I1321">
        <v>20.25</v>
      </c>
      <c r="J1321">
        <v>20.25</v>
      </c>
      <c r="K1321" t="s">
        <v>21</v>
      </c>
      <c r="L1321" t="s">
        <v>22</v>
      </c>
      <c r="M1321" t="s">
        <v>30</v>
      </c>
      <c r="N1321" t="s">
        <v>31</v>
      </c>
    </row>
    <row r="1322" spans="1:14" x14ac:dyDescent="0.3">
      <c r="A1322">
        <v>1321</v>
      </c>
      <c r="B1322">
        <v>586</v>
      </c>
      <c r="C1322">
        <f>1/COUNTIF(pizza_sales[[#All],[order_id]],pizza_sales[[#This Row],[order_id]])</f>
        <v>0.5</v>
      </c>
      <c r="D1322" t="s">
        <v>116</v>
      </c>
      <c r="E1322">
        <v>1</v>
      </c>
      <c r="F1322" s="1">
        <v>42014</v>
      </c>
      <c r="G1322" s="1" t="str">
        <f>TEXT(pizza_sales[[#This Row],[order_date]],"dddd")</f>
        <v>Saturday</v>
      </c>
      <c r="H1322" s="2">
        <v>36526.673576388886</v>
      </c>
      <c r="I1322">
        <v>16</v>
      </c>
      <c r="J1322">
        <v>16</v>
      </c>
      <c r="K1322" t="s">
        <v>13</v>
      </c>
      <c r="L1322" t="s">
        <v>14</v>
      </c>
      <c r="M1322" t="s">
        <v>55</v>
      </c>
      <c r="N1322" t="s">
        <v>56</v>
      </c>
    </row>
    <row r="1323" spans="1:14" x14ac:dyDescent="0.3">
      <c r="A1323">
        <v>1322</v>
      </c>
      <c r="B1323">
        <v>586</v>
      </c>
      <c r="C1323">
        <f>1/COUNTIF(pizza_sales[[#All],[order_id]],pizza_sales[[#This Row],[order_id]])</f>
        <v>0.5</v>
      </c>
      <c r="D1323" t="s">
        <v>147</v>
      </c>
      <c r="E1323">
        <v>1</v>
      </c>
      <c r="F1323" s="1">
        <v>42014</v>
      </c>
      <c r="G1323" s="1" t="str">
        <f>TEXT(pizza_sales[[#This Row],[order_date]],"dddd")</f>
        <v>Saturday</v>
      </c>
      <c r="H1323" s="2">
        <v>36526.673576388886</v>
      </c>
      <c r="I1323">
        <v>16.75</v>
      </c>
      <c r="J1323">
        <v>16.75</v>
      </c>
      <c r="K1323" t="s">
        <v>13</v>
      </c>
      <c r="L1323" t="s">
        <v>33</v>
      </c>
      <c r="M1323" t="s">
        <v>70</v>
      </c>
      <c r="N1323" t="s">
        <v>71</v>
      </c>
    </row>
    <row r="1324" spans="1:14" x14ac:dyDescent="0.3">
      <c r="A1324">
        <v>1323</v>
      </c>
      <c r="B1324">
        <v>587</v>
      </c>
      <c r="C1324">
        <f>1/COUNTIF(pizza_sales[[#All],[order_id]],pizza_sales[[#This Row],[order_id]])</f>
        <v>0.5</v>
      </c>
      <c r="D1324" t="s">
        <v>135</v>
      </c>
      <c r="E1324">
        <v>1</v>
      </c>
      <c r="F1324" s="1">
        <v>42014</v>
      </c>
      <c r="G1324" s="1" t="str">
        <f>TEXT(pizza_sales[[#This Row],[order_date]],"dddd")</f>
        <v>Saturday</v>
      </c>
      <c r="H1324" s="2">
        <v>36526.689305555556</v>
      </c>
      <c r="I1324">
        <v>20.75</v>
      </c>
      <c r="J1324">
        <v>20.75</v>
      </c>
      <c r="K1324" t="s">
        <v>21</v>
      </c>
      <c r="L1324" t="s">
        <v>26</v>
      </c>
      <c r="M1324" t="s">
        <v>107</v>
      </c>
      <c r="N1324" t="s">
        <v>108</v>
      </c>
    </row>
    <row r="1325" spans="1:14" x14ac:dyDescent="0.3">
      <c r="A1325">
        <v>1324</v>
      </c>
      <c r="B1325">
        <v>587</v>
      </c>
      <c r="C1325">
        <f>1/COUNTIF(pizza_sales[[#All],[order_id]],pizza_sales[[#This Row],[order_id]])</f>
        <v>0.5</v>
      </c>
      <c r="D1325" t="s">
        <v>106</v>
      </c>
      <c r="E1325">
        <v>1</v>
      </c>
      <c r="F1325" s="1">
        <v>42014</v>
      </c>
      <c r="G1325" s="1" t="str">
        <f>TEXT(pizza_sales[[#This Row],[order_date]],"dddd")</f>
        <v>Saturday</v>
      </c>
      <c r="H1325" s="2">
        <v>36526.689305555556</v>
      </c>
      <c r="I1325">
        <v>12.5</v>
      </c>
      <c r="J1325">
        <v>12.5</v>
      </c>
      <c r="K1325" t="s">
        <v>41</v>
      </c>
      <c r="L1325" t="s">
        <v>26</v>
      </c>
      <c r="M1325" t="s">
        <v>107</v>
      </c>
      <c r="N1325" t="s">
        <v>108</v>
      </c>
    </row>
    <row r="1326" spans="1:14" x14ac:dyDescent="0.3">
      <c r="A1326">
        <v>1325</v>
      </c>
      <c r="B1326">
        <v>588</v>
      </c>
      <c r="C1326">
        <f>1/COUNTIF(pizza_sales[[#All],[order_id]],pizza_sales[[#This Row],[order_id]])</f>
        <v>1</v>
      </c>
      <c r="D1326" t="s">
        <v>80</v>
      </c>
      <c r="E1326">
        <v>1</v>
      </c>
      <c r="F1326" s="1">
        <v>42014</v>
      </c>
      <c r="G1326" s="1" t="str">
        <f>TEXT(pizza_sales[[#This Row],[order_date]],"dddd")</f>
        <v>Saturday</v>
      </c>
      <c r="H1326" s="2">
        <v>36526.69</v>
      </c>
      <c r="I1326">
        <v>12.75</v>
      </c>
      <c r="J1326">
        <v>12.75</v>
      </c>
      <c r="K1326" t="s">
        <v>41</v>
      </c>
      <c r="L1326" t="s">
        <v>33</v>
      </c>
      <c r="M1326" t="s">
        <v>74</v>
      </c>
      <c r="N1326" t="s">
        <v>75</v>
      </c>
    </row>
    <row r="1327" spans="1:14" x14ac:dyDescent="0.3">
      <c r="A1327">
        <v>1326</v>
      </c>
      <c r="B1327">
        <v>589</v>
      </c>
      <c r="C1327">
        <f>1/COUNTIF(pizza_sales[[#All],[order_id]],pizza_sales[[#This Row],[order_id]])</f>
        <v>0.33333333333333331</v>
      </c>
      <c r="D1327" t="s">
        <v>57</v>
      </c>
      <c r="E1327">
        <v>1</v>
      </c>
      <c r="F1327" s="1">
        <v>42014</v>
      </c>
      <c r="G1327" s="1" t="str">
        <f>TEXT(pizza_sales[[#This Row],[order_date]],"dddd")</f>
        <v>Saturday</v>
      </c>
      <c r="H1327" s="2">
        <v>36526.717118055552</v>
      </c>
      <c r="I1327">
        <v>12.5</v>
      </c>
      <c r="J1327">
        <v>12.5</v>
      </c>
      <c r="K1327" t="s">
        <v>41</v>
      </c>
      <c r="L1327" t="s">
        <v>26</v>
      </c>
      <c r="M1327" t="s">
        <v>27</v>
      </c>
      <c r="N1327" t="s">
        <v>28</v>
      </c>
    </row>
    <row r="1328" spans="1:14" x14ac:dyDescent="0.3">
      <c r="A1328">
        <v>1327</v>
      </c>
      <c r="B1328">
        <v>589</v>
      </c>
      <c r="C1328">
        <f>1/COUNTIF(pizza_sales[[#All],[order_id]],pizza_sales[[#This Row],[order_id]])</f>
        <v>0.33333333333333331</v>
      </c>
      <c r="D1328" t="s">
        <v>103</v>
      </c>
      <c r="E1328">
        <v>1</v>
      </c>
      <c r="F1328" s="1">
        <v>42014</v>
      </c>
      <c r="G1328" s="1" t="str">
        <f>TEXT(pizza_sales[[#This Row],[order_date]],"dddd")</f>
        <v>Saturday</v>
      </c>
      <c r="H1328" s="2">
        <v>36526.717118055552</v>
      </c>
      <c r="I1328">
        <v>16</v>
      </c>
      <c r="J1328">
        <v>16</v>
      </c>
      <c r="K1328" t="s">
        <v>13</v>
      </c>
      <c r="L1328" t="s">
        <v>22</v>
      </c>
      <c r="M1328" t="s">
        <v>104</v>
      </c>
      <c r="N1328" t="s">
        <v>105</v>
      </c>
    </row>
    <row r="1329" spans="1:14" x14ac:dyDescent="0.3">
      <c r="A1329">
        <v>1328</v>
      </c>
      <c r="B1329">
        <v>589</v>
      </c>
      <c r="C1329">
        <f>1/COUNTIF(pizza_sales[[#All],[order_id]],pizza_sales[[#This Row],[order_id]])</f>
        <v>0.33333333333333331</v>
      </c>
      <c r="D1329" t="s">
        <v>65</v>
      </c>
      <c r="E1329">
        <v>1</v>
      </c>
      <c r="F1329" s="1">
        <v>42014</v>
      </c>
      <c r="G1329" s="1" t="str">
        <f>TEXT(pizza_sales[[#This Row],[order_date]],"dddd")</f>
        <v>Saturday</v>
      </c>
      <c r="H1329" s="2">
        <v>36526.717118055552</v>
      </c>
      <c r="I1329">
        <v>12</v>
      </c>
      <c r="J1329">
        <v>12</v>
      </c>
      <c r="K1329" t="s">
        <v>41</v>
      </c>
      <c r="L1329" t="s">
        <v>22</v>
      </c>
      <c r="M1329" t="s">
        <v>66</v>
      </c>
      <c r="N1329" t="s">
        <v>67</v>
      </c>
    </row>
    <row r="1330" spans="1:14" x14ac:dyDescent="0.3">
      <c r="A1330">
        <v>1329</v>
      </c>
      <c r="B1330">
        <v>590</v>
      </c>
      <c r="C1330">
        <f>1/COUNTIF(pizza_sales[[#All],[order_id]],pizza_sales[[#This Row],[order_id]])</f>
        <v>1</v>
      </c>
      <c r="D1330" t="s">
        <v>20</v>
      </c>
      <c r="E1330">
        <v>1</v>
      </c>
      <c r="F1330" s="1">
        <v>42014</v>
      </c>
      <c r="G1330" s="1" t="str">
        <f>TEXT(pizza_sales[[#This Row],[order_date]],"dddd")</f>
        <v>Saturday</v>
      </c>
      <c r="H1330" s="2">
        <v>36526.724756944444</v>
      </c>
      <c r="I1330">
        <v>18.5</v>
      </c>
      <c r="J1330">
        <v>18.5</v>
      </c>
      <c r="K1330" t="s">
        <v>21</v>
      </c>
      <c r="L1330" t="s">
        <v>22</v>
      </c>
      <c r="M1330" t="s">
        <v>23</v>
      </c>
      <c r="N1330" t="s">
        <v>24</v>
      </c>
    </row>
    <row r="1331" spans="1:14" x14ac:dyDescent="0.3">
      <c r="A1331">
        <v>1330</v>
      </c>
      <c r="B1331">
        <v>591</v>
      </c>
      <c r="C1331">
        <f>1/COUNTIF(pizza_sales[[#All],[order_id]],pizza_sales[[#This Row],[order_id]])</f>
        <v>0.33333333333333331</v>
      </c>
      <c r="D1331" t="s">
        <v>90</v>
      </c>
      <c r="E1331">
        <v>1</v>
      </c>
      <c r="F1331" s="1">
        <v>42014</v>
      </c>
      <c r="G1331" s="1" t="str">
        <f>TEXT(pizza_sales[[#This Row],[order_date]],"dddd")</f>
        <v>Saturday</v>
      </c>
      <c r="H1331" s="2">
        <v>36526.731180555558</v>
      </c>
      <c r="I1331">
        <v>17.95</v>
      </c>
      <c r="J1331">
        <v>17.95</v>
      </c>
      <c r="K1331" t="s">
        <v>21</v>
      </c>
      <c r="L1331" t="s">
        <v>22</v>
      </c>
      <c r="M1331" t="s">
        <v>91</v>
      </c>
      <c r="N1331" t="s">
        <v>92</v>
      </c>
    </row>
    <row r="1332" spans="1:14" x14ac:dyDescent="0.3">
      <c r="A1332">
        <v>1331</v>
      </c>
      <c r="B1332">
        <v>591</v>
      </c>
      <c r="C1332">
        <f>1/COUNTIF(pizza_sales[[#All],[order_id]],pizza_sales[[#This Row],[order_id]])</f>
        <v>0.33333333333333331</v>
      </c>
      <c r="D1332" t="s">
        <v>117</v>
      </c>
      <c r="E1332">
        <v>1</v>
      </c>
      <c r="F1332" s="1">
        <v>42014</v>
      </c>
      <c r="G1332" s="1" t="str">
        <f>TEXT(pizza_sales[[#This Row],[order_date]],"dddd")</f>
        <v>Saturday</v>
      </c>
      <c r="H1332" s="2">
        <v>36526.731180555558</v>
      </c>
      <c r="I1332">
        <v>12.75</v>
      </c>
      <c r="J1332">
        <v>12.75</v>
      </c>
      <c r="K1332" t="s">
        <v>41</v>
      </c>
      <c r="L1332" t="s">
        <v>33</v>
      </c>
      <c r="M1332" t="s">
        <v>70</v>
      </c>
      <c r="N1332" t="s">
        <v>71</v>
      </c>
    </row>
    <row r="1333" spans="1:14" x14ac:dyDescent="0.3">
      <c r="A1333">
        <v>1332</v>
      </c>
      <c r="B1333">
        <v>591</v>
      </c>
      <c r="C1333">
        <f>1/COUNTIF(pizza_sales[[#All],[order_id]],pizza_sales[[#This Row],[order_id]])</f>
        <v>0.33333333333333331</v>
      </c>
      <c r="D1333" t="s">
        <v>62</v>
      </c>
      <c r="E1333">
        <v>1</v>
      </c>
      <c r="F1333" s="1">
        <v>42014</v>
      </c>
      <c r="G1333" s="1" t="str">
        <f>TEXT(pizza_sales[[#This Row],[order_date]],"dddd")</f>
        <v>Saturday</v>
      </c>
      <c r="H1333" s="2">
        <v>36526.731180555558</v>
      </c>
      <c r="I1333">
        <v>20.75</v>
      </c>
      <c r="J1333">
        <v>20.75</v>
      </c>
      <c r="K1333" t="s">
        <v>21</v>
      </c>
      <c r="L1333" t="s">
        <v>22</v>
      </c>
      <c r="M1333" t="s">
        <v>63</v>
      </c>
      <c r="N1333" t="s">
        <v>64</v>
      </c>
    </row>
    <row r="1334" spans="1:14" x14ac:dyDescent="0.3">
      <c r="A1334">
        <v>1333</v>
      </c>
      <c r="B1334">
        <v>592</v>
      </c>
      <c r="C1334">
        <f>1/COUNTIF(pizza_sales[[#All],[order_id]],pizza_sales[[#This Row],[order_id]])</f>
        <v>0.33333333333333331</v>
      </c>
      <c r="D1334" t="s">
        <v>100</v>
      </c>
      <c r="E1334">
        <v>1</v>
      </c>
      <c r="F1334" s="1">
        <v>42014</v>
      </c>
      <c r="G1334" s="1" t="str">
        <f>TEXT(pizza_sales[[#This Row],[order_date]],"dddd")</f>
        <v>Saturday</v>
      </c>
      <c r="H1334" s="2">
        <v>36526.737442129626</v>
      </c>
      <c r="I1334">
        <v>12.75</v>
      </c>
      <c r="J1334">
        <v>12.75</v>
      </c>
      <c r="K1334" t="s">
        <v>41</v>
      </c>
      <c r="L1334" t="s">
        <v>22</v>
      </c>
      <c r="M1334" t="s">
        <v>101</v>
      </c>
      <c r="N1334" t="s">
        <v>102</v>
      </c>
    </row>
    <row r="1335" spans="1:14" x14ac:dyDescent="0.3">
      <c r="A1335">
        <v>1334</v>
      </c>
      <c r="B1335">
        <v>592</v>
      </c>
      <c r="C1335">
        <f>1/COUNTIF(pizza_sales[[#All],[order_id]],pizza_sales[[#This Row],[order_id]])</f>
        <v>0.33333333333333331</v>
      </c>
      <c r="D1335" t="s">
        <v>148</v>
      </c>
      <c r="E1335">
        <v>1</v>
      </c>
      <c r="F1335" s="1">
        <v>42014</v>
      </c>
      <c r="G1335" s="1" t="str">
        <f>TEXT(pizza_sales[[#This Row],[order_date]],"dddd")</f>
        <v>Saturday</v>
      </c>
      <c r="H1335" s="2">
        <v>36526.737442129626</v>
      </c>
      <c r="I1335">
        <v>14.5</v>
      </c>
      <c r="J1335">
        <v>14.5</v>
      </c>
      <c r="K1335" t="s">
        <v>13</v>
      </c>
      <c r="L1335" t="s">
        <v>14</v>
      </c>
      <c r="M1335" t="s">
        <v>130</v>
      </c>
      <c r="N1335" t="s">
        <v>131</v>
      </c>
    </row>
    <row r="1336" spans="1:14" x14ac:dyDescent="0.3">
      <c r="A1336">
        <v>1335</v>
      </c>
      <c r="B1336">
        <v>592</v>
      </c>
      <c r="C1336">
        <f>1/COUNTIF(pizza_sales[[#All],[order_id]],pizza_sales[[#This Row],[order_id]])</f>
        <v>0.33333333333333331</v>
      </c>
      <c r="D1336" t="s">
        <v>32</v>
      </c>
      <c r="E1336">
        <v>1</v>
      </c>
      <c r="F1336" s="1">
        <v>42014</v>
      </c>
      <c r="G1336" s="1" t="str">
        <f>TEXT(pizza_sales[[#This Row],[order_date]],"dddd")</f>
        <v>Saturday</v>
      </c>
      <c r="H1336" s="2">
        <v>36526.737442129626</v>
      </c>
      <c r="I1336">
        <v>20.75</v>
      </c>
      <c r="J1336">
        <v>20.75</v>
      </c>
      <c r="K1336" t="s">
        <v>21</v>
      </c>
      <c r="L1336" t="s">
        <v>33</v>
      </c>
      <c r="M1336" t="s">
        <v>34</v>
      </c>
      <c r="N1336" t="s">
        <v>35</v>
      </c>
    </row>
    <row r="1337" spans="1:14" x14ac:dyDescent="0.3">
      <c r="A1337">
        <v>1336</v>
      </c>
      <c r="B1337">
        <v>593</v>
      </c>
      <c r="C1337">
        <f>1/COUNTIF(pizza_sales[[#All],[order_id]],pizza_sales[[#This Row],[order_id]])</f>
        <v>0.5</v>
      </c>
      <c r="D1337" t="s">
        <v>73</v>
      </c>
      <c r="E1337">
        <v>1</v>
      </c>
      <c r="F1337" s="1">
        <v>42014</v>
      </c>
      <c r="G1337" s="1" t="str">
        <f>TEXT(pizza_sales[[#This Row],[order_date]],"dddd")</f>
        <v>Saturday</v>
      </c>
      <c r="H1337" s="2">
        <v>36526.742326388892</v>
      </c>
      <c r="I1337">
        <v>20.75</v>
      </c>
      <c r="J1337">
        <v>20.75</v>
      </c>
      <c r="K1337" t="s">
        <v>21</v>
      </c>
      <c r="L1337" t="s">
        <v>33</v>
      </c>
      <c r="M1337" t="s">
        <v>74</v>
      </c>
      <c r="N1337" t="s">
        <v>75</v>
      </c>
    </row>
    <row r="1338" spans="1:14" x14ac:dyDescent="0.3">
      <c r="A1338">
        <v>1337</v>
      </c>
      <c r="B1338">
        <v>593</v>
      </c>
      <c r="C1338">
        <f>1/COUNTIF(pizza_sales[[#All],[order_id]],pizza_sales[[#This Row],[order_id]])</f>
        <v>0.5</v>
      </c>
      <c r="D1338" t="s">
        <v>59</v>
      </c>
      <c r="E1338">
        <v>1</v>
      </c>
      <c r="F1338" s="1">
        <v>42014</v>
      </c>
      <c r="G1338" s="1" t="str">
        <f>TEXT(pizza_sales[[#This Row],[order_date]],"dddd")</f>
        <v>Saturday</v>
      </c>
      <c r="H1338" s="2">
        <v>36526.742326388892</v>
      </c>
      <c r="I1338">
        <v>20.75</v>
      </c>
      <c r="J1338">
        <v>20.75</v>
      </c>
      <c r="K1338" t="s">
        <v>21</v>
      </c>
      <c r="L1338" t="s">
        <v>26</v>
      </c>
      <c r="M1338" t="s">
        <v>60</v>
      </c>
      <c r="N1338" t="s">
        <v>61</v>
      </c>
    </row>
    <row r="1339" spans="1:14" x14ac:dyDescent="0.3">
      <c r="A1339">
        <v>1338</v>
      </c>
      <c r="B1339">
        <v>594</v>
      </c>
      <c r="C1339">
        <f>1/COUNTIF(pizza_sales[[#All],[order_id]],pizza_sales[[#This Row],[order_id]])</f>
        <v>1</v>
      </c>
      <c r="D1339" t="s">
        <v>173</v>
      </c>
      <c r="E1339">
        <v>1</v>
      </c>
      <c r="F1339" s="1">
        <v>42014</v>
      </c>
      <c r="G1339" s="1" t="str">
        <f>TEXT(pizza_sales[[#This Row],[order_date]],"dddd")</f>
        <v>Saturday</v>
      </c>
      <c r="H1339" s="2">
        <v>36526.743275462963</v>
      </c>
      <c r="I1339">
        <v>20.25</v>
      </c>
      <c r="J1339">
        <v>20.25</v>
      </c>
      <c r="K1339" t="s">
        <v>21</v>
      </c>
      <c r="L1339" t="s">
        <v>26</v>
      </c>
      <c r="M1339" t="s">
        <v>97</v>
      </c>
      <c r="N1339" t="s">
        <v>98</v>
      </c>
    </row>
    <row r="1340" spans="1:14" x14ac:dyDescent="0.3">
      <c r="A1340">
        <v>1339</v>
      </c>
      <c r="B1340">
        <v>595</v>
      </c>
      <c r="C1340">
        <f>1/COUNTIF(pizza_sales[[#All],[order_id]],pizza_sales[[#This Row],[order_id]])</f>
        <v>0.5</v>
      </c>
      <c r="D1340" t="s">
        <v>138</v>
      </c>
      <c r="E1340">
        <v>1</v>
      </c>
      <c r="F1340" s="1">
        <v>42014</v>
      </c>
      <c r="G1340" s="1" t="str">
        <f>TEXT(pizza_sales[[#This Row],[order_date]],"dddd")</f>
        <v>Saturday</v>
      </c>
      <c r="H1340" s="2">
        <v>36526.758657407408</v>
      </c>
      <c r="I1340">
        <v>20.5</v>
      </c>
      <c r="J1340">
        <v>20.5</v>
      </c>
      <c r="K1340" t="s">
        <v>21</v>
      </c>
      <c r="L1340" t="s">
        <v>14</v>
      </c>
      <c r="M1340" t="s">
        <v>18</v>
      </c>
      <c r="N1340" t="s">
        <v>19</v>
      </c>
    </row>
    <row r="1341" spans="1:14" x14ac:dyDescent="0.3">
      <c r="A1341">
        <v>1340</v>
      </c>
      <c r="B1341">
        <v>595</v>
      </c>
      <c r="C1341">
        <f>1/COUNTIF(pizza_sales[[#All],[order_id]],pizza_sales[[#This Row],[order_id]])</f>
        <v>0.5</v>
      </c>
      <c r="D1341" t="s">
        <v>145</v>
      </c>
      <c r="E1341">
        <v>1</v>
      </c>
      <c r="F1341" s="1">
        <v>42014</v>
      </c>
      <c r="G1341" s="1" t="str">
        <f>TEXT(pizza_sales[[#This Row],[order_date]],"dddd")</f>
        <v>Saturday</v>
      </c>
      <c r="H1341" s="2">
        <v>36526.758657407408</v>
      </c>
      <c r="I1341">
        <v>16.5</v>
      </c>
      <c r="J1341">
        <v>16.5</v>
      </c>
      <c r="K1341" t="s">
        <v>13</v>
      </c>
      <c r="L1341" t="s">
        <v>26</v>
      </c>
      <c r="M1341" t="s">
        <v>38</v>
      </c>
      <c r="N1341" t="s">
        <v>39</v>
      </c>
    </row>
    <row r="1342" spans="1:14" x14ac:dyDescent="0.3">
      <c r="A1342">
        <v>1341</v>
      </c>
      <c r="B1342">
        <v>596</v>
      </c>
      <c r="C1342">
        <f>1/COUNTIF(pizza_sales[[#All],[order_id]],pizza_sales[[#This Row],[order_id]])</f>
        <v>0.5</v>
      </c>
      <c r="D1342" t="s">
        <v>143</v>
      </c>
      <c r="E1342">
        <v>1</v>
      </c>
      <c r="F1342" s="1">
        <v>42014</v>
      </c>
      <c r="G1342" s="1" t="str">
        <f>TEXT(pizza_sales[[#This Row],[order_date]],"dddd")</f>
        <v>Saturday</v>
      </c>
      <c r="H1342" s="2">
        <v>36526.766747685186</v>
      </c>
      <c r="I1342">
        <v>11</v>
      </c>
      <c r="J1342">
        <v>11</v>
      </c>
      <c r="K1342" t="s">
        <v>41</v>
      </c>
      <c r="L1342" t="s">
        <v>14</v>
      </c>
      <c r="M1342" t="s">
        <v>130</v>
      </c>
      <c r="N1342" t="s">
        <v>131</v>
      </c>
    </row>
    <row r="1343" spans="1:14" x14ac:dyDescent="0.3">
      <c r="A1343">
        <v>1342</v>
      </c>
      <c r="B1343">
        <v>596</v>
      </c>
      <c r="C1343">
        <f>1/COUNTIF(pizza_sales[[#All],[order_id]],pizza_sales[[#This Row],[order_id]])</f>
        <v>0.5</v>
      </c>
      <c r="D1343" t="s">
        <v>172</v>
      </c>
      <c r="E1343">
        <v>1</v>
      </c>
      <c r="F1343" s="1">
        <v>42014</v>
      </c>
      <c r="G1343" s="1" t="str">
        <f>TEXT(pizza_sales[[#This Row],[order_date]],"dddd")</f>
        <v>Saturday</v>
      </c>
      <c r="H1343" s="2">
        <v>36526.766747685186</v>
      </c>
      <c r="I1343">
        <v>12.5</v>
      </c>
      <c r="J1343">
        <v>12.5</v>
      </c>
      <c r="K1343" t="s">
        <v>41</v>
      </c>
      <c r="L1343" t="s">
        <v>26</v>
      </c>
      <c r="M1343" t="s">
        <v>88</v>
      </c>
      <c r="N1343" t="s">
        <v>89</v>
      </c>
    </row>
    <row r="1344" spans="1:14" x14ac:dyDescent="0.3">
      <c r="A1344">
        <v>1343</v>
      </c>
      <c r="B1344">
        <v>597</v>
      </c>
      <c r="C1344">
        <f>1/COUNTIF(pizza_sales[[#All],[order_id]],pizza_sales[[#This Row],[order_id]])</f>
        <v>0.33333333333333331</v>
      </c>
      <c r="D1344" t="s">
        <v>73</v>
      </c>
      <c r="E1344">
        <v>1</v>
      </c>
      <c r="F1344" s="1">
        <v>42014</v>
      </c>
      <c r="G1344" s="1" t="str">
        <f>TEXT(pizza_sales[[#This Row],[order_date]],"dddd")</f>
        <v>Saturday</v>
      </c>
      <c r="H1344" s="2">
        <v>36526.772638888891</v>
      </c>
      <c r="I1344">
        <v>20.75</v>
      </c>
      <c r="J1344">
        <v>20.75</v>
      </c>
      <c r="K1344" t="s">
        <v>21</v>
      </c>
      <c r="L1344" t="s">
        <v>33</v>
      </c>
      <c r="M1344" t="s">
        <v>74</v>
      </c>
      <c r="N1344" t="s">
        <v>75</v>
      </c>
    </row>
    <row r="1345" spans="1:14" x14ac:dyDescent="0.3">
      <c r="A1345">
        <v>1344</v>
      </c>
      <c r="B1345">
        <v>597</v>
      </c>
      <c r="C1345">
        <f>1/COUNTIF(pizza_sales[[#All],[order_id]],pizza_sales[[#This Row],[order_id]])</f>
        <v>0.33333333333333331</v>
      </c>
      <c r="D1345" t="s">
        <v>145</v>
      </c>
      <c r="E1345">
        <v>1</v>
      </c>
      <c r="F1345" s="1">
        <v>42014</v>
      </c>
      <c r="G1345" s="1" t="str">
        <f>TEXT(pizza_sales[[#This Row],[order_date]],"dddd")</f>
        <v>Saturday</v>
      </c>
      <c r="H1345" s="2">
        <v>36526.772638888891</v>
      </c>
      <c r="I1345">
        <v>16.5</v>
      </c>
      <c r="J1345">
        <v>16.5</v>
      </c>
      <c r="K1345" t="s">
        <v>13</v>
      </c>
      <c r="L1345" t="s">
        <v>26</v>
      </c>
      <c r="M1345" t="s">
        <v>38</v>
      </c>
      <c r="N1345" t="s">
        <v>39</v>
      </c>
    </row>
    <row r="1346" spans="1:14" x14ac:dyDescent="0.3">
      <c r="A1346">
        <v>1345</v>
      </c>
      <c r="B1346">
        <v>597</v>
      </c>
      <c r="C1346">
        <f>1/COUNTIF(pizza_sales[[#All],[order_id]],pizza_sales[[#This Row],[order_id]])</f>
        <v>0.33333333333333331</v>
      </c>
      <c r="D1346" t="s">
        <v>158</v>
      </c>
      <c r="E1346">
        <v>1</v>
      </c>
      <c r="F1346" s="1">
        <v>42014</v>
      </c>
      <c r="G1346" s="1" t="str">
        <f>TEXT(pizza_sales[[#This Row],[order_date]],"dddd")</f>
        <v>Saturday</v>
      </c>
      <c r="H1346" s="2">
        <v>36526.772638888891</v>
      </c>
      <c r="I1346">
        <v>16.5</v>
      </c>
      <c r="J1346">
        <v>16.5</v>
      </c>
      <c r="K1346" t="s">
        <v>13</v>
      </c>
      <c r="L1346" t="s">
        <v>26</v>
      </c>
      <c r="M1346" t="s">
        <v>60</v>
      </c>
      <c r="N1346" t="s">
        <v>61</v>
      </c>
    </row>
    <row r="1347" spans="1:14" x14ac:dyDescent="0.3">
      <c r="A1347">
        <v>1346</v>
      </c>
      <c r="B1347">
        <v>598</v>
      </c>
      <c r="C1347">
        <f>1/COUNTIF(pizza_sales[[#All],[order_id]],pizza_sales[[#This Row],[order_id]])</f>
        <v>1</v>
      </c>
      <c r="D1347" t="s">
        <v>37</v>
      </c>
      <c r="E1347">
        <v>1</v>
      </c>
      <c r="F1347" s="1">
        <v>42014</v>
      </c>
      <c r="G1347" s="1" t="str">
        <f>TEXT(pizza_sales[[#This Row],[order_date]],"dddd")</f>
        <v>Saturday</v>
      </c>
      <c r="H1347" s="2">
        <v>36526.773773148147</v>
      </c>
      <c r="I1347">
        <v>20.75</v>
      </c>
      <c r="J1347">
        <v>20.75</v>
      </c>
      <c r="K1347" t="s">
        <v>21</v>
      </c>
      <c r="L1347" t="s">
        <v>26</v>
      </c>
      <c r="M1347" t="s">
        <v>38</v>
      </c>
      <c r="N1347" t="s">
        <v>39</v>
      </c>
    </row>
    <row r="1348" spans="1:14" x14ac:dyDescent="0.3">
      <c r="A1348">
        <v>1347</v>
      </c>
      <c r="B1348">
        <v>599</v>
      </c>
      <c r="C1348">
        <f>1/COUNTIF(pizza_sales[[#All],[order_id]],pizza_sales[[#This Row],[order_id]])</f>
        <v>1</v>
      </c>
      <c r="D1348" t="s">
        <v>135</v>
      </c>
      <c r="E1348">
        <v>1</v>
      </c>
      <c r="F1348" s="1">
        <v>42014</v>
      </c>
      <c r="G1348" s="1" t="str">
        <f>TEXT(pizza_sales[[#This Row],[order_date]],"dddd")</f>
        <v>Saturday</v>
      </c>
      <c r="H1348" s="2">
        <v>36526.773923611108</v>
      </c>
      <c r="I1348">
        <v>20.75</v>
      </c>
      <c r="J1348">
        <v>20.75</v>
      </c>
      <c r="K1348" t="s">
        <v>21</v>
      </c>
      <c r="L1348" t="s">
        <v>26</v>
      </c>
      <c r="M1348" t="s">
        <v>107</v>
      </c>
      <c r="N1348" t="s">
        <v>108</v>
      </c>
    </row>
    <row r="1349" spans="1:14" x14ac:dyDescent="0.3">
      <c r="A1349">
        <v>1348</v>
      </c>
      <c r="B1349">
        <v>600</v>
      </c>
      <c r="C1349">
        <f>1/COUNTIF(pizza_sales[[#All],[order_id]],pizza_sales[[#This Row],[order_id]])</f>
        <v>0.25</v>
      </c>
      <c r="D1349" t="s">
        <v>50</v>
      </c>
      <c r="E1349">
        <v>1</v>
      </c>
      <c r="F1349" s="1">
        <v>42014</v>
      </c>
      <c r="G1349" s="1" t="str">
        <f>TEXT(pizza_sales[[#This Row],[order_date]],"dddd")</f>
        <v>Saturday</v>
      </c>
      <c r="H1349" s="2">
        <v>36526.787407407406</v>
      </c>
      <c r="I1349">
        <v>12</v>
      </c>
      <c r="J1349">
        <v>12</v>
      </c>
      <c r="K1349" t="s">
        <v>41</v>
      </c>
      <c r="L1349" t="s">
        <v>14</v>
      </c>
      <c r="M1349" t="s">
        <v>18</v>
      </c>
      <c r="N1349" t="s">
        <v>19</v>
      </c>
    </row>
    <row r="1350" spans="1:14" x14ac:dyDescent="0.3">
      <c r="A1350">
        <v>1349</v>
      </c>
      <c r="B1350">
        <v>600</v>
      </c>
      <c r="C1350">
        <f>1/COUNTIF(pizza_sales[[#All],[order_id]],pizza_sales[[#This Row],[order_id]])</f>
        <v>0.25</v>
      </c>
      <c r="D1350" t="s">
        <v>90</v>
      </c>
      <c r="E1350">
        <v>1</v>
      </c>
      <c r="F1350" s="1">
        <v>42014</v>
      </c>
      <c r="G1350" s="1" t="str">
        <f>TEXT(pizza_sales[[#This Row],[order_date]],"dddd")</f>
        <v>Saturday</v>
      </c>
      <c r="H1350" s="2">
        <v>36526.787407407406</v>
      </c>
      <c r="I1350">
        <v>17.95</v>
      </c>
      <c r="J1350">
        <v>17.95</v>
      </c>
      <c r="K1350" t="s">
        <v>21</v>
      </c>
      <c r="L1350" t="s">
        <v>22</v>
      </c>
      <c r="M1350" t="s">
        <v>91</v>
      </c>
      <c r="N1350" t="s">
        <v>92</v>
      </c>
    </row>
    <row r="1351" spans="1:14" x14ac:dyDescent="0.3">
      <c r="A1351">
        <v>1350</v>
      </c>
      <c r="B1351">
        <v>600</v>
      </c>
      <c r="C1351">
        <f>1/COUNTIF(pizza_sales[[#All],[order_id]],pizza_sales[[#This Row],[order_id]])</f>
        <v>0.25</v>
      </c>
      <c r="D1351" t="s">
        <v>103</v>
      </c>
      <c r="E1351">
        <v>1</v>
      </c>
      <c r="F1351" s="1">
        <v>42014</v>
      </c>
      <c r="G1351" s="1" t="str">
        <f>TEXT(pizza_sales[[#This Row],[order_date]],"dddd")</f>
        <v>Saturday</v>
      </c>
      <c r="H1351" s="2">
        <v>36526.787407407406</v>
      </c>
      <c r="I1351">
        <v>16</v>
      </c>
      <c r="J1351">
        <v>16</v>
      </c>
      <c r="K1351" t="s">
        <v>13</v>
      </c>
      <c r="L1351" t="s">
        <v>22</v>
      </c>
      <c r="M1351" t="s">
        <v>104</v>
      </c>
      <c r="N1351" t="s">
        <v>105</v>
      </c>
    </row>
    <row r="1352" spans="1:14" x14ac:dyDescent="0.3">
      <c r="A1352">
        <v>1351</v>
      </c>
      <c r="B1352">
        <v>600</v>
      </c>
      <c r="C1352">
        <f>1/COUNTIF(pizza_sales[[#All],[order_id]],pizza_sales[[#This Row],[order_id]])</f>
        <v>0.25</v>
      </c>
      <c r="D1352" t="s">
        <v>29</v>
      </c>
      <c r="E1352">
        <v>1</v>
      </c>
      <c r="F1352" s="1">
        <v>42014</v>
      </c>
      <c r="G1352" s="1" t="str">
        <f>TEXT(pizza_sales[[#This Row],[order_date]],"dddd")</f>
        <v>Saturday</v>
      </c>
      <c r="H1352" s="2">
        <v>36526.787407407406</v>
      </c>
      <c r="I1352">
        <v>16</v>
      </c>
      <c r="J1352">
        <v>16</v>
      </c>
      <c r="K1352" t="s">
        <v>13</v>
      </c>
      <c r="L1352" t="s">
        <v>22</v>
      </c>
      <c r="M1352" t="s">
        <v>30</v>
      </c>
      <c r="N1352" t="s">
        <v>31</v>
      </c>
    </row>
    <row r="1353" spans="1:14" x14ac:dyDescent="0.3">
      <c r="A1353">
        <v>1352</v>
      </c>
      <c r="B1353">
        <v>601</v>
      </c>
      <c r="C1353">
        <f>1/COUNTIF(pizza_sales[[#All],[order_id]],pizza_sales[[#This Row],[order_id]])</f>
        <v>0.33333333333333331</v>
      </c>
      <c r="D1353" t="s">
        <v>72</v>
      </c>
      <c r="E1353">
        <v>1</v>
      </c>
      <c r="F1353" s="1">
        <v>42014</v>
      </c>
      <c r="G1353" s="1" t="str">
        <f>TEXT(pizza_sales[[#This Row],[order_date]],"dddd")</f>
        <v>Saturday</v>
      </c>
      <c r="H1353" s="2">
        <v>36526.790497685186</v>
      </c>
      <c r="I1353">
        <v>20.75</v>
      </c>
      <c r="J1353">
        <v>20.75</v>
      </c>
      <c r="K1353" t="s">
        <v>21</v>
      </c>
      <c r="L1353" t="s">
        <v>33</v>
      </c>
      <c r="M1353" t="s">
        <v>42</v>
      </c>
      <c r="N1353" t="s">
        <v>43</v>
      </c>
    </row>
    <row r="1354" spans="1:14" x14ac:dyDescent="0.3">
      <c r="A1354">
        <v>1353</v>
      </c>
      <c r="B1354">
        <v>601</v>
      </c>
      <c r="C1354">
        <f>1/COUNTIF(pizza_sales[[#All],[order_id]],pizza_sales[[#This Row],[order_id]])</f>
        <v>0.33333333333333331</v>
      </c>
      <c r="D1354" t="s">
        <v>50</v>
      </c>
      <c r="E1354">
        <v>1</v>
      </c>
      <c r="F1354" s="1">
        <v>42014</v>
      </c>
      <c r="G1354" s="1" t="str">
        <f>TEXT(pizza_sales[[#This Row],[order_date]],"dddd")</f>
        <v>Saturday</v>
      </c>
      <c r="H1354" s="2">
        <v>36526.790497685186</v>
      </c>
      <c r="I1354">
        <v>12</v>
      </c>
      <c r="J1354">
        <v>12</v>
      </c>
      <c r="K1354" t="s">
        <v>41</v>
      </c>
      <c r="L1354" t="s">
        <v>14</v>
      </c>
      <c r="M1354" t="s">
        <v>18</v>
      </c>
      <c r="N1354" t="s">
        <v>19</v>
      </c>
    </row>
    <row r="1355" spans="1:14" x14ac:dyDescent="0.3">
      <c r="A1355">
        <v>1354</v>
      </c>
      <c r="B1355">
        <v>601</v>
      </c>
      <c r="C1355">
        <f>1/COUNTIF(pizza_sales[[#All],[order_id]],pizza_sales[[#This Row],[order_id]])</f>
        <v>0.33333333333333331</v>
      </c>
      <c r="D1355" t="s">
        <v>164</v>
      </c>
      <c r="E1355">
        <v>1</v>
      </c>
      <c r="F1355" s="1">
        <v>42014</v>
      </c>
      <c r="G1355" s="1" t="str">
        <f>TEXT(pizza_sales[[#This Row],[order_date]],"dddd")</f>
        <v>Saturday</v>
      </c>
      <c r="H1355" s="2">
        <v>36526.790497685186</v>
      </c>
      <c r="I1355">
        <v>16.5</v>
      </c>
      <c r="J1355">
        <v>16.5</v>
      </c>
      <c r="K1355" t="s">
        <v>13</v>
      </c>
      <c r="L1355" t="s">
        <v>22</v>
      </c>
      <c r="M1355" t="s">
        <v>63</v>
      </c>
      <c r="N1355" t="s">
        <v>64</v>
      </c>
    </row>
    <row r="1356" spans="1:14" x14ac:dyDescent="0.3">
      <c r="A1356">
        <v>1355</v>
      </c>
      <c r="B1356">
        <v>602</v>
      </c>
      <c r="C1356">
        <f>1/COUNTIF(pizza_sales[[#All],[order_id]],pizza_sales[[#This Row],[order_id]])</f>
        <v>1</v>
      </c>
      <c r="D1356" t="s">
        <v>135</v>
      </c>
      <c r="E1356">
        <v>1</v>
      </c>
      <c r="F1356" s="1">
        <v>42014</v>
      </c>
      <c r="G1356" s="1" t="str">
        <f>TEXT(pizza_sales[[#This Row],[order_date]],"dddd")</f>
        <v>Saturday</v>
      </c>
      <c r="H1356" s="2">
        <v>36526.793368055558</v>
      </c>
      <c r="I1356">
        <v>20.75</v>
      </c>
      <c r="J1356">
        <v>20.75</v>
      </c>
      <c r="K1356" t="s">
        <v>21</v>
      </c>
      <c r="L1356" t="s">
        <v>26</v>
      </c>
      <c r="M1356" t="s">
        <v>107</v>
      </c>
      <c r="N1356" t="s">
        <v>108</v>
      </c>
    </row>
    <row r="1357" spans="1:14" x14ac:dyDescent="0.3">
      <c r="A1357">
        <v>1356</v>
      </c>
      <c r="B1357">
        <v>603</v>
      </c>
      <c r="C1357">
        <f>1/COUNTIF(pizza_sales[[#All],[order_id]],pizza_sales[[#This Row],[order_id]])</f>
        <v>1</v>
      </c>
      <c r="D1357" t="s">
        <v>29</v>
      </c>
      <c r="E1357">
        <v>1</v>
      </c>
      <c r="F1357" s="1">
        <v>42014</v>
      </c>
      <c r="G1357" s="1" t="str">
        <f>TEXT(pizza_sales[[#This Row],[order_date]],"dddd")</f>
        <v>Saturday</v>
      </c>
      <c r="H1357" s="2">
        <v>36526.793877314813</v>
      </c>
      <c r="I1357">
        <v>16</v>
      </c>
      <c r="J1357">
        <v>16</v>
      </c>
      <c r="K1357" t="s">
        <v>13</v>
      </c>
      <c r="L1357" t="s">
        <v>22</v>
      </c>
      <c r="M1357" t="s">
        <v>30</v>
      </c>
      <c r="N1357" t="s">
        <v>31</v>
      </c>
    </row>
    <row r="1358" spans="1:14" x14ac:dyDescent="0.3">
      <c r="A1358">
        <v>1357</v>
      </c>
      <c r="B1358">
        <v>604</v>
      </c>
      <c r="C1358">
        <f>1/COUNTIF(pizza_sales[[#All],[order_id]],pizza_sales[[#This Row],[order_id]])</f>
        <v>0.5</v>
      </c>
      <c r="D1358" t="s">
        <v>172</v>
      </c>
      <c r="E1358">
        <v>1</v>
      </c>
      <c r="F1358" s="1">
        <v>42014</v>
      </c>
      <c r="G1358" s="1" t="str">
        <f>TEXT(pizza_sales[[#This Row],[order_date]],"dddd")</f>
        <v>Saturday</v>
      </c>
      <c r="H1358" s="2">
        <v>36526.801030092596</v>
      </c>
      <c r="I1358">
        <v>12.5</v>
      </c>
      <c r="J1358">
        <v>12.5</v>
      </c>
      <c r="K1358" t="s">
        <v>41</v>
      </c>
      <c r="L1358" t="s">
        <v>26</v>
      </c>
      <c r="M1358" t="s">
        <v>88</v>
      </c>
      <c r="N1358" t="s">
        <v>89</v>
      </c>
    </row>
    <row r="1359" spans="1:14" x14ac:dyDescent="0.3">
      <c r="A1359">
        <v>1358</v>
      </c>
      <c r="B1359">
        <v>604</v>
      </c>
      <c r="C1359">
        <f>1/COUNTIF(pizza_sales[[#All],[order_id]],pizza_sales[[#This Row],[order_id]])</f>
        <v>0.5</v>
      </c>
      <c r="D1359" t="s">
        <v>144</v>
      </c>
      <c r="E1359">
        <v>1</v>
      </c>
      <c r="F1359" s="1">
        <v>42014</v>
      </c>
      <c r="G1359" s="1" t="str">
        <f>TEXT(pizza_sales[[#This Row],[order_date]],"dddd")</f>
        <v>Saturday</v>
      </c>
      <c r="H1359" s="2">
        <v>36526.801030092596</v>
      </c>
      <c r="I1359">
        <v>16.5</v>
      </c>
      <c r="J1359">
        <v>16.5</v>
      </c>
      <c r="K1359" t="s">
        <v>13</v>
      </c>
      <c r="L1359" t="s">
        <v>26</v>
      </c>
      <c r="M1359" t="s">
        <v>48</v>
      </c>
      <c r="N1359" t="s">
        <v>49</v>
      </c>
    </row>
    <row r="1360" spans="1:14" x14ac:dyDescent="0.3">
      <c r="A1360">
        <v>1359</v>
      </c>
      <c r="B1360">
        <v>605</v>
      </c>
      <c r="C1360">
        <f>1/COUNTIF(pizza_sales[[#All],[order_id]],pizza_sales[[#This Row],[order_id]])</f>
        <v>0.5</v>
      </c>
      <c r="D1360" t="s">
        <v>119</v>
      </c>
      <c r="E1360">
        <v>1</v>
      </c>
      <c r="F1360" s="1">
        <v>42014</v>
      </c>
      <c r="G1360" s="1" t="str">
        <f>TEXT(pizza_sales[[#This Row],[order_date]],"dddd")</f>
        <v>Saturday</v>
      </c>
      <c r="H1360" s="2">
        <v>36526.808229166665</v>
      </c>
      <c r="I1360">
        <v>12.5</v>
      </c>
      <c r="J1360">
        <v>12.5</v>
      </c>
      <c r="K1360" t="s">
        <v>13</v>
      </c>
      <c r="L1360" t="s">
        <v>14</v>
      </c>
      <c r="M1360" t="s">
        <v>78</v>
      </c>
      <c r="N1360" t="s">
        <v>79</v>
      </c>
    </row>
    <row r="1361" spans="1:14" x14ac:dyDescent="0.3">
      <c r="A1361">
        <v>1360</v>
      </c>
      <c r="B1361">
        <v>605</v>
      </c>
      <c r="C1361">
        <f>1/COUNTIF(pizza_sales[[#All],[order_id]],pizza_sales[[#This Row],[order_id]])</f>
        <v>0.5</v>
      </c>
      <c r="D1361" t="s">
        <v>140</v>
      </c>
      <c r="E1361">
        <v>1</v>
      </c>
      <c r="F1361" s="1">
        <v>42014</v>
      </c>
      <c r="G1361" s="1" t="str">
        <f>TEXT(pizza_sales[[#This Row],[order_date]],"dddd")</f>
        <v>Saturday</v>
      </c>
      <c r="H1361" s="2">
        <v>36526.808229166665</v>
      </c>
      <c r="I1361">
        <v>25.5</v>
      </c>
      <c r="J1361">
        <v>25.5</v>
      </c>
      <c r="K1361" t="s">
        <v>141</v>
      </c>
      <c r="L1361" t="s">
        <v>14</v>
      </c>
      <c r="M1361" t="s">
        <v>45</v>
      </c>
      <c r="N1361" t="s">
        <v>46</v>
      </c>
    </row>
    <row r="1362" spans="1:14" x14ac:dyDescent="0.3">
      <c r="A1362">
        <v>1361</v>
      </c>
      <c r="B1362">
        <v>606</v>
      </c>
      <c r="C1362">
        <f>1/COUNTIF(pizza_sales[[#All],[order_id]],pizza_sales[[#This Row],[order_id]])</f>
        <v>1</v>
      </c>
      <c r="D1362" t="s">
        <v>77</v>
      </c>
      <c r="E1362">
        <v>1</v>
      </c>
      <c r="F1362" s="1">
        <v>42014</v>
      </c>
      <c r="G1362" s="1" t="str">
        <f>TEXT(pizza_sales[[#This Row],[order_date]],"dddd")</f>
        <v>Saturday</v>
      </c>
      <c r="H1362" s="2">
        <v>36526.810624999998</v>
      </c>
      <c r="I1362">
        <v>15.25</v>
      </c>
      <c r="J1362">
        <v>15.25</v>
      </c>
      <c r="K1362" t="s">
        <v>21</v>
      </c>
      <c r="L1362" t="s">
        <v>14</v>
      </c>
      <c r="M1362" t="s">
        <v>78</v>
      </c>
      <c r="N1362" t="s">
        <v>79</v>
      </c>
    </row>
    <row r="1363" spans="1:14" x14ac:dyDescent="0.3">
      <c r="A1363">
        <v>1362</v>
      </c>
      <c r="B1363">
        <v>607</v>
      </c>
      <c r="C1363">
        <f>1/COUNTIF(pizza_sales[[#All],[order_id]],pizza_sales[[#This Row],[order_id]])</f>
        <v>0.33333333333333331</v>
      </c>
      <c r="D1363" t="s">
        <v>118</v>
      </c>
      <c r="E1363">
        <v>1</v>
      </c>
      <c r="F1363" s="1">
        <v>42014</v>
      </c>
      <c r="G1363" s="1" t="str">
        <f>TEXT(pizza_sales[[#This Row],[order_date]],"dddd")</f>
        <v>Saturday</v>
      </c>
      <c r="H1363" s="2">
        <v>36526.816851851851</v>
      </c>
      <c r="I1363">
        <v>16.75</v>
      </c>
      <c r="J1363">
        <v>16.75</v>
      </c>
      <c r="K1363" t="s">
        <v>13</v>
      </c>
      <c r="L1363" t="s">
        <v>33</v>
      </c>
      <c r="M1363" t="s">
        <v>42</v>
      </c>
      <c r="N1363" t="s">
        <v>43</v>
      </c>
    </row>
    <row r="1364" spans="1:14" x14ac:dyDescent="0.3">
      <c r="A1364">
        <v>1363</v>
      </c>
      <c r="B1364">
        <v>607</v>
      </c>
      <c r="C1364">
        <f>1/COUNTIF(pizza_sales[[#All],[order_id]],pizza_sales[[#This Row],[order_id]])</f>
        <v>0.33333333333333331</v>
      </c>
      <c r="D1364" t="s">
        <v>36</v>
      </c>
      <c r="E1364">
        <v>1</v>
      </c>
      <c r="F1364" s="1">
        <v>42014</v>
      </c>
      <c r="G1364" s="1" t="str">
        <f>TEXT(pizza_sales[[#This Row],[order_date]],"dddd")</f>
        <v>Saturday</v>
      </c>
      <c r="H1364" s="2">
        <v>36526.816851851851</v>
      </c>
      <c r="I1364">
        <v>16.5</v>
      </c>
      <c r="J1364">
        <v>16.5</v>
      </c>
      <c r="K1364" t="s">
        <v>13</v>
      </c>
      <c r="L1364" t="s">
        <v>26</v>
      </c>
      <c r="M1364" t="s">
        <v>27</v>
      </c>
      <c r="N1364" t="s">
        <v>28</v>
      </c>
    </row>
    <row r="1365" spans="1:14" x14ac:dyDescent="0.3">
      <c r="A1365">
        <v>1364</v>
      </c>
      <c r="B1365">
        <v>607</v>
      </c>
      <c r="C1365">
        <f>1/COUNTIF(pizza_sales[[#All],[order_id]],pizza_sales[[#This Row],[order_id]])</f>
        <v>0.33333333333333331</v>
      </c>
      <c r="D1365" t="s">
        <v>152</v>
      </c>
      <c r="E1365">
        <v>1</v>
      </c>
      <c r="F1365" s="1">
        <v>42014</v>
      </c>
      <c r="G1365" s="1" t="str">
        <f>TEXT(pizza_sales[[#This Row],[order_date]],"dddd")</f>
        <v>Saturday</v>
      </c>
      <c r="H1365" s="2">
        <v>36526.816851851851</v>
      </c>
      <c r="I1365">
        <v>20.75</v>
      </c>
      <c r="J1365">
        <v>20.75</v>
      </c>
      <c r="K1365" t="s">
        <v>21</v>
      </c>
      <c r="L1365" t="s">
        <v>26</v>
      </c>
      <c r="M1365" t="s">
        <v>48</v>
      </c>
      <c r="N1365" t="s">
        <v>49</v>
      </c>
    </row>
    <row r="1366" spans="1:14" x14ac:dyDescent="0.3">
      <c r="A1366">
        <v>1365</v>
      </c>
      <c r="B1366">
        <v>608</v>
      </c>
      <c r="C1366">
        <f>1/COUNTIF(pizza_sales[[#All],[order_id]],pizza_sales[[#This Row],[order_id]])</f>
        <v>0.25</v>
      </c>
      <c r="D1366" t="s">
        <v>142</v>
      </c>
      <c r="E1366">
        <v>1</v>
      </c>
      <c r="F1366" s="1">
        <v>42014</v>
      </c>
      <c r="G1366" s="1" t="str">
        <f>TEXT(pizza_sales[[#This Row],[order_date]],"dddd")</f>
        <v>Saturday</v>
      </c>
      <c r="H1366" s="2">
        <v>36526.817048611112</v>
      </c>
      <c r="I1366">
        <v>16.5</v>
      </c>
      <c r="J1366">
        <v>16.5</v>
      </c>
      <c r="K1366" t="s">
        <v>21</v>
      </c>
      <c r="L1366" t="s">
        <v>14</v>
      </c>
      <c r="M1366" t="s">
        <v>15</v>
      </c>
      <c r="N1366" t="s">
        <v>16</v>
      </c>
    </row>
    <row r="1367" spans="1:14" x14ac:dyDescent="0.3">
      <c r="A1367">
        <v>1366</v>
      </c>
      <c r="B1367">
        <v>608</v>
      </c>
      <c r="C1367">
        <f>1/COUNTIF(pizza_sales[[#All],[order_id]],pizza_sales[[#This Row],[order_id]])</f>
        <v>0.25</v>
      </c>
      <c r="D1367" t="s">
        <v>119</v>
      </c>
      <c r="E1367">
        <v>1</v>
      </c>
      <c r="F1367" s="1">
        <v>42014</v>
      </c>
      <c r="G1367" s="1" t="str">
        <f>TEXT(pizza_sales[[#This Row],[order_date]],"dddd")</f>
        <v>Saturday</v>
      </c>
      <c r="H1367" s="2">
        <v>36526.817048611112</v>
      </c>
      <c r="I1367">
        <v>12.5</v>
      </c>
      <c r="J1367">
        <v>12.5</v>
      </c>
      <c r="K1367" t="s">
        <v>13</v>
      </c>
      <c r="L1367" t="s">
        <v>14</v>
      </c>
      <c r="M1367" t="s">
        <v>78</v>
      </c>
      <c r="N1367" t="s">
        <v>79</v>
      </c>
    </row>
    <row r="1368" spans="1:14" x14ac:dyDescent="0.3">
      <c r="A1368">
        <v>1367</v>
      </c>
      <c r="B1368">
        <v>608</v>
      </c>
      <c r="C1368">
        <f>1/COUNTIF(pizza_sales[[#All],[order_id]],pizza_sales[[#This Row],[order_id]])</f>
        <v>0.25</v>
      </c>
      <c r="D1368" t="s">
        <v>32</v>
      </c>
      <c r="E1368">
        <v>1</v>
      </c>
      <c r="F1368" s="1">
        <v>42014</v>
      </c>
      <c r="G1368" s="1" t="str">
        <f>TEXT(pizza_sales[[#This Row],[order_date]],"dddd")</f>
        <v>Saturday</v>
      </c>
      <c r="H1368" s="2">
        <v>36526.817048611112</v>
      </c>
      <c r="I1368">
        <v>20.75</v>
      </c>
      <c r="J1368">
        <v>20.75</v>
      </c>
      <c r="K1368" t="s">
        <v>21</v>
      </c>
      <c r="L1368" t="s">
        <v>33</v>
      </c>
      <c r="M1368" t="s">
        <v>34</v>
      </c>
      <c r="N1368" t="s">
        <v>35</v>
      </c>
    </row>
    <row r="1369" spans="1:14" x14ac:dyDescent="0.3">
      <c r="A1369">
        <v>1368</v>
      </c>
      <c r="B1369">
        <v>608</v>
      </c>
      <c r="C1369">
        <f>1/COUNTIF(pizza_sales[[#All],[order_id]],pizza_sales[[#This Row],[order_id]])</f>
        <v>0.25</v>
      </c>
      <c r="D1369" t="s">
        <v>151</v>
      </c>
      <c r="E1369">
        <v>1</v>
      </c>
      <c r="F1369" s="1">
        <v>42014</v>
      </c>
      <c r="G1369" s="1" t="str">
        <f>TEXT(pizza_sales[[#This Row],[order_date]],"dddd")</f>
        <v>Saturday</v>
      </c>
      <c r="H1369" s="2">
        <v>36526.817048611112</v>
      </c>
      <c r="I1369">
        <v>12.75</v>
      </c>
      <c r="J1369">
        <v>12.75</v>
      </c>
      <c r="K1369" t="s">
        <v>41</v>
      </c>
      <c r="L1369" t="s">
        <v>33</v>
      </c>
      <c r="M1369" t="s">
        <v>34</v>
      </c>
      <c r="N1369" t="s">
        <v>35</v>
      </c>
    </row>
    <row r="1370" spans="1:14" x14ac:dyDescent="0.3">
      <c r="A1370">
        <v>1369</v>
      </c>
      <c r="B1370">
        <v>609</v>
      </c>
      <c r="C1370">
        <f>1/COUNTIF(pizza_sales[[#All],[order_id]],pizza_sales[[#This Row],[order_id]])</f>
        <v>1</v>
      </c>
      <c r="D1370" t="s">
        <v>90</v>
      </c>
      <c r="E1370">
        <v>1</v>
      </c>
      <c r="F1370" s="1">
        <v>42014</v>
      </c>
      <c r="G1370" s="1" t="str">
        <f>TEXT(pizza_sales[[#This Row],[order_date]],"dddd")</f>
        <v>Saturday</v>
      </c>
      <c r="H1370" s="2">
        <v>36526.819120370368</v>
      </c>
      <c r="I1370">
        <v>17.95</v>
      </c>
      <c r="J1370">
        <v>17.95</v>
      </c>
      <c r="K1370" t="s">
        <v>21</v>
      </c>
      <c r="L1370" t="s">
        <v>22</v>
      </c>
      <c r="M1370" t="s">
        <v>91</v>
      </c>
      <c r="N1370" t="s">
        <v>92</v>
      </c>
    </row>
    <row r="1371" spans="1:14" x14ac:dyDescent="0.3">
      <c r="A1371">
        <v>1370</v>
      </c>
      <c r="B1371">
        <v>610</v>
      </c>
      <c r="C1371">
        <f>1/COUNTIF(pizza_sales[[#All],[order_id]],pizza_sales[[#This Row],[order_id]])</f>
        <v>0.5</v>
      </c>
      <c r="D1371" t="s">
        <v>84</v>
      </c>
      <c r="E1371">
        <v>1</v>
      </c>
      <c r="F1371" s="1">
        <v>42014</v>
      </c>
      <c r="G1371" s="1" t="str">
        <f>TEXT(pizza_sales[[#This Row],[order_date]],"dddd")</f>
        <v>Saturday</v>
      </c>
      <c r="H1371" s="2">
        <v>36526.827106481483</v>
      </c>
      <c r="I1371">
        <v>12</v>
      </c>
      <c r="J1371">
        <v>12</v>
      </c>
      <c r="K1371" t="s">
        <v>41</v>
      </c>
      <c r="L1371" t="s">
        <v>14</v>
      </c>
      <c r="M1371" t="s">
        <v>85</v>
      </c>
      <c r="N1371" t="s">
        <v>86</v>
      </c>
    </row>
    <row r="1372" spans="1:14" x14ac:dyDescent="0.3">
      <c r="A1372">
        <v>1371</v>
      </c>
      <c r="B1372">
        <v>610</v>
      </c>
      <c r="C1372">
        <f>1/COUNTIF(pizza_sales[[#All],[order_id]],pizza_sales[[#This Row],[order_id]])</f>
        <v>0.5</v>
      </c>
      <c r="D1372" t="s">
        <v>77</v>
      </c>
      <c r="E1372">
        <v>1</v>
      </c>
      <c r="F1372" s="1">
        <v>42014</v>
      </c>
      <c r="G1372" s="1" t="str">
        <f>TEXT(pizza_sales[[#This Row],[order_date]],"dddd")</f>
        <v>Saturday</v>
      </c>
      <c r="H1372" s="2">
        <v>36526.827106481483</v>
      </c>
      <c r="I1372">
        <v>15.25</v>
      </c>
      <c r="J1372">
        <v>15.25</v>
      </c>
      <c r="K1372" t="s">
        <v>21</v>
      </c>
      <c r="L1372" t="s">
        <v>14</v>
      </c>
      <c r="M1372" t="s">
        <v>78</v>
      </c>
      <c r="N1372" t="s">
        <v>79</v>
      </c>
    </row>
    <row r="1373" spans="1:14" x14ac:dyDescent="0.3">
      <c r="A1373">
        <v>1372</v>
      </c>
      <c r="B1373">
        <v>611</v>
      </c>
      <c r="C1373">
        <f>1/COUNTIF(pizza_sales[[#All],[order_id]],pizza_sales[[#This Row],[order_id]])</f>
        <v>0.25</v>
      </c>
      <c r="D1373" t="s">
        <v>20</v>
      </c>
      <c r="E1373">
        <v>1</v>
      </c>
      <c r="F1373" s="1">
        <v>42014</v>
      </c>
      <c r="G1373" s="1" t="str">
        <f>TEXT(pizza_sales[[#This Row],[order_date]],"dddd")</f>
        <v>Saturday</v>
      </c>
      <c r="H1373" s="2">
        <v>36526.832060185188</v>
      </c>
      <c r="I1373">
        <v>18.5</v>
      </c>
      <c r="J1373">
        <v>18.5</v>
      </c>
      <c r="K1373" t="s">
        <v>21</v>
      </c>
      <c r="L1373" t="s">
        <v>22</v>
      </c>
      <c r="M1373" t="s">
        <v>23</v>
      </c>
      <c r="N1373" t="s">
        <v>24</v>
      </c>
    </row>
    <row r="1374" spans="1:14" x14ac:dyDescent="0.3">
      <c r="A1374">
        <v>1373</v>
      </c>
      <c r="B1374">
        <v>611</v>
      </c>
      <c r="C1374">
        <f>1/COUNTIF(pizza_sales[[#All],[order_id]],pizza_sales[[#This Row],[order_id]])</f>
        <v>0.25</v>
      </c>
      <c r="D1374" t="s">
        <v>58</v>
      </c>
      <c r="E1374">
        <v>1</v>
      </c>
      <c r="F1374" s="1">
        <v>42014</v>
      </c>
      <c r="G1374" s="1" t="str">
        <f>TEXT(pizza_sales[[#This Row],[order_date]],"dddd")</f>
        <v>Saturday</v>
      </c>
      <c r="H1374" s="2">
        <v>36526.832060185188</v>
      </c>
      <c r="I1374">
        <v>12</v>
      </c>
      <c r="J1374">
        <v>12</v>
      </c>
      <c r="K1374" t="s">
        <v>41</v>
      </c>
      <c r="L1374" t="s">
        <v>22</v>
      </c>
      <c r="M1374" t="s">
        <v>30</v>
      </c>
      <c r="N1374" t="s">
        <v>31</v>
      </c>
    </row>
    <row r="1375" spans="1:14" x14ac:dyDescent="0.3">
      <c r="A1375">
        <v>1374</v>
      </c>
      <c r="B1375">
        <v>611</v>
      </c>
      <c r="C1375">
        <f>1/COUNTIF(pizza_sales[[#All],[order_id]],pizza_sales[[#This Row],[order_id]])</f>
        <v>0.25</v>
      </c>
      <c r="D1375" t="s">
        <v>147</v>
      </c>
      <c r="E1375">
        <v>1</v>
      </c>
      <c r="F1375" s="1">
        <v>42014</v>
      </c>
      <c r="G1375" s="1" t="str">
        <f>TEXT(pizza_sales[[#This Row],[order_date]],"dddd")</f>
        <v>Saturday</v>
      </c>
      <c r="H1375" s="2">
        <v>36526.832060185188</v>
      </c>
      <c r="I1375">
        <v>16.75</v>
      </c>
      <c r="J1375">
        <v>16.75</v>
      </c>
      <c r="K1375" t="s">
        <v>13</v>
      </c>
      <c r="L1375" t="s">
        <v>33</v>
      </c>
      <c r="M1375" t="s">
        <v>70</v>
      </c>
      <c r="N1375" t="s">
        <v>71</v>
      </c>
    </row>
    <row r="1376" spans="1:14" x14ac:dyDescent="0.3">
      <c r="A1376">
        <v>1375</v>
      </c>
      <c r="B1376">
        <v>611</v>
      </c>
      <c r="C1376">
        <f>1/COUNTIF(pizza_sales[[#All],[order_id]],pizza_sales[[#This Row],[order_id]])</f>
        <v>0.25</v>
      </c>
      <c r="D1376" t="s">
        <v>140</v>
      </c>
      <c r="E1376">
        <v>1</v>
      </c>
      <c r="F1376" s="1">
        <v>42014</v>
      </c>
      <c r="G1376" s="1" t="str">
        <f>TEXT(pizza_sales[[#This Row],[order_date]],"dddd")</f>
        <v>Saturday</v>
      </c>
      <c r="H1376" s="2">
        <v>36526.832060185188</v>
      </c>
      <c r="I1376">
        <v>25.5</v>
      </c>
      <c r="J1376">
        <v>25.5</v>
      </c>
      <c r="K1376" t="s">
        <v>141</v>
      </c>
      <c r="L1376" t="s">
        <v>14</v>
      </c>
      <c r="M1376" t="s">
        <v>45</v>
      </c>
      <c r="N1376" t="s">
        <v>46</v>
      </c>
    </row>
    <row r="1377" spans="1:14" x14ac:dyDescent="0.3">
      <c r="A1377">
        <v>1376</v>
      </c>
      <c r="B1377">
        <v>612</v>
      </c>
      <c r="C1377">
        <f>1/COUNTIF(pizza_sales[[#All],[order_id]],pizza_sales[[#This Row],[order_id]])</f>
        <v>0.25</v>
      </c>
      <c r="D1377" t="s">
        <v>84</v>
      </c>
      <c r="E1377">
        <v>1</v>
      </c>
      <c r="F1377" s="1">
        <v>42014</v>
      </c>
      <c r="G1377" s="1" t="str">
        <f>TEXT(pizza_sales[[#This Row],[order_date]],"dddd")</f>
        <v>Saturday</v>
      </c>
      <c r="H1377" s="2">
        <v>36526.832118055558</v>
      </c>
      <c r="I1377">
        <v>12</v>
      </c>
      <c r="J1377">
        <v>12</v>
      </c>
      <c r="K1377" t="s">
        <v>41</v>
      </c>
      <c r="L1377" t="s">
        <v>14</v>
      </c>
      <c r="M1377" t="s">
        <v>85</v>
      </c>
      <c r="N1377" t="s">
        <v>86</v>
      </c>
    </row>
    <row r="1378" spans="1:14" x14ac:dyDescent="0.3">
      <c r="A1378">
        <v>1377</v>
      </c>
      <c r="B1378">
        <v>612</v>
      </c>
      <c r="C1378">
        <f>1/COUNTIF(pizza_sales[[#All],[order_id]],pizza_sales[[#This Row],[order_id]])</f>
        <v>0.25</v>
      </c>
      <c r="D1378" t="s">
        <v>25</v>
      </c>
      <c r="E1378">
        <v>1</v>
      </c>
      <c r="F1378" s="1">
        <v>42014</v>
      </c>
      <c r="G1378" s="1" t="str">
        <f>TEXT(pizza_sales[[#This Row],[order_date]],"dddd")</f>
        <v>Saturday</v>
      </c>
      <c r="H1378" s="2">
        <v>36526.832118055558</v>
      </c>
      <c r="I1378">
        <v>20.75</v>
      </c>
      <c r="J1378">
        <v>20.75</v>
      </c>
      <c r="K1378" t="s">
        <v>21</v>
      </c>
      <c r="L1378" t="s">
        <v>26</v>
      </c>
      <c r="M1378" t="s">
        <v>27</v>
      </c>
      <c r="N1378" t="s">
        <v>28</v>
      </c>
    </row>
    <row r="1379" spans="1:14" x14ac:dyDescent="0.3">
      <c r="A1379">
        <v>1378</v>
      </c>
      <c r="B1379">
        <v>612</v>
      </c>
      <c r="C1379">
        <f>1/COUNTIF(pizza_sales[[#All],[order_id]],pizza_sales[[#This Row],[order_id]])</f>
        <v>0.25</v>
      </c>
      <c r="D1379" t="s">
        <v>68</v>
      </c>
      <c r="E1379">
        <v>1</v>
      </c>
      <c r="F1379" s="1">
        <v>42014</v>
      </c>
      <c r="G1379" s="1" t="str">
        <f>TEXT(pizza_sales[[#This Row],[order_date]],"dddd")</f>
        <v>Saturday</v>
      </c>
      <c r="H1379" s="2">
        <v>36526.832118055558</v>
      </c>
      <c r="I1379">
        <v>20.25</v>
      </c>
      <c r="J1379">
        <v>20.25</v>
      </c>
      <c r="K1379" t="s">
        <v>21</v>
      </c>
      <c r="L1379" t="s">
        <v>22</v>
      </c>
      <c r="M1379" t="s">
        <v>30</v>
      </c>
      <c r="N1379" t="s">
        <v>31</v>
      </c>
    </row>
    <row r="1380" spans="1:14" x14ac:dyDescent="0.3">
      <c r="A1380">
        <v>1379</v>
      </c>
      <c r="B1380">
        <v>612</v>
      </c>
      <c r="C1380">
        <f>1/COUNTIF(pizza_sales[[#All],[order_id]],pizza_sales[[#This Row],[order_id]])</f>
        <v>0.25</v>
      </c>
      <c r="D1380" t="s">
        <v>172</v>
      </c>
      <c r="E1380">
        <v>1</v>
      </c>
      <c r="F1380" s="1">
        <v>42014</v>
      </c>
      <c r="G1380" s="1" t="str">
        <f>TEXT(pizza_sales[[#This Row],[order_date]],"dddd")</f>
        <v>Saturday</v>
      </c>
      <c r="H1380" s="2">
        <v>36526.832118055558</v>
      </c>
      <c r="I1380">
        <v>12.5</v>
      </c>
      <c r="J1380">
        <v>12.5</v>
      </c>
      <c r="K1380" t="s">
        <v>41</v>
      </c>
      <c r="L1380" t="s">
        <v>26</v>
      </c>
      <c r="M1380" t="s">
        <v>88</v>
      </c>
      <c r="N1380" t="s">
        <v>89</v>
      </c>
    </row>
    <row r="1381" spans="1:14" x14ac:dyDescent="0.3">
      <c r="A1381">
        <v>1380</v>
      </c>
      <c r="B1381">
        <v>613</v>
      </c>
      <c r="C1381">
        <f>1/COUNTIF(pizza_sales[[#All],[order_id]],pizza_sales[[#This Row],[order_id]])</f>
        <v>1</v>
      </c>
      <c r="D1381" t="s">
        <v>93</v>
      </c>
      <c r="E1381">
        <v>1</v>
      </c>
      <c r="F1381" s="1">
        <v>42014</v>
      </c>
      <c r="G1381" s="1" t="str">
        <f>TEXT(pizza_sales[[#This Row],[order_date]],"dddd")</f>
        <v>Saturday</v>
      </c>
      <c r="H1381" s="2">
        <v>36526.840787037036</v>
      </c>
      <c r="I1381">
        <v>12</v>
      </c>
      <c r="J1381">
        <v>12</v>
      </c>
      <c r="K1381" t="s">
        <v>41</v>
      </c>
      <c r="L1381" t="s">
        <v>14</v>
      </c>
      <c r="M1381" t="s">
        <v>94</v>
      </c>
      <c r="N1381" t="s">
        <v>95</v>
      </c>
    </row>
    <row r="1382" spans="1:14" x14ac:dyDescent="0.3">
      <c r="A1382">
        <v>1381</v>
      </c>
      <c r="B1382">
        <v>614</v>
      </c>
      <c r="C1382">
        <f>1/COUNTIF(pizza_sales[[#All],[order_id]],pizza_sales[[#This Row],[order_id]])</f>
        <v>1</v>
      </c>
      <c r="D1382" t="s">
        <v>135</v>
      </c>
      <c r="E1382">
        <v>1</v>
      </c>
      <c r="F1382" s="1">
        <v>42014</v>
      </c>
      <c r="G1382" s="1" t="str">
        <f>TEXT(pizza_sales[[#This Row],[order_date]],"dddd")</f>
        <v>Saturday</v>
      </c>
      <c r="H1382" s="2">
        <v>36526.842048611114</v>
      </c>
      <c r="I1382">
        <v>20.75</v>
      </c>
      <c r="J1382">
        <v>20.75</v>
      </c>
      <c r="K1382" t="s">
        <v>21</v>
      </c>
      <c r="L1382" t="s">
        <v>26</v>
      </c>
      <c r="M1382" t="s">
        <v>107</v>
      </c>
      <c r="N1382" t="s">
        <v>108</v>
      </c>
    </row>
    <row r="1383" spans="1:14" x14ac:dyDescent="0.3">
      <c r="A1383">
        <v>1382</v>
      </c>
      <c r="B1383">
        <v>615</v>
      </c>
      <c r="C1383">
        <f>1/COUNTIF(pizza_sales[[#All],[order_id]],pizza_sales[[#This Row],[order_id]])</f>
        <v>0.5</v>
      </c>
      <c r="D1383" t="s">
        <v>73</v>
      </c>
      <c r="E1383">
        <v>1</v>
      </c>
      <c r="F1383" s="1">
        <v>42014</v>
      </c>
      <c r="G1383" s="1" t="str">
        <f>TEXT(pizza_sales[[#This Row],[order_date]],"dddd")</f>
        <v>Saturday</v>
      </c>
      <c r="H1383" s="2">
        <v>36526.843090277776</v>
      </c>
      <c r="I1383">
        <v>20.75</v>
      </c>
      <c r="J1383">
        <v>20.75</v>
      </c>
      <c r="K1383" t="s">
        <v>21</v>
      </c>
      <c r="L1383" t="s">
        <v>33</v>
      </c>
      <c r="M1383" t="s">
        <v>74</v>
      </c>
      <c r="N1383" t="s">
        <v>75</v>
      </c>
    </row>
    <row r="1384" spans="1:14" x14ac:dyDescent="0.3">
      <c r="A1384">
        <v>1383</v>
      </c>
      <c r="B1384">
        <v>615</v>
      </c>
      <c r="C1384">
        <f>1/COUNTIF(pizza_sales[[#All],[order_id]],pizza_sales[[#This Row],[order_id]])</f>
        <v>0.5</v>
      </c>
      <c r="D1384" t="s">
        <v>148</v>
      </c>
      <c r="E1384">
        <v>1</v>
      </c>
      <c r="F1384" s="1">
        <v>42014</v>
      </c>
      <c r="G1384" s="1" t="str">
        <f>TEXT(pizza_sales[[#This Row],[order_date]],"dddd")</f>
        <v>Saturday</v>
      </c>
      <c r="H1384" s="2">
        <v>36526.843090277776</v>
      </c>
      <c r="I1384">
        <v>14.5</v>
      </c>
      <c r="J1384">
        <v>14.5</v>
      </c>
      <c r="K1384" t="s">
        <v>13</v>
      </c>
      <c r="L1384" t="s">
        <v>14</v>
      </c>
      <c r="M1384" t="s">
        <v>130</v>
      </c>
      <c r="N1384" t="s">
        <v>131</v>
      </c>
    </row>
    <row r="1385" spans="1:14" x14ac:dyDescent="0.3">
      <c r="A1385">
        <v>1384</v>
      </c>
      <c r="B1385">
        <v>616</v>
      </c>
      <c r="C1385">
        <f>1/COUNTIF(pizza_sales[[#All],[order_id]],pizza_sales[[#This Row],[order_id]])</f>
        <v>0.5</v>
      </c>
      <c r="D1385" t="s">
        <v>37</v>
      </c>
      <c r="E1385">
        <v>1</v>
      </c>
      <c r="F1385" s="1">
        <v>42014</v>
      </c>
      <c r="G1385" s="1" t="str">
        <f>TEXT(pizza_sales[[#This Row],[order_date]],"dddd")</f>
        <v>Saturday</v>
      </c>
      <c r="H1385" s="2">
        <v>36526.847337962965</v>
      </c>
      <c r="I1385">
        <v>20.75</v>
      </c>
      <c r="J1385">
        <v>20.75</v>
      </c>
      <c r="K1385" t="s">
        <v>21</v>
      </c>
      <c r="L1385" t="s">
        <v>26</v>
      </c>
      <c r="M1385" t="s">
        <v>38</v>
      </c>
      <c r="N1385" t="s">
        <v>39</v>
      </c>
    </row>
    <row r="1386" spans="1:14" x14ac:dyDescent="0.3">
      <c r="A1386">
        <v>1385</v>
      </c>
      <c r="B1386">
        <v>616</v>
      </c>
      <c r="C1386">
        <f>1/COUNTIF(pizza_sales[[#All],[order_id]],pizza_sales[[#This Row],[order_id]])</f>
        <v>0.5</v>
      </c>
      <c r="D1386" t="s">
        <v>154</v>
      </c>
      <c r="E1386">
        <v>1</v>
      </c>
      <c r="F1386" s="1">
        <v>42014</v>
      </c>
      <c r="G1386" s="1" t="str">
        <f>TEXT(pizza_sales[[#This Row],[order_date]],"dddd")</f>
        <v>Saturday</v>
      </c>
      <c r="H1386" s="2">
        <v>36526.847337962965</v>
      </c>
      <c r="I1386">
        <v>16</v>
      </c>
      <c r="J1386">
        <v>16</v>
      </c>
      <c r="K1386" t="s">
        <v>13</v>
      </c>
      <c r="L1386" t="s">
        <v>22</v>
      </c>
      <c r="M1386" t="s">
        <v>66</v>
      </c>
      <c r="N1386" t="s">
        <v>67</v>
      </c>
    </row>
    <row r="1387" spans="1:14" x14ac:dyDescent="0.3">
      <c r="A1387">
        <v>1386</v>
      </c>
      <c r="B1387">
        <v>617</v>
      </c>
      <c r="C1387">
        <f>1/COUNTIF(pizza_sales[[#All],[order_id]],pizza_sales[[#This Row],[order_id]])</f>
        <v>0.5</v>
      </c>
      <c r="D1387" t="s">
        <v>81</v>
      </c>
      <c r="E1387">
        <v>1</v>
      </c>
      <c r="F1387" s="1">
        <v>42014</v>
      </c>
      <c r="G1387" s="1" t="str">
        <f>TEXT(pizza_sales[[#This Row],[order_date]],"dddd")</f>
        <v>Saturday</v>
      </c>
      <c r="H1387" s="2">
        <v>36526.852384259262</v>
      </c>
      <c r="I1387">
        <v>20.75</v>
      </c>
      <c r="J1387">
        <v>20.75</v>
      </c>
      <c r="K1387" t="s">
        <v>21</v>
      </c>
      <c r="L1387" t="s">
        <v>33</v>
      </c>
      <c r="M1387" t="s">
        <v>82</v>
      </c>
      <c r="N1387" t="s">
        <v>83</v>
      </c>
    </row>
    <row r="1388" spans="1:14" x14ac:dyDescent="0.3">
      <c r="A1388">
        <v>1387</v>
      </c>
      <c r="B1388">
        <v>617</v>
      </c>
      <c r="C1388">
        <f>1/COUNTIF(pizza_sales[[#All],[order_id]],pizza_sales[[#This Row],[order_id]])</f>
        <v>0.5</v>
      </c>
      <c r="D1388" t="s">
        <v>147</v>
      </c>
      <c r="E1388">
        <v>1</v>
      </c>
      <c r="F1388" s="1">
        <v>42014</v>
      </c>
      <c r="G1388" s="1" t="str">
        <f>TEXT(pizza_sales[[#This Row],[order_date]],"dddd")</f>
        <v>Saturday</v>
      </c>
      <c r="H1388" s="2">
        <v>36526.852384259262</v>
      </c>
      <c r="I1388">
        <v>16.75</v>
      </c>
      <c r="J1388">
        <v>16.75</v>
      </c>
      <c r="K1388" t="s">
        <v>13</v>
      </c>
      <c r="L1388" t="s">
        <v>33</v>
      </c>
      <c r="M1388" t="s">
        <v>70</v>
      </c>
      <c r="N1388" t="s">
        <v>71</v>
      </c>
    </row>
    <row r="1389" spans="1:14" x14ac:dyDescent="0.3">
      <c r="A1389">
        <v>1388</v>
      </c>
      <c r="B1389">
        <v>618</v>
      </c>
      <c r="C1389">
        <f>1/COUNTIF(pizza_sales[[#All],[order_id]],pizza_sales[[#This Row],[order_id]])</f>
        <v>0.5</v>
      </c>
      <c r="D1389" t="s">
        <v>145</v>
      </c>
      <c r="E1389">
        <v>1</v>
      </c>
      <c r="F1389" s="1">
        <v>42014</v>
      </c>
      <c r="G1389" s="1" t="str">
        <f>TEXT(pizza_sales[[#This Row],[order_date]],"dddd")</f>
        <v>Saturday</v>
      </c>
      <c r="H1389" s="2">
        <v>36526.855023148149</v>
      </c>
      <c r="I1389">
        <v>16.5</v>
      </c>
      <c r="J1389">
        <v>16.5</v>
      </c>
      <c r="K1389" t="s">
        <v>13</v>
      </c>
      <c r="L1389" t="s">
        <v>26</v>
      </c>
      <c r="M1389" t="s">
        <v>38</v>
      </c>
      <c r="N1389" t="s">
        <v>39</v>
      </c>
    </row>
    <row r="1390" spans="1:14" x14ac:dyDescent="0.3">
      <c r="A1390">
        <v>1389</v>
      </c>
      <c r="B1390">
        <v>618</v>
      </c>
      <c r="C1390">
        <f>1/COUNTIF(pizza_sales[[#All],[order_id]],pizza_sales[[#This Row],[order_id]])</f>
        <v>0.5</v>
      </c>
      <c r="D1390" t="s">
        <v>164</v>
      </c>
      <c r="E1390">
        <v>1</v>
      </c>
      <c r="F1390" s="1">
        <v>42014</v>
      </c>
      <c r="G1390" s="1" t="str">
        <f>TEXT(pizza_sales[[#This Row],[order_date]],"dddd")</f>
        <v>Saturday</v>
      </c>
      <c r="H1390" s="2">
        <v>36526.855023148149</v>
      </c>
      <c r="I1390">
        <v>16.5</v>
      </c>
      <c r="J1390">
        <v>16.5</v>
      </c>
      <c r="K1390" t="s">
        <v>13</v>
      </c>
      <c r="L1390" t="s">
        <v>22</v>
      </c>
      <c r="M1390" t="s">
        <v>63</v>
      </c>
      <c r="N1390" t="s">
        <v>64</v>
      </c>
    </row>
    <row r="1391" spans="1:14" x14ac:dyDescent="0.3">
      <c r="A1391">
        <v>1390</v>
      </c>
      <c r="B1391">
        <v>619</v>
      </c>
      <c r="C1391">
        <f>1/COUNTIF(pizza_sales[[#All],[order_id]],pizza_sales[[#This Row],[order_id]])</f>
        <v>1</v>
      </c>
      <c r="D1391" t="s">
        <v>54</v>
      </c>
      <c r="E1391">
        <v>1</v>
      </c>
      <c r="F1391" s="1">
        <v>42014</v>
      </c>
      <c r="G1391" s="1" t="str">
        <f>TEXT(pizza_sales[[#This Row],[order_date]],"dddd")</f>
        <v>Saturday</v>
      </c>
      <c r="H1391" s="2">
        <v>36526.862476851849</v>
      </c>
      <c r="I1391">
        <v>20.5</v>
      </c>
      <c r="J1391">
        <v>20.5</v>
      </c>
      <c r="K1391" t="s">
        <v>21</v>
      </c>
      <c r="L1391" t="s">
        <v>14</v>
      </c>
      <c r="M1391" t="s">
        <v>55</v>
      </c>
      <c r="N1391" t="s">
        <v>56</v>
      </c>
    </row>
    <row r="1392" spans="1:14" x14ac:dyDescent="0.3">
      <c r="A1392">
        <v>1391</v>
      </c>
      <c r="B1392">
        <v>620</v>
      </c>
      <c r="C1392">
        <f>1/COUNTIF(pizza_sales[[#All],[order_id]],pizza_sales[[#This Row],[order_id]])</f>
        <v>0.25</v>
      </c>
      <c r="D1392" t="s">
        <v>72</v>
      </c>
      <c r="E1392">
        <v>1</v>
      </c>
      <c r="F1392" s="1">
        <v>42014</v>
      </c>
      <c r="G1392" s="1" t="str">
        <f>TEXT(pizza_sales[[#This Row],[order_date]],"dddd")</f>
        <v>Saturday</v>
      </c>
      <c r="H1392" s="2">
        <v>36526.865104166667</v>
      </c>
      <c r="I1392">
        <v>20.75</v>
      </c>
      <c r="J1392">
        <v>20.75</v>
      </c>
      <c r="K1392" t="s">
        <v>21</v>
      </c>
      <c r="L1392" t="s">
        <v>33</v>
      </c>
      <c r="M1392" t="s">
        <v>42</v>
      </c>
      <c r="N1392" t="s">
        <v>43</v>
      </c>
    </row>
    <row r="1393" spans="1:14" x14ac:dyDescent="0.3">
      <c r="A1393">
        <v>1392</v>
      </c>
      <c r="B1393">
        <v>620</v>
      </c>
      <c r="C1393">
        <f>1/COUNTIF(pizza_sales[[#All],[order_id]],pizza_sales[[#This Row],[order_id]])</f>
        <v>0.25</v>
      </c>
      <c r="D1393" t="s">
        <v>76</v>
      </c>
      <c r="E1393">
        <v>1</v>
      </c>
      <c r="F1393" s="1">
        <v>42014</v>
      </c>
      <c r="G1393" s="1" t="str">
        <f>TEXT(pizza_sales[[#This Row],[order_date]],"dddd")</f>
        <v>Saturday</v>
      </c>
      <c r="H1393" s="2">
        <v>36526.865104166667</v>
      </c>
      <c r="I1393">
        <v>16.75</v>
      </c>
      <c r="J1393">
        <v>16.75</v>
      </c>
      <c r="K1393" t="s">
        <v>13</v>
      </c>
      <c r="L1393" t="s">
        <v>33</v>
      </c>
      <c r="M1393" t="s">
        <v>74</v>
      </c>
      <c r="N1393" t="s">
        <v>75</v>
      </c>
    </row>
    <row r="1394" spans="1:14" x14ac:dyDescent="0.3">
      <c r="A1394">
        <v>1393</v>
      </c>
      <c r="B1394">
        <v>620</v>
      </c>
      <c r="C1394">
        <f>1/COUNTIF(pizza_sales[[#All],[order_id]],pizza_sales[[#This Row],[order_id]])</f>
        <v>0.25</v>
      </c>
      <c r="D1394" t="s">
        <v>133</v>
      </c>
      <c r="E1394">
        <v>1</v>
      </c>
      <c r="F1394" s="1">
        <v>42014</v>
      </c>
      <c r="G1394" s="1" t="str">
        <f>TEXT(pizza_sales[[#This Row],[order_date]],"dddd")</f>
        <v>Saturday</v>
      </c>
      <c r="H1394" s="2">
        <v>36526.865104166667</v>
      </c>
      <c r="I1394">
        <v>16.5</v>
      </c>
      <c r="J1394">
        <v>16.5</v>
      </c>
      <c r="K1394" t="s">
        <v>13</v>
      </c>
      <c r="L1394" t="s">
        <v>26</v>
      </c>
      <c r="M1394" t="s">
        <v>107</v>
      </c>
      <c r="N1394" t="s">
        <v>108</v>
      </c>
    </row>
    <row r="1395" spans="1:14" x14ac:dyDescent="0.3">
      <c r="A1395">
        <v>1394</v>
      </c>
      <c r="B1395">
        <v>620</v>
      </c>
      <c r="C1395">
        <f>1/COUNTIF(pizza_sales[[#All],[order_id]],pizza_sales[[#This Row],[order_id]])</f>
        <v>0.25</v>
      </c>
      <c r="D1395" t="s">
        <v>44</v>
      </c>
      <c r="E1395">
        <v>1</v>
      </c>
      <c r="F1395" s="1">
        <v>42014</v>
      </c>
      <c r="G1395" s="1" t="str">
        <f>TEXT(pizza_sales[[#This Row],[order_date]],"dddd")</f>
        <v>Saturday</v>
      </c>
      <c r="H1395" s="2">
        <v>36526.865104166667</v>
      </c>
      <c r="I1395">
        <v>12</v>
      </c>
      <c r="J1395">
        <v>12</v>
      </c>
      <c r="K1395" t="s">
        <v>41</v>
      </c>
      <c r="L1395" t="s">
        <v>14</v>
      </c>
      <c r="M1395" t="s">
        <v>45</v>
      </c>
      <c r="N1395" t="s">
        <v>46</v>
      </c>
    </row>
    <row r="1396" spans="1:14" x14ac:dyDescent="0.3">
      <c r="A1396">
        <v>1395</v>
      </c>
      <c r="B1396">
        <v>621</v>
      </c>
      <c r="C1396">
        <f>1/COUNTIF(pizza_sales[[#All],[order_id]],pizza_sales[[#This Row],[order_id]])</f>
        <v>0.25</v>
      </c>
      <c r="D1396" t="s">
        <v>96</v>
      </c>
      <c r="E1396">
        <v>1</v>
      </c>
      <c r="F1396" s="1">
        <v>42014</v>
      </c>
      <c r="G1396" s="1" t="str">
        <f>TEXT(pizza_sales[[#This Row],[order_date]],"dddd")</f>
        <v>Saturday</v>
      </c>
      <c r="H1396" s="2">
        <v>36526.867696759262</v>
      </c>
      <c r="I1396">
        <v>16.25</v>
      </c>
      <c r="J1396">
        <v>16.25</v>
      </c>
      <c r="K1396" t="s">
        <v>13</v>
      </c>
      <c r="L1396" t="s">
        <v>26</v>
      </c>
      <c r="M1396" t="s">
        <v>97</v>
      </c>
      <c r="N1396" t="s">
        <v>98</v>
      </c>
    </row>
    <row r="1397" spans="1:14" x14ac:dyDescent="0.3">
      <c r="A1397">
        <v>1396</v>
      </c>
      <c r="B1397">
        <v>621</v>
      </c>
      <c r="C1397">
        <f>1/COUNTIF(pizza_sales[[#All],[order_id]],pizza_sales[[#This Row],[order_id]])</f>
        <v>0.25</v>
      </c>
      <c r="D1397" t="s">
        <v>90</v>
      </c>
      <c r="E1397">
        <v>1</v>
      </c>
      <c r="F1397" s="1">
        <v>42014</v>
      </c>
      <c r="G1397" s="1" t="str">
        <f>TEXT(pizza_sales[[#This Row],[order_date]],"dddd")</f>
        <v>Saturday</v>
      </c>
      <c r="H1397" s="2">
        <v>36526.867696759262</v>
      </c>
      <c r="I1397">
        <v>17.95</v>
      </c>
      <c r="J1397">
        <v>17.95</v>
      </c>
      <c r="K1397" t="s">
        <v>21</v>
      </c>
      <c r="L1397" t="s">
        <v>22</v>
      </c>
      <c r="M1397" t="s">
        <v>91</v>
      </c>
      <c r="N1397" t="s">
        <v>92</v>
      </c>
    </row>
    <row r="1398" spans="1:14" x14ac:dyDescent="0.3">
      <c r="A1398">
        <v>1397</v>
      </c>
      <c r="B1398">
        <v>621</v>
      </c>
      <c r="C1398">
        <f>1/COUNTIF(pizza_sales[[#All],[order_id]],pizza_sales[[#This Row],[order_id]])</f>
        <v>0.25</v>
      </c>
      <c r="D1398" t="s">
        <v>68</v>
      </c>
      <c r="E1398">
        <v>1</v>
      </c>
      <c r="F1398" s="1">
        <v>42014</v>
      </c>
      <c r="G1398" s="1" t="str">
        <f>TEXT(pizza_sales[[#This Row],[order_date]],"dddd")</f>
        <v>Saturday</v>
      </c>
      <c r="H1398" s="2">
        <v>36526.867696759262</v>
      </c>
      <c r="I1398">
        <v>20.25</v>
      </c>
      <c r="J1398">
        <v>20.25</v>
      </c>
      <c r="K1398" t="s">
        <v>21</v>
      </c>
      <c r="L1398" t="s">
        <v>22</v>
      </c>
      <c r="M1398" t="s">
        <v>30</v>
      </c>
      <c r="N1398" t="s">
        <v>31</v>
      </c>
    </row>
    <row r="1399" spans="1:14" x14ac:dyDescent="0.3">
      <c r="A1399">
        <v>1398</v>
      </c>
      <c r="B1399">
        <v>621</v>
      </c>
      <c r="C1399">
        <f>1/COUNTIF(pizza_sales[[#All],[order_id]],pizza_sales[[#This Row],[order_id]])</f>
        <v>0.25</v>
      </c>
      <c r="D1399" t="s">
        <v>59</v>
      </c>
      <c r="E1399">
        <v>1</v>
      </c>
      <c r="F1399" s="1">
        <v>42014</v>
      </c>
      <c r="G1399" s="1" t="str">
        <f>TEXT(pizza_sales[[#This Row],[order_date]],"dddd")</f>
        <v>Saturday</v>
      </c>
      <c r="H1399" s="2">
        <v>36526.867696759262</v>
      </c>
      <c r="I1399">
        <v>20.75</v>
      </c>
      <c r="J1399">
        <v>20.75</v>
      </c>
      <c r="K1399" t="s">
        <v>21</v>
      </c>
      <c r="L1399" t="s">
        <v>26</v>
      </c>
      <c r="M1399" t="s">
        <v>60</v>
      </c>
      <c r="N1399" t="s">
        <v>61</v>
      </c>
    </row>
    <row r="1400" spans="1:14" x14ac:dyDescent="0.3">
      <c r="A1400">
        <v>1399</v>
      </c>
      <c r="B1400">
        <v>622</v>
      </c>
      <c r="C1400">
        <f>1/COUNTIF(pizza_sales[[#All],[order_id]],pizza_sales[[#This Row],[order_id]])</f>
        <v>0.5</v>
      </c>
      <c r="D1400" t="s">
        <v>36</v>
      </c>
      <c r="E1400">
        <v>1</v>
      </c>
      <c r="F1400" s="1">
        <v>42014</v>
      </c>
      <c r="G1400" s="1" t="str">
        <f>TEXT(pizza_sales[[#This Row],[order_date]],"dddd")</f>
        <v>Saturday</v>
      </c>
      <c r="H1400" s="2">
        <v>36526.873391203706</v>
      </c>
      <c r="I1400">
        <v>16.5</v>
      </c>
      <c r="J1400">
        <v>16.5</v>
      </c>
      <c r="K1400" t="s">
        <v>13</v>
      </c>
      <c r="L1400" t="s">
        <v>26</v>
      </c>
      <c r="M1400" t="s">
        <v>27</v>
      </c>
      <c r="N1400" t="s">
        <v>28</v>
      </c>
    </row>
    <row r="1401" spans="1:14" x14ac:dyDescent="0.3">
      <c r="A1401">
        <v>1400</v>
      </c>
      <c r="B1401">
        <v>622</v>
      </c>
      <c r="C1401">
        <f>1/COUNTIF(pizza_sales[[#All],[order_id]],pizza_sales[[#This Row],[order_id]])</f>
        <v>0.5</v>
      </c>
      <c r="D1401" t="s">
        <v>59</v>
      </c>
      <c r="E1401">
        <v>1</v>
      </c>
      <c r="F1401" s="1">
        <v>42014</v>
      </c>
      <c r="G1401" s="1" t="str">
        <f>TEXT(pizza_sales[[#This Row],[order_date]],"dddd")</f>
        <v>Saturday</v>
      </c>
      <c r="H1401" s="2">
        <v>36526.873391203706</v>
      </c>
      <c r="I1401">
        <v>20.75</v>
      </c>
      <c r="J1401">
        <v>20.75</v>
      </c>
      <c r="K1401" t="s">
        <v>21</v>
      </c>
      <c r="L1401" t="s">
        <v>26</v>
      </c>
      <c r="M1401" t="s">
        <v>60</v>
      </c>
      <c r="N1401" t="s">
        <v>61</v>
      </c>
    </row>
    <row r="1402" spans="1:14" x14ac:dyDescent="0.3">
      <c r="A1402">
        <v>1401</v>
      </c>
      <c r="B1402">
        <v>623</v>
      </c>
      <c r="C1402">
        <f>1/COUNTIF(pizza_sales[[#All],[order_id]],pizza_sales[[#This Row],[order_id]])</f>
        <v>0.5</v>
      </c>
      <c r="D1402" t="s">
        <v>73</v>
      </c>
      <c r="E1402">
        <v>1</v>
      </c>
      <c r="F1402" s="1">
        <v>42014</v>
      </c>
      <c r="G1402" s="1" t="str">
        <f>TEXT(pizza_sales[[#This Row],[order_date]],"dddd")</f>
        <v>Saturday</v>
      </c>
      <c r="H1402" s="2">
        <v>36526.889826388891</v>
      </c>
      <c r="I1402">
        <v>20.75</v>
      </c>
      <c r="J1402">
        <v>20.75</v>
      </c>
      <c r="K1402" t="s">
        <v>21</v>
      </c>
      <c r="L1402" t="s">
        <v>33</v>
      </c>
      <c r="M1402" t="s">
        <v>74</v>
      </c>
      <c r="N1402" t="s">
        <v>75</v>
      </c>
    </row>
    <row r="1403" spans="1:14" x14ac:dyDescent="0.3">
      <c r="A1403">
        <v>1402</v>
      </c>
      <c r="B1403">
        <v>623</v>
      </c>
      <c r="C1403">
        <f>1/COUNTIF(pizza_sales[[#All],[order_id]],pizza_sales[[#This Row],[order_id]])</f>
        <v>0.5</v>
      </c>
      <c r="D1403" t="s">
        <v>142</v>
      </c>
      <c r="E1403">
        <v>1</v>
      </c>
      <c r="F1403" s="1">
        <v>42014</v>
      </c>
      <c r="G1403" s="1" t="str">
        <f>TEXT(pizza_sales[[#This Row],[order_date]],"dddd")</f>
        <v>Saturday</v>
      </c>
      <c r="H1403" s="2">
        <v>36526.889826388891</v>
      </c>
      <c r="I1403">
        <v>16.5</v>
      </c>
      <c r="J1403">
        <v>16.5</v>
      </c>
      <c r="K1403" t="s">
        <v>21</v>
      </c>
      <c r="L1403" t="s">
        <v>14</v>
      </c>
      <c r="M1403" t="s">
        <v>15</v>
      </c>
      <c r="N1403" t="s">
        <v>16</v>
      </c>
    </row>
    <row r="1404" spans="1:14" x14ac:dyDescent="0.3">
      <c r="A1404">
        <v>1403</v>
      </c>
      <c r="B1404">
        <v>624</v>
      </c>
      <c r="C1404">
        <f>1/COUNTIF(pizza_sales[[#All],[order_id]],pizza_sales[[#This Row],[order_id]])</f>
        <v>0.5</v>
      </c>
      <c r="D1404" t="s">
        <v>76</v>
      </c>
      <c r="E1404">
        <v>1</v>
      </c>
      <c r="F1404" s="1">
        <v>42014</v>
      </c>
      <c r="G1404" s="1" t="str">
        <f>TEXT(pizza_sales[[#This Row],[order_date]],"dddd")</f>
        <v>Saturday</v>
      </c>
      <c r="H1404" s="2">
        <v>36526.890787037039</v>
      </c>
      <c r="I1404">
        <v>16.75</v>
      </c>
      <c r="J1404">
        <v>16.75</v>
      </c>
      <c r="K1404" t="s">
        <v>13</v>
      </c>
      <c r="L1404" t="s">
        <v>33</v>
      </c>
      <c r="M1404" t="s">
        <v>74</v>
      </c>
      <c r="N1404" t="s">
        <v>75</v>
      </c>
    </row>
    <row r="1405" spans="1:14" x14ac:dyDescent="0.3">
      <c r="A1405">
        <v>1404</v>
      </c>
      <c r="B1405">
        <v>624</v>
      </c>
      <c r="C1405">
        <f>1/COUNTIF(pizza_sales[[#All],[order_id]],pizza_sales[[#This Row],[order_id]])</f>
        <v>0.5</v>
      </c>
      <c r="D1405" t="s">
        <v>154</v>
      </c>
      <c r="E1405">
        <v>1</v>
      </c>
      <c r="F1405" s="1">
        <v>42014</v>
      </c>
      <c r="G1405" s="1" t="str">
        <f>TEXT(pizza_sales[[#This Row],[order_date]],"dddd")</f>
        <v>Saturday</v>
      </c>
      <c r="H1405" s="2">
        <v>36526.890787037039</v>
      </c>
      <c r="I1405">
        <v>16</v>
      </c>
      <c r="J1405">
        <v>16</v>
      </c>
      <c r="K1405" t="s">
        <v>13</v>
      </c>
      <c r="L1405" t="s">
        <v>22</v>
      </c>
      <c r="M1405" t="s">
        <v>66</v>
      </c>
      <c r="N1405" t="s">
        <v>67</v>
      </c>
    </row>
    <row r="1406" spans="1:14" x14ac:dyDescent="0.3">
      <c r="A1406">
        <v>1405</v>
      </c>
      <c r="B1406">
        <v>625</v>
      </c>
      <c r="C1406">
        <f>1/COUNTIF(pizza_sales[[#All],[order_id]],pizza_sales[[#This Row],[order_id]])</f>
        <v>0.5</v>
      </c>
      <c r="D1406" t="s">
        <v>109</v>
      </c>
      <c r="E1406">
        <v>1</v>
      </c>
      <c r="F1406" s="1">
        <v>42014</v>
      </c>
      <c r="G1406" s="1" t="str">
        <f>TEXT(pizza_sales[[#This Row],[order_date]],"dddd")</f>
        <v>Saturday</v>
      </c>
      <c r="H1406" s="2">
        <v>36526.909988425927</v>
      </c>
      <c r="I1406">
        <v>20.25</v>
      </c>
      <c r="J1406">
        <v>20.25</v>
      </c>
      <c r="K1406" t="s">
        <v>21</v>
      </c>
      <c r="L1406" t="s">
        <v>22</v>
      </c>
      <c r="M1406" t="s">
        <v>110</v>
      </c>
      <c r="N1406" t="s">
        <v>111</v>
      </c>
    </row>
    <row r="1407" spans="1:14" x14ac:dyDescent="0.3">
      <c r="A1407">
        <v>1406</v>
      </c>
      <c r="B1407">
        <v>625</v>
      </c>
      <c r="C1407">
        <f>1/COUNTIF(pizza_sales[[#All],[order_id]],pizza_sales[[#This Row],[order_id]])</f>
        <v>0.5</v>
      </c>
      <c r="D1407" t="s">
        <v>144</v>
      </c>
      <c r="E1407">
        <v>1</v>
      </c>
      <c r="F1407" s="1">
        <v>42014</v>
      </c>
      <c r="G1407" s="1" t="str">
        <f>TEXT(pizza_sales[[#This Row],[order_date]],"dddd")</f>
        <v>Saturday</v>
      </c>
      <c r="H1407" s="2">
        <v>36526.909988425927</v>
      </c>
      <c r="I1407">
        <v>16.5</v>
      </c>
      <c r="J1407">
        <v>16.5</v>
      </c>
      <c r="K1407" t="s">
        <v>13</v>
      </c>
      <c r="L1407" t="s">
        <v>26</v>
      </c>
      <c r="M1407" t="s">
        <v>48</v>
      </c>
      <c r="N1407" t="s">
        <v>49</v>
      </c>
    </row>
    <row r="1408" spans="1:14" x14ac:dyDescent="0.3">
      <c r="A1408">
        <v>1407</v>
      </c>
      <c r="B1408">
        <v>626</v>
      </c>
      <c r="C1408">
        <f>1/COUNTIF(pizza_sales[[#All],[order_id]],pizza_sales[[#This Row],[order_id]])</f>
        <v>0.5</v>
      </c>
      <c r="D1408" t="s">
        <v>17</v>
      </c>
      <c r="E1408">
        <v>1</v>
      </c>
      <c r="F1408" s="1">
        <v>42014</v>
      </c>
      <c r="G1408" s="1" t="str">
        <f>TEXT(pizza_sales[[#This Row],[order_date]],"dddd")</f>
        <v>Saturday</v>
      </c>
      <c r="H1408" s="2">
        <v>36526.91333333333</v>
      </c>
      <c r="I1408">
        <v>16</v>
      </c>
      <c r="J1408">
        <v>16</v>
      </c>
      <c r="K1408" t="s">
        <v>13</v>
      </c>
      <c r="L1408" t="s">
        <v>14</v>
      </c>
      <c r="M1408" t="s">
        <v>18</v>
      </c>
      <c r="N1408" t="s">
        <v>19</v>
      </c>
    </row>
    <row r="1409" spans="1:14" x14ac:dyDescent="0.3">
      <c r="A1409">
        <v>1408</v>
      </c>
      <c r="B1409">
        <v>626</v>
      </c>
      <c r="C1409">
        <f>1/COUNTIF(pizza_sales[[#All],[order_id]],pizza_sales[[#This Row],[order_id]])</f>
        <v>0.5</v>
      </c>
      <c r="D1409" t="s">
        <v>99</v>
      </c>
      <c r="E1409">
        <v>1</v>
      </c>
      <c r="F1409" s="1">
        <v>42014</v>
      </c>
      <c r="G1409" s="1" t="str">
        <f>TEXT(pizza_sales[[#This Row],[order_date]],"dddd")</f>
        <v>Saturday</v>
      </c>
      <c r="H1409" s="2">
        <v>36526.91333333333</v>
      </c>
      <c r="I1409">
        <v>14.75</v>
      </c>
      <c r="J1409">
        <v>14.75</v>
      </c>
      <c r="K1409" t="s">
        <v>13</v>
      </c>
      <c r="L1409" t="s">
        <v>22</v>
      </c>
      <c r="M1409" t="s">
        <v>91</v>
      </c>
      <c r="N1409" t="s">
        <v>92</v>
      </c>
    </row>
    <row r="1410" spans="1:14" x14ac:dyDescent="0.3">
      <c r="A1410">
        <v>1409</v>
      </c>
      <c r="B1410">
        <v>627</v>
      </c>
      <c r="C1410">
        <f>1/COUNTIF(pizza_sales[[#All],[order_id]],pizza_sales[[#This Row],[order_id]])</f>
        <v>0.5</v>
      </c>
      <c r="D1410" t="s">
        <v>170</v>
      </c>
      <c r="E1410">
        <v>1</v>
      </c>
      <c r="F1410" s="1">
        <v>42014</v>
      </c>
      <c r="G1410" s="1" t="str">
        <f>TEXT(pizza_sales[[#This Row],[order_date]],"dddd")</f>
        <v>Saturday</v>
      </c>
      <c r="H1410" s="2">
        <v>36526.929571759261</v>
      </c>
      <c r="I1410">
        <v>20.5</v>
      </c>
      <c r="J1410">
        <v>20.5</v>
      </c>
      <c r="K1410" t="s">
        <v>21</v>
      </c>
      <c r="L1410" t="s">
        <v>14</v>
      </c>
      <c r="M1410" t="s">
        <v>45</v>
      </c>
      <c r="N1410" t="s">
        <v>46</v>
      </c>
    </row>
    <row r="1411" spans="1:14" x14ac:dyDescent="0.3">
      <c r="A1411">
        <v>1410</v>
      </c>
      <c r="B1411">
        <v>627</v>
      </c>
      <c r="C1411">
        <f>1/COUNTIF(pizza_sales[[#All],[order_id]],pizza_sales[[#This Row],[order_id]])</f>
        <v>0.5</v>
      </c>
      <c r="D1411" t="s">
        <v>155</v>
      </c>
      <c r="E1411">
        <v>1</v>
      </c>
      <c r="F1411" s="1">
        <v>42014</v>
      </c>
      <c r="G1411" s="1" t="str">
        <f>TEXT(pizza_sales[[#This Row],[order_date]],"dddd")</f>
        <v>Saturday</v>
      </c>
      <c r="H1411" s="2">
        <v>36526.929571759261</v>
      </c>
      <c r="I1411">
        <v>16</v>
      </c>
      <c r="J1411">
        <v>16</v>
      </c>
      <c r="K1411" t="s">
        <v>13</v>
      </c>
      <c r="L1411" t="s">
        <v>14</v>
      </c>
      <c r="M1411" t="s">
        <v>45</v>
      </c>
      <c r="N1411" t="s">
        <v>46</v>
      </c>
    </row>
    <row r="1412" spans="1:14" x14ac:dyDescent="0.3">
      <c r="A1412">
        <v>1411</v>
      </c>
      <c r="B1412">
        <v>628</v>
      </c>
      <c r="C1412">
        <f>1/COUNTIF(pizza_sales[[#All],[order_id]],pizza_sales[[#This Row],[order_id]])</f>
        <v>0.25</v>
      </c>
      <c r="D1412" t="s">
        <v>138</v>
      </c>
      <c r="E1412">
        <v>1</v>
      </c>
      <c r="F1412" s="1">
        <v>42014</v>
      </c>
      <c r="G1412" s="1" t="str">
        <f>TEXT(pizza_sales[[#This Row],[order_date]],"dddd")</f>
        <v>Saturday</v>
      </c>
      <c r="H1412" s="2">
        <v>36526.949502314812</v>
      </c>
      <c r="I1412">
        <v>20.5</v>
      </c>
      <c r="J1412">
        <v>20.5</v>
      </c>
      <c r="K1412" t="s">
        <v>21</v>
      </c>
      <c r="L1412" t="s">
        <v>14</v>
      </c>
      <c r="M1412" t="s">
        <v>18</v>
      </c>
      <c r="N1412" t="s">
        <v>19</v>
      </c>
    </row>
    <row r="1413" spans="1:14" x14ac:dyDescent="0.3">
      <c r="A1413">
        <v>1412</v>
      </c>
      <c r="B1413">
        <v>628</v>
      </c>
      <c r="C1413">
        <f>1/COUNTIF(pizza_sales[[#All],[order_id]],pizza_sales[[#This Row],[order_id]])</f>
        <v>0.25</v>
      </c>
      <c r="D1413" t="s">
        <v>100</v>
      </c>
      <c r="E1413">
        <v>1</v>
      </c>
      <c r="F1413" s="1">
        <v>42014</v>
      </c>
      <c r="G1413" s="1" t="str">
        <f>TEXT(pizza_sales[[#This Row],[order_date]],"dddd")</f>
        <v>Saturday</v>
      </c>
      <c r="H1413" s="2">
        <v>36526.949502314812</v>
      </c>
      <c r="I1413">
        <v>12.75</v>
      </c>
      <c r="J1413">
        <v>12.75</v>
      </c>
      <c r="K1413" t="s">
        <v>41</v>
      </c>
      <c r="L1413" t="s">
        <v>22</v>
      </c>
      <c r="M1413" t="s">
        <v>101</v>
      </c>
      <c r="N1413" t="s">
        <v>102</v>
      </c>
    </row>
    <row r="1414" spans="1:14" x14ac:dyDescent="0.3">
      <c r="A1414">
        <v>1413</v>
      </c>
      <c r="B1414">
        <v>628</v>
      </c>
      <c r="C1414">
        <f>1/COUNTIF(pizza_sales[[#All],[order_id]],pizza_sales[[#This Row],[order_id]])</f>
        <v>0.25</v>
      </c>
      <c r="D1414" t="s">
        <v>44</v>
      </c>
      <c r="E1414">
        <v>1</v>
      </c>
      <c r="F1414" s="1">
        <v>42014</v>
      </c>
      <c r="G1414" s="1" t="str">
        <f>TEXT(pizza_sales[[#This Row],[order_date]],"dddd")</f>
        <v>Saturday</v>
      </c>
      <c r="H1414" s="2">
        <v>36526.949502314812</v>
      </c>
      <c r="I1414">
        <v>12</v>
      </c>
      <c r="J1414">
        <v>12</v>
      </c>
      <c r="K1414" t="s">
        <v>41</v>
      </c>
      <c r="L1414" t="s">
        <v>14</v>
      </c>
      <c r="M1414" t="s">
        <v>45</v>
      </c>
      <c r="N1414" t="s">
        <v>46</v>
      </c>
    </row>
    <row r="1415" spans="1:14" x14ac:dyDescent="0.3">
      <c r="A1415">
        <v>1414</v>
      </c>
      <c r="B1415">
        <v>628</v>
      </c>
      <c r="C1415">
        <f>1/COUNTIF(pizza_sales[[#All],[order_id]],pizza_sales[[#This Row],[order_id]])</f>
        <v>0.25</v>
      </c>
      <c r="D1415" t="s">
        <v>65</v>
      </c>
      <c r="E1415">
        <v>1</v>
      </c>
      <c r="F1415" s="1">
        <v>42014</v>
      </c>
      <c r="G1415" s="1" t="str">
        <f>TEXT(pizza_sales[[#This Row],[order_date]],"dddd")</f>
        <v>Saturday</v>
      </c>
      <c r="H1415" s="2">
        <v>36526.949502314812</v>
      </c>
      <c r="I1415">
        <v>12</v>
      </c>
      <c r="J1415">
        <v>12</v>
      </c>
      <c r="K1415" t="s">
        <v>41</v>
      </c>
      <c r="L1415" t="s">
        <v>22</v>
      </c>
      <c r="M1415" t="s">
        <v>66</v>
      </c>
      <c r="N1415" t="s">
        <v>67</v>
      </c>
    </row>
    <row r="1416" spans="1:14" x14ac:dyDescent="0.3">
      <c r="A1416">
        <v>1415</v>
      </c>
      <c r="B1416">
        <v>629</v>
      </c>
      <c r="C1416">
        <f>1/COUNTIF(pizza_sales[[#All],[order_id]],pizza_sales[[#This Row],[order_id]])</f>
        <v>0.25</v>
      </c>
      <c r="D1416" t="s">
        <v>96</v>
      </c>
      <c r="E1416">
        <v>1</v>
      </c>
      <c r="F1416" s="1">
        <v>42014</v>
      </c>
      <c r="G1416" s="1" t="str">
        <f>TEXT(pizza_sales[[#This Row],[order_date]],"dddd")</f>
        <v>Saturday</v>
      </c>
      <c r="H1416" s="2">
        <v>36526.95045138889</v>
      </c>
      <c r="I1416">
        <v>16.25</v>
      </c>
      <c r="J1416">
        <v>16.25</v>
      </c>
      <c r="K1416" t="s">
        <v>13</v>
      </c>
      <c r="L1416" t="s">
        <v>26</v>
      </c>
      <c r="M1416" t="s">
        <v>97</v>
      </c>
      <c r="N1416" t="s">
        <v>98</v>
      </c>
    </row>
    <row r="1417" spans="1:14" x14ac:dyDescent="0.3">
      <c r="A1417">
        <v>1416</v>
      </c>
      <c r="B1417">
        <v>629</v>
      </c>
      <c r="C1417">
        <f>1/COUNTIF(pizza_sales[[#All],[order_id]],pizza_sales[[#This Row],[order_id]])</f>
        <v>0.25</v>
      </c>
      <c r="D1417" t="s">
        <v>20</v>
      </c>
      <c r="E1417">
        <v>1</v>
      </c>
      <c r="F1417" s="1">
        <v>42014</v>
      </c>
      <c r="G1417" s="1" t="str">
        <f>TEXT(pizza_sales[[#This Row],[order_date]],"dddd")</f>
        <v>Saturday</v>
      </c>
      <c r="H1417" s="2">
        <v>36526.95045138889</v>
      </c>
      <c r="I1417">
        <v>18.5</v>
      </c>
      <c r="J1417">
        <v>18.5</v>
      </c>
      <c r="K1417" t="s">
        <v>21</v>
      </c>
      <c r="L1417" t="s">
        <v>22</v>
      </c>
      <c r="M1417" t="s">
        <v>23</v>
      </c>
      <c r="N1417" t="s">
        <v>24</v>
      </c>
    </row>
    <row r="1418" spans="1:14" x14ac:dyDescent="0.3">
      <c r="A1418">
        <v>1417</v>
      </c>
      <c r="B1418">
        <v>629</v>
      </c>
      <c r="C1418">
        <f>1/COUNTIF(pizza_sales[[#All],[order_id]],pizza_sales[[#This Row],[order_id]])</f>
        <v>0.25</v>
      </c>
      <c r="D1418" t="s">
        <v>148</v>
      </c>
      <c r="E1418">
        <v>1</v>
      </c>
      <c r="F1418" s="1">
        <v>42014</v>
      </c>
      <c r="G1418" s="1" t="str">
        <f>TEXT(pizza_sales[[#This Row],[order_date]],"dddd")</f>
        <v>Saturday</v>
      </c>
      <c r="H1418" s="2">
        <v>36526.95045138889</v>
      </c>
      <c r="I1418">
        <v>14.5</v>
      </c>
      <c r="J1418">
        <v>14.5</v>
      </c>
      <c r="K1418" t="s">
        <v>13</v>
      </c>
      <c r="L1418" t="s">
        <v>14</v>
      </c>
      <c r="M1418" t="s">
        <v>130</v>
      </c>
      <c r="N1418" t="s">
        <v>131</v>
      </c>
    </row>
    <row r="1419" spans="1:14" x14ac:dyDescent="0.3">
      <c r="A1419">
        <v>1418</v>
      </c>
      <c r="B1419">
        <v>629</v>
      </c>
      <c r="C1419">
        <f>1/COUNTIF(pizza_sales[[#All],[order_id]],pizza_sales[[#This Row],[order_id]])</f>
        <v>0.25</v>
      </c>
      <c r="D1419" t="s">
        <v>62</v>
      </c>
      <c r="E1419">
        <v>1</v>
      </c>
      <c r="F1419" s="1">
        <v>42014</v>
      </c>
      <c r="G1419" s="1" t="str">
        <f>TEXT(pizza_sales[[#This Row],[order_date]],"dddd")</f>
        <v>Saturday</v>
      </c>
      <c r="H1419" s="2">
        <v>36526.95045138889</v>
      </c>
      <c r="I1419">
        <v>20.75</v>
      </c>
      <c r="J1419">
        <v>20.75</v>
      </c>
      <c r="K1419" t="s">
        <v>21</v>
      </c>
      <c r="L1419" t="s">
        <v>22</v>
      </c>
      <c r="M1419" t="s">
        <v>63</v>
      </c>
      <c r="N1419" t="s">
        <v>64</v>
      </c>
    </row>
    <row r="1420" spans="1:14" x14ac:dyDescent="0.3">
      <c r="A1420">
        <v>1419</v>
      </c>
      <c r="B1420">
        <v>630</v>
      </c>
      <c r="C1420">
        <f>1/COUNTIF(pizza_sales[[#All],[order_id]],pizza_sales[[#This Row],[order_id]])</f>
        <v>1</v>
      </c>
      <c r="D1420" t="s">
        <v>149</v>
      </c>
      <c r="E1420">
        <v>1</v>
      </c>
      <c r="F1420" s="1">
        <v>42015</v>
      </c>
      <c r="G1420" s="1" t="str">
        <f>TEXT(pizza_sales[[#This Row],[order_date]],"dddd")</f>
        <v>Sunday</v>
      </c>
      <c r="H1420" s="2">
        <v>36526.487592592595</v>
      </c>
      <c r="I1420">
        <v>12.25</v>
      </c>
      <c r="J1420">
        <v>12.25</v>
      </c>
      <c r="K1420" t="s">
        <v>41</v>
      </c>
      <c r="L1420" t="s">
        <v>26</v>
      </c>
      <c r="M1420" t="s">
        <v>114</v>
      </c>
      <c r="N1420" t="s">
        <v>115</v>
      </c>
    </row>
    <row r="1421" spans="1:14" x14ac:dyDescent="0.3">
      <c r="A1421">
        <v>1420</v>
      </c>
      <c r="B1421">
        <v>631</v>
      </c>
      <c r="C1421">
        <f>1/COUNTIF(pizza_sales[[#All],[order_id]],pizza_sales[[#This Row],[order_id]])</f>
        <v>1</v>
      </c>
      <c r="D1421" t="s">
        <v>77</v>
      </c>
      <c r="E1421">
        <v>1</v>
      </c>
      <c r="F1421" s="1">
        <v>42015</v>
      </c>
      <c r="G1421" s="1" t="str">
        <f>TEXT(pizza_sales[[#This Row],[order_date]],"dddd")</f>
        <v>Sunday</v>
      </c>
      <c r="H1421" s="2">
        <v>36526.489305555559</v>
      </c>
      <c r="I1421">
        <v>15.25</v>
      </c>
      <c r="J1421">
        <v>15.25</v>
      </c>
      <c r="K1421" t="s">
        <v>21</v>
      </c>
      <c r="L1421" t="s">
        <v>14</v>
      </c>
      <c r="M1421" t="s">
        <v>78</v>
      </c>
      <c r="N1421" t="s">
        <v>79</v>
      </c>
    </row>
    <row r="1422" spans="1:14" x14ac:dyDescent="0.3">
      <c r="A1422">
        <v>1421</v>
      </c>
      <c r="B1422">
        <v>632</v>
      </c>
      <c r="C1422">
        <f>1/COUNTIF(pizza_sales[[#All],[order_id]],pizza_sales[[#This Row],[order_id]])</f>
        <v>1</v>
      </c>
      <c r="D1422" t="s">
        <v>50</v>
      </c>
      <c r="E1422">
        <v>1</v>
      </c>
      <c r="F1422" s="1">
        <v>42015</v>
      </c>
      <c r="G1422" s="1" t="str">
        <f>TEXT(pizza_sales[[#This Row],[order_date]],"dddd")</f>
        <v>Sunday</v>
      </c>
      <c r="H1422" s="2">
        <v>36526.489490740743</v>
      </c>
      <c r="I1422">
        <v>12</v>
      </c>
      <c r="J1422">
        <v>12</v>
      </c>
      <c r="K1422" t="s">
        <v>41</v>
      </c>
      <c r="L1422" t="s">
        <v>14</v>
      </c>
      <c r="M1422" t="s">
        <v>18</v>
      </c>
      <c r="N1422" t="s">
        <v>19</v>
      </c>
    </row>
    <row r="1423" spans="1:14" x14ac:dyDescent="0.3">
      <c r="A1423">
        <v>1422</v>
      </c>
      <c r="B1423">
        <v>633</v>
      </c>
      <c r="C1423">
        <f>1/COUNTIF(pizza_sales[[#All],[order_id]],pizza_sales[[#This Row],[order_id]])</f>
        <v>0.33333333333333331</v>
      </c>
      <c r="D1423" t="s">
        <v>146</v>
      </c>
      <c r="E1423">
        <v>1</v>
      </c>
      <c r="F1423" s="1">
        <v>42015</v>
      </c>
      <c r="G1423" s="1" t="str">
        <f>TEXT(pizza_sales[[#This Row],[order_date]],"dddd")</f>
        <v>Sunday</v>
      </c>
      <c r="H1423" s="2">
        <v>36526.494270833333</v>
      </c>
      <c r="I1423">
        <v>20.25</v>
      </c>
      <c r="J1423">
        <v>20.25</v>
      </c>
      <c r="K1423" t="s">
        <v>21</v>
      </c>
      <c r="L1423" t="s">
        <v>22</v>
      </c>
      <c r="M1423" t="s">
        <v>104</v>
      </c>
      <c r="N1423" t="s">
        <v>105</v>
      </c>
    </row>
    <row r="1424" spans="1:14" x14ac:dyDescent="0.3">
      <c r="A1424">
        <v>1423</v>
      </c>
      <c r="B1424">
        <v>633</v>
      </c>
      <c r="C1424">
        <f>1/COUNTIF(pizza_sales[[#All],[order_id]],pizza_sales[[#This Row],[order_id]])</f>
        <v>0.33333333333333331</v>
      </c>
      <c r="D1424" t="s">
        <v>77</v>
      </c>
      <c r="E1424">
        <v>1</v>
      </c>
      <c r="F1424" s="1">
        <v>42015</v>
      </c>
      <c r="G1424" s="1" t="str">
        <f>TEXT(pizza_sales[[#This Row],[order_date]],"dddd")</f>
        <v>Sunday</v>
      </c>
      <c r="H1424" s="2">
        <v>36526.494270833333</v>
      </c>
      <c r="I1424">
        <v>15.25</v>
      </c>
      <c r="J1424">
        <v>15.25</v>
      </c>
      <c r="K1424" t="s">
        <v>21</v>
      </c>
      <c r="L1424" t="s">
        <v>14</v>
      </c>
      <c r="M1424" t="s">
        <v>78</v>
      </c>
      <c r="N1424" t="s">
        <v>79</v>
      </c>
    </row>
    <row r="1425" spans="1:14" x14ac:dyDescent="0.3">
      <c r="A1425">
        <v>1424</v>
      </c>
      <c r="B1425">
        <v>633</v>
      </c>
      <c r="C1425">
        <f>1/COUNTIF(pizza_sales[[#All],[order_id]],pizza_sales[[#This Row],[order_id]])</f>
        <v>0.33333333333333331</v>
      </c>
      <c r="D1425" t="s">
        <v>135</v>
      </c>
      <c r="E1425">
        <v>1</v>
      </c>
      <c r="F1425" s="1">
        <v>42015</v>
      </c>
      <c r="G1425" s="1" t="str">
        <f>TEXT(pizza_sales[[#This Row],[order_date]],"dddd")</f>
        <v>Sunday</v>
      </c>
      <c r="H1425" s="2">
        <v>36526.494270833333</v>
      </c>
      <c r="I1425">
        <v>20.75</v>
      </c>
      <c r="J1425">
        <v>20.75</v>
      </c>
      <c r="K1425" t="s">
        <v>21</v>
      </c>
      <c r="L1425" t="s">
        <v>26</v>
      </c>
      <c r="M1425" t="s">
        <v>107</v>
      </c>
      <c r="N1425" t="s">
        <v>108</v>
      </c>
    </row>
    <row r="1426" spans="1:14" x14ac:dyDescent="0.3">
      <c r="A1426">
        <v>1425</v>
      </c>
      <c r="B1426">
        <v>634</v>
      </c>
      <c r="C1426">
        <f>1/COUNTIF(pizza_sales[[#All],[order_id]],pizza_sales[[#This Row],[order_id]])</f>
        <v>1</v>
      </c>
      <c r="D1426" t="s">
        <v>77</v>
      </c>
      <c r="E1426">
        <v>1</v>
      </c>
      <c r="F1426" s="1">
        <v>42015</v>
      </c>
      <c r="G1426" s="1" t="str">
        <f>TEXT(pizza_sales[[#This Row],[order_date]],"dddd")</f>
        <v>Sunday</v>
      </c>
      <c r="H1426" s="2">
        <v>36526.509895833333</v>
      </c>
      <c r="I1426">
        <v>15.25</v>
      </c>
      <c r="J1426">
        <v>15.25</v>
      </c>
      <c r="K1426" t="s">
        <v>21</v>
      </c>
      <c r="L1426" t="s">
        <v>14</v>
      </c>
      <c r="M1426" t="s">
        <v>78</v>
      </c>
      <c r="N1426" t="s">
        <v>79</v>
      </c>
    </row>
    <row r="1427" spans="1:14" x14ac:dyDescent="0.3">
      <c r="A1427">
        <v>1426</v>
      </c>
      <c r="B1427">
        <v>635</v>
      </c>
      <c r="C1427">
        <f>1/COUNTIF(pizza_sales[[#All],[order_id]],pizza_sales[[#This Row],[order_id]])</f>
        <v>0.1</v>
      </c>
      <c r="D1427" t="s">
        <v>173</v>
      </c>
      <c r="E1427">
        <v>1</v>
      </c>
      <c r="F1427" s="1">
        <v>42015</v>
      </c>
      <c r="G1427" s="1" t="str">
        <f>TEXT(pizza_sales[[#This Row],[order_date]],"dddd")</f>
        <v>Sunday</v>
      </c>
      <c r="H1427" s="2">
        <v>36526.512858796297</v>
      </c>
      <c r="I1427">
        <v>20.25</v>
      </c>
      <c r="J1427">
        <v>20.25</v>
      </c>
      <c r="K1427" t="s">
        <v>21</v>
      </c>
      <c r="L1427" t="s">
        <v>26</v>
      </c>
      <c r="M1427" t="s">
        <v>97</v>
      </c>
      <c r="N1427" t="s">
        <v>98</v>
      </c>
    </row>
    <row r="1428" spans="1:14" x14ac:dyDescent="0.3">
      <c r="A1428">
        <v>1427</v>
      </c>
      <c r="B1428">
        <v>635</v>
      </c>
      <c r="C1428">
        <f>1/COUNTIF(pizza_sales[[#All],[order_id]],pizza_sales[[#This Row],[order_id]])</f>
        <v>0.1</v>
      </c>
      <c r="D1428" t="s">
        <v>80</v>
      </c>
      <c r="E1428">
        <v>2</v>
      </c>
      <c r="F1428" s="1">
        <v>42015</v>
      </c>
      <c r="G1428" s="1" t="str">
        <f>TEXT(pizza_sales[[#This Row],[order_date]],"dddd")</f>
        <v>Sunday</v>
      </c>
      <c r="H1428" s="2">
        <v>36526.512858796297</v>
      </c>
      <c r="I1428">
        <v>12.75</v>
      </c>
      <c r="J1428">
        <v>25.5</v>
      </c>
      <c r="K1428" t="s">
        <v>41</v>
      </c>
      <c r="L1428" t="s">
        <v>33</v>
      </c>
      <c r="M1428" t="s">
        <v>74</v>
      </c>
      <c r="N1428" t="s">
        <v>75</v>
      </c>
    </row>
    <row r="1429" spans="1:14" x14ac:dyDescent="0.3">
      <c r="A1429">
        <v>1428</v>
      </c>
      <c r="B1429">
        <v>635</v>
      </c>
      <c r="C1429">
        <f>1/COUNTIF(pizza_sales[[#All],[order_id]],pizza_sales[[#This Row],[order_id]])</f>
        <v>0.1</v>
      </c>
      <c r="D1429" t="s">
        <v>132</v>
      </c>
      <c r="E1429">
        <v>1</v>
      </c>
      <c r="F1429" s="1">
        <v>42015</v>
      </c>
      <c r="G1429" s="1" t="str">
        <f>TEXT(pizza_sales[[#This Row],[order_date]],"dddd")</f>
        <v>Sunday</v>
      </c>
      <c r="H1429" s="2">
        <v>36526.512858796297</v>
      </c>
      <c r="I1429">
        <v>10.5</v>
      </c>
      <c r="J1429">
        <v>10.5</v>
      </c>
      <c r="K1429" t="s">
        <v>41</v>
      </c>
      <c r="L1429" t="s">
        <v>14</v>
      </c>
      <c r="M1429" t="s">
        <v>15</v>
      </c>
      <c r="N1429" t="s">
        <v>16</v>
      </c>
    </row>
    <row r="1430" spans="1:14" x14ac:dyDescent="0.3">
      <c r="A1430">
        <v>1429</v>
      </c>
      <c r="B1430">
        <v>635</v>
      </c>
      <c r="C1430">
        <f>1/COUNTIF(pizza_sales[[#All],[order_id]],pizza_sales[[#This Row],[order_id]])</f>
        <v>0.1</v>
      </c>
      <c r="D1430" t="s">
        <v>68</v>
      </c>
      <c r="E1430">
        <v>1</v>
      </c>
      <c r="F1430" s="1">
        <v>42015</v>
      </c>
      <c r="G1430" s="1" t="str">
        <f>TEXT(pizza_sales[[#This Row],[order_date]],"dddd")</f>
        <v>Sunday</v>
      </c>
      <c r="H1430" s="2">
        <v>36526.512858796297</v>
      </c>
      <c r="I1430">
        <v>20.25</v>
      </c>
      <c r="J1430">
        <v>20.25</v>
      </c>
      <c r="K1430" t="s">
        <v>21</v>
      </c>
      <c r="L1430" t="s">
        <v>22</v>
      </c>
      <c r="M1430" t="s">
        <v>30</v>
      </c>
      <c r="N1430" t="s">
        <v>31</v>
      </c>
    </row>
    <row r="1431" spans="1:14" x14ac:dyDescent="0.3">
      <c r="A1431">
        <v>1430</v>
      </c>
      <c r="B1431">
        <v>635</v>
      </c>
      <c r="C1431">
        <f>1/COUNTIF(pizza_sales[[#All],[order_id]],pizza_sales[[#This Row],[order_id]])</f>
        <v>0.1</v>
      </c>
      <c r="D1431" t="s">
        <v>119</v>
      </c>
      <c r="E1431">
        <v>1</v>
      </c>
      <c r="F1431" s="1">
        <v>42015</v>
      </c>
      <c r="G1431" s="1" t="str">
        <f>TEXT(pizza_sales[[#This Row],[order_date]],"dddd")</f>
        <v>Sunday</v>
      </c>
      <c r="H1431" s="2">
        <v>36526.512858796297</v>
      </c>
      <c r="I1431">
        <v>12.5</v>
      </c>
      <c r="J1431">
        <v>12.5</v>
      </c>
      <c r="K1431" t="s">
        <v>13</v>
      </c>
      <c r="L1431" t="s">
        <v>14</v>
      </c>
      <c r="M1431" t="s">
        <v>78</v>
      </c>
      <c r="N1431" t="s">
        <v>79</v>
      </c>
    </row>
    <row r="1432" spans="1:14" x14ac:dyDescent="0.3">
      <c r="A1432">
        <v>1431</v>
      </c>
      <c r="B1432">
        <v>635</v>
      </c>
      <c r="C1432">
        <f>1/COUNTIF(pizza_sales[[#All],[order_id]],pizza_sales[[#This Row],[order_id]])</f>
        <v>0.1</v>
      </c>
      <c r="D1432" t="s">
        <v>126</v>
      </c>
      <c r="E1432">
        <v>1</v>
      </c>
      <c r="F1432" s="1">
        <v>42015</v>
      </c>
      <c r="G1432" s="1" t="str">
        <f>TEXT(pizza_sales[[#This Row],[order_date]],"dddd")</f>
        <v>Sunday</v>
      </c>
      <c r="H1432" s="2">
        <v>36526.512858796297</v>
      </c>
      <c r="I1432">
        <v>9.75</v>
      </c>
      <c r="J1432">
        <v>9.75</v>
      </c>
      <c r="K1432" t="s">
        <v>41</v>
      </c>
      <c r="L1432" t="s">
        <v>14</v>
      </c>
      <c r="M1432" t="s">
        <v>78</v>
      </c>
      <c r="N1432" t="s">
        <v>79</v>
      </c>
    </row>
    <row r="1433" spans="1:14" x14ac:dyDescent="0.3">
      <c r="A1433">
        <v>1432</v>
      </c>
      <c r="B1433">
        <v>635</v>
      </c>
      <c r="C1433">
        <f>1/COUNTIF(pizza_sales[[#All],[order_id]],pizza_sales[[#This Row],[order_id]])</f>
        <v>0.1</v>
      </c>
      <c r="D1433" t="s">
        <v>106</v>
      </c>
      <c r="E1433">
        <v>1</v>
      </c>
      <c r="F1433" s="1">
        <v>42015</v>
      </c>
      <c r="G1433" s="1" t="str">
        <f>TEXT(pizza_sales[[#This Row],[order_date]],"dddd")</f>
        <v>Sunday</v>
      </c>
      <c r="H1433" s="2">
        <v>36526.512858796297</v>
      </c>
      <c r="I1433">
        <v>12.5</v>
      </c>
      <c r="J1433">
        <v>12.5</v>
      </c>
      <c r="K1433" t="s">
        <v>41</v>
      </c>
      <c r="L1433" t="s">
        <v>26</v>
      </c>
      <c r="M1433" t="s">
        <v>107</v>
      </c>
      <c r="N1433" t="s">
        <v>108</v>
      </c>
    </row>
    <row r="1434" spans="1:14" x14ac:dyDescent="0.3">
      <c r="A1434">
        <v>1433</v>
      </c>
      <c r="B1434">
        <v>635</v>
      </c>
      <c r="C1434">
        <f>1/COUNTIF(pizza_sales[[#All],[order_id]],pizza_sales[[#This Row],[order_id]])</f>
        <v>0.1</v>
      </c>
      <c r="D1434" t="s">
        <v>149</v>
      </c>
      <c r="E1434">
        <v>1</v>
      </c>
      <c r="F1434" s="1">
        <v>42015</v>
      </c>
      <c r="G1434" s="1" t="str">
        <f>TEXT(pizza_sales[[#This Row],[order_date]],"dddd")</f>
        <v>Sunday</v>
      </c>
      <c r="H1434" s="2">
        <v>36526.512858796297</v>
      </c>
      <c r="I1434">
        <v>12.25</v>
      </c>
      <c r="J1434">
        <v>12.25</v>
      </c>
      <c r="K1434" t="s">
        <v>41</v>
      </c>
      <c r="L1434" t="s">
        <v>26</v>
      </c>
      <c r="M1434" t="s">
        <v>114</v>
      </c>
      <c r="N1434" t="s">
        <v>115</v>
      </c>
    </row>
    <row r="1435" spans="1:14" x14ac:dyDescent="0.3">
      <c r="A1435">
        <v>1434</v>
      </c>
      <c r="B1435">
        <v>635</v>
      </c>
      <c r="C1435">
        <f>1/COUNTIF(pizza_sales[[#All],[order_id]],pizza_sales[[#This Row],[order_id]])</f>
        <v>0.1</v>
      </c>
      <c r="D1435" t="s">
        <v>109</v>
      </c>
      <c r="E1435">
        <v>1</v>
      </c>
      <c r="F1435" s="1">
        <v>42015</v>
      </c>
      <c r="G1435" s="1" t="str">
        <f>TEXT(pizza_sales[[#This Row],[order_date]],"dddd")</f>
        <v>Sunday</v>
      </c>
      <c r="H1435" s="2">
        <v>36526.512858796297</v>
      </c>
      <c r="I1435">
        <v>20.25</v>
      </c>
      <c r="J1435">
        <v>20.25</v>
      </c>
      <c r="K1435" t="s">
        <v>21</v>
      </c>
      <c r="L1435" t="s">
        <v>22</v>
      </c>
      <c r="M1435" t="s">
        <v>110</v>
      </c>
      <c r="N1435" t="s">
        <v>111</v>
      </c>
    </row>
    <row r="1436" spans="1:14" x14ac:dyDescent="0.3">
      <c r="A1436">
        <v>1435</v>
      </c>
      <c r="B1436">
        <v>635</v>
      </c>
      <c r="C1436">
        <f>1/COUNTIF(pizza_sales[[#All],[order_id]],pizza_sales[[#This Row],[order_id]])</f>
        <v>0.1</v>
      </c>
      <c r="D1436" t="s">
        <v>157</v>
      </c>
      <c r="E1436">
        <v>1</v>
      </c>
      <c r="F1436" s="1">
        <v>42015</v>
      </c>
      <c r="G1436" s="1" t="str">
        <f>TEXT(pizza_sales[[#This Row],[order_date]],"dddd")</f>
        <v>Sunday</v>
      </c>
      <c r="H1436" s="2">
        <v>36526.512858796297</v>
      </c>
      <c r="I1436">
        <v>12</v>
      </c>
      <c r="J1436">
        <v>12</v>
      </c>
      <c r="K1436" t="s">
        <v>41</v>
      </c>
      <c r="L1436" t="s">
        <v>22</v>
      </c>
      <c r="M1436" t="s">
        <v>110</v>
      </c>
      <c r="N1436" t="s">
        <v>111</v>
      </c>
    </row>
    <row r="1437" spans="1:14" x14ac:dyDescent="0.3">
      <c r="A1437">
        <v>1436</v>
      </c>
      <c r="B1437">
        <v>636</v>
      </c>
      <c r="C1437">
        <f>1/COUNTIF(pizza_sales[[#All],[order_id]],pizza_sales[[#This Row],[order_id]])</f>
        <v>1</v>
      </c>
      <c r="D1437" t="s">
        <v>17</v>
      </c>
      <c r="E1437">
        <v>1</v>
      </c>
      <c r="F1437" s="1">
        <v>42015</v>
      </c>
      <c r="G1437" s="1" t="str">
        <f>TEXT(pizza_sales[[#This Row],[order_date]],"dddd")</f>
        <v>Sunday</v>
      </c>
      <c r="H1437" s="2">
        <v>36526.52412037037</v>
      </c>
      <c r="I1437">
        <v>16</v>
      </c>
      <c r="J1437">
        <v>16</v>
      </c>
      <c r="K1437" t="s">
        <v>13</v>
      </c>
      <c r="L1437" t="s">
        <v>14</v>
      </c>
      <c r="M1437" t="s">
        <v>18</v>
      </c>
      <c r="N1437" t="s">
        <v>19</v>
      </c>
    </row>
    <row r="1438" spans="1:14" x14ac:dyDescent="0.3">
      <c r="A1438">
        <v>1437</v>
      </c>
      <c r="B1438">
        <v>637</v>
      </c>
      <c r="C1438">
        <f>1/COUNTIF(pizza_sales[[#All],[order_id]],pizza_sales[[#This Row],[order_id]])</f>
        <v>0.5</v>
      </c>
      <c r="D1438" t="s">
        <v>170</v>
      </c>
      <c r="E1438">
        <v>1</v>
      </c>
      <c r="F1438" s="1">
        <v>42015</v>
      </c>
      <c r="G1438" s="1" t="str">
        <f>TEXT(pizza_sales[[#This Row],[order_date]],"dddd")</f>
        <v>Sunday</v>
      </c>
      <c r="H1438" s="2">
        <v>36526.530671296299</v>
      </c>
      <c r="I1438">
        <v>20.5</v>
      </c>
      <c r="J1438">
        <v>20.5</v>
      </c>
      <c r="K1438" t="s">
        <v>21</v>
      </c>
      <c r="L1438" t="s">
        <v>14</v>
      </c>
      <c r="M1438" t="s">
        <v>45</v>
      </c>
      <c r="N1438" t="s">
        <v>46</v>
      </c>
    </row>
    <row r="1439" spans="1:14" x14ac:dyDescent="0.3">
      <c r="A1439">
        <v>1438</v>
      </c>
      <c r="B1439">
        <v>637</v>
      </c>
      <c r="C1439">
        <f>1/COUNTIF(pizza_sales[[#All],[order_id]],pizza_sales[[#This Row],[order_id]])</f>
        <v>0.5</v>
      </c>
      <c r="D1439" t="s">
        <v>154</v>
      </c>
      <c r="E1439">
        <v>1</v>
      </c>
      <c r="F1439" s="1">
        <v>42015</v>
      </c>
      <c r="G1439" s="1" t="str">
        <f>TEXT(pizza_sales[[#This Row],[order_date]],"dddd")</f>
        <v>Sunday</v>
      </c>
      <c r="H1439" s="2">
        <v>36526.530671296299</v>
      </c>
      <c r="I1439">
        <v>16</v>
      </c>
      <c r="J1439">
        <v>16</v>
      </c>
      <c r="K1439" t="s">
        <v>13</v>
      </c>
      <c r="L1439" t="s">
        <v>22</v>
      </c>
      <c r="M1439" t="s">
        <v>66</v>
      </c>
      <c r="N1439" t="s">
        <v>67</v>
      </c>
    </row>
    <row r="1440" spans="1:14" x14ac:dyDescent="0.3">
      <c r="A1440">
        <v>1439</v>
      </c>
      <c r="B1440">
        <v>638</v>
      </c>
      <c r="C1440">
        <f>1/COUNTIF(pizza_sales[[#All],[order_id]],pizza_sales[[#This Row],[order_id]])</f>
        <v>1</v>
      </c>
      <c r="D1440" t="s">
        <v>68</v>
      </c>
      <c r="E1440">
        <v>1</v>
      </c>
      <c r="F1440" s="1">
        <v>42015</v>
      </c>
      <c r="G1440" s="1" t="str">
        <f>TEXT(pizza_sales[[#This Row],[order_date]],"dddd")</f>
        <v>Sunday</v>
      </c>
      <c r="H1440" s="2">
        <v>36526.534328703703</v>
      </c>
      <c r="I1440">
        <v>20.25</v>
      </c>
      <c r="J1440">
        <v>20.25</v>
      </c>
      <c r="K1440" t="s">
        <v>21</v>
      </c>
      <c r="L1440" t="s">
        <v>22</v>
      </c>
      <c r="M1440" t="s">
        <v>30</v>
      </c>
      <c r="N1440" t="s">
        <v>31</v>
      </c>
    </row>
    <row r="1441" spans="1:14" x14ac:dyDescent="0.3">
      <c r="A1441">
        <v>1440</v>
      </c>
      <c r="B1441">
        <v>639</v>
      </c>
      <c r="C1441">
        <f>1/COUNTIF(pizza_sales[[#All],[order_id]],pizza_sales[[#This Row],[order_id]])</f>
        <v>1</v>
      </c>
      <c r="D1441" t="s">
        <v>148</v>
      </c>
      <c r="E1441">
        <v>1</v>
      </c>
      <c r="F1441" s="1">
        <v>42015</v>
      </c>
      <c r="G1441" s="1" t="str">
        <f>TEXT(pizza_sales[[#This Row],[order_date]],"dddd")</f>
        <v>Sunday</v>
      </c>
      <c r="H1441" s="2">
        <v>36526.557881944442</v>
      </c>
      <c r="I1441">
        <v>14.5</v>
      </c>
      <c r="J1441">
        <v>14.5</v>
      </c>
      <c r="K1441" t="s">
        <v>13</v>
      </c>
      <c r="L1441" t="s">
        <v>14</v>
      </c>
      <c r="M1441" t="s">
        <v>130</v>
      </c>
      <c r="N1441" t="s">
        <v>131</v>
      </c>
    </row>
    <row r="1442" spans="1:14" x14ac:dyDescent="0.3">
      <c r="A1442">
        <v>1441</v>
      </c>
      <c r="B1442">
        <v>640</v>
      </c>
      <c r="C1442">
        <f>1/COUNTIF(pizza_sales[[#All],[order_id]],pizza_sales[[#This Row],[order_id]])</f>
        <v>0.33333333333333331</v>
      </c>
      <c r="D1442" t="s">
        <v>80</v>
      </c>
      <c r="E1442">
        <v>1</v>
      </c>
      <c r="F1442" s="1">
        <v>42015</v>
      </c>
      <c r="G1442" s="1" t="str">
        <f>TEXT(pizza_sales[[#This Row],[order_date]],"dddd")</f>
        <v>Sunday</v>
      </c>
      <c r="H1442" s="2">
        <v>36526.561203703706</v>
      </c>
      <c r="I1442">
        <v>12.75</v>
      </c>
      <c r="J1442">
        <v>12.75</v>
      </c>
      <c r="K1442" t="s">
        <v>41</v>
      </c>
      <c r="L1442" t="s">
        <v>33</v>
      </c>
      <c r="M1442" t="s">
        <v>74</v>
      </c>
      <c r="N1442" t="s">
        <v>75</v>
      </c>
    </row>
    <row r="1443" spans="1:14" x14ac:dyDescent="0.3">
      <c r="A1443">
        <v>1442</v>
      </c>
      <c r="B1443">
        <v>640</v>
      </c>
      <c r="C1443">
        <f>1/COUNTIF(pizza_sales[[#All],[order_id]],pizza_sales[[#This Row],[order_id]])</f>
        <v>0.33333333333333331</v>
      </c>
      <c r="D1443" t="s">
        <v>81</v>
      </c>
      <c r="E1443">
        <v>1</v>
      </c>
      <c r="F1443" s="1">
        <v>42015</v>
      </c>
      <c r="G1443" s="1" t="str">
        <f>TEXT(pizza_sales[[#This Row],[order_date]],"dddd")</f>
        <v>Sunday</v>
      </c>
      <c r="H1443" s="2">
        <v>36526.561203703706</v>
      </c>
      <c r="I1443">
        <v>20.75</v>
      </c>
      <c r="J1443">
        <v>20.75</v>
      </c>
      <c r="K1443" t="s">
        <v>21</v>
      </c>
      <c r="L1443" t="s">
        <v>33</v>
      </c>
      <c r="M1443" t="s">
        <v>82</v>
      </c>
      <c r="N1443" t="s">
        <v>83</v>
      </c>
    </row>
    <row r="1444" spans="1:14" x14ac:dyDescent="0.3">
      <c r="A1444">
        <v>1443</v>
      </c>
      <c r="B1444">
        <v>640</v>
      </c>
      <c r="C1444">
        <f>1/COUNTIF(pizza_sales[[#All],[order_id]],pizza_sales[[#This Row],[order_id]])</f>
        <v>0.33333333333333331</v>
      </c>
      <c r="D1444" t="s">
        <v>93</v>
      </c>
      <c r="E1444">
        <v>1</v>
      </c>
      <c r="F1444" s="1">
        <v>42015</v>
      </c>
      <c r="G1444" s="1" t="str">
        <f>TEXT(pizza_sales[[#This Row],[order_date]],"dddd")</f>
        <v>Sunday</v>
      </c>
      <c r="H1444" s="2">
        <v>36526.561203703706</v>
      </c>
      <c r="I1444">
        <v>12</v>
      </c>
      <c r="J1444">
        <v>12</v>
      </c>
      <c r="K1444" t="s">
        <v>41</v>
      </c>
      <c r="L1444" t="s">
        <v>14</v>
      </c>
      <c r="M1444" t="s">
        <v>94</v>
      </c>
      <c r="N1444" t="s">
        <v>95</v>
      </c>
    </row>
    <row r="1445" spans="1:14" x14ac:dyDescent="0.3">
      <c r="A1445">
        <v>1444</v>
      </c>
      <c r="B1445">
        <v>641</v>
      </c>
      <c r="C1445">
        <f>1/COUNTIF(pizza_sales[[#All],[order_id]],pizza_sales[[#This Row],[order_id]])</f>
        <v>0.25</v>
      </c>
      <c r="D1445" t="s">
        <v>119</v>
      </c>
      <c r="E1445">
        <v>1</v>
      </c>
      <c r="F1445" s="1">
        <v>42015</v>
      </c>
      <c r="G1445" s="1" t="str">
        <f>TEXT(pizza_sales[[#This Row],[order_date]],"dddd")</f>
        <v>Sunday</v>
      </c>
      <c r="H1445" s="2">
        <v>36526.567893518521</v>
      </c>
      <c r="I1445">
        <v>12.5</v>
      </c>
      <c r="J1445">
        <v>12.5</v>
      </c>
      <c r="K1445" t="s">
        <v>13</v>
      </c>
      <c r="L1445" t="s">
        <v>14</v>
      </c>
      <c r="M1445" t="s">
        <v>78</v>
      </c>
      <c r="N1445" t="s">
        <v>79</v>
      </c>
    </row>
    <row r="1446" spans="1:14" x14ac:dyDescent="0.3">
      <c r="A1446">
        <v>1445</v>
      </c>
      <c r="B1446">
        <v>641</v>
      </c>
      <c r="C1446">
        <f>1/COUNTIF(pizza_sales[[#All],[order_id]],pizza_sales[[#This Row],[order_id]])</f>
        <v>0.25</v>
      </c>
      <c r="D1446" t="s">
        <v>69</v>
      </c>
      <c r="E1446">
        <v>1</v>
      </c>
      <c r="F1446" s="1">
        <v>42015</v>
      </c>
      <c r="G1446" s="1" t="str">
        <f>TEXT(pizza_sales[[#This Row],[order_date]],"dddd")</f>
        <v>Sunday</v>
      </c>
      <c r="H1446" s="2">
        <v>36526.567893518521</v>
      </c>
      <c r="I1446">
        <v>20.75</v>
      </c>
      <c r="J1446">
        <v>20.75</v>
      </c>
      <c r="K1446" t="s">
        <v>21</v>
      </c>
      <c r="L1446" t="s">
        <v>33</v>
      </c>
      <c r="M1446" t="s">
        <v>70</v>
      </c>
      <c r="N1446" t="s">
        <v>71</v>
      </c>
    </row>
    <row r="1447" spans="1:14" x14ac:dyDescent="0.3">
      <c r="A1447">
        <v>1446</v>
      </c>
      <c r="B1447">
        <v>641</v>
      </c>
      <c r="C1447">
        <f>1/COUNTIF(pizza_sales[[#All],[order_id]],pizza_sales[[#This Row],[order_id]])</f>
        <v>0.25</v>
      </c>
      <c r="D1447" t="s">
        <v>164</v>
      </c>
      <c r="E1447">
        <v>1</v>
      </c>
      <c r="F1447" s="1">
        <v>42015</v>
      </c>
      <c r="G1447" s="1" t="str">
        <f>TEXT(pizza_sales[[#This Row],[order_date]],"dddd")</f>
        <v>Sunday</v>
      </c>
      <c r="H1447" s="2">
        <v>36526.567893518521</v>
      </c>
      <c r="I1447">
        <v>16.5</v>
      </c>
      <c r="J1447">
        <v>16.5</v>
      </c>
      <c r="K1447" t="s">
        <v>13</v>
      </c>
      <c r="L1447" t="s">
        <v>22</v>
      </c>
      <c r="M1447" t="s">
        <v>63</v>
      </c>
      <c r="N1447" t="s">
        <v>64</v>
      </c>
    </row>
    <row r="1448" spans="1:14" x14ac:dyDescent="0.3">
      <c r="A1448">
        <v>1447</v>
      </c>
      <c r="B1448">
        <v>641</v>
      </c>
      <c r="C1448">
        <f>1/COUNTIF(pizza_sales[[#All],[order_id]],pizza_sales[[#This Row],[order_id]])</f>
        <v>0.25</v>
      </c>
      <c r="D1448" t="s">
        <v>157</v>
      </c>
      <c r="E1448">
        <v>1</v>
      </c>
      <c r="F1448" s="1">
        <v>42015</v>
      </c>
      <c r="G1448" s="1" t="str">
        <f>TEXT(pizza_sales[[#This Row],[order_date]],"dddd")</f>
        <v>Sunday</v>
      </c>
      <c r="H1448" s="2">
        <v>36526.567893518521</v>
      </c>
      <c r="I1448">
        <v>12</v>
      </c>
      <c r="J1448">
        <v>12</v>
      </c>
      <c r="K1448" t="s">
        <v>41</v>
      </c>
      <c r="L1448" t="s">
        <v>22</v>
      </c>
      <c r="M1448" t="s">
        <v>110</v>
      </c>
      <c r="N1448" t="s">
        <v>111</v>
      </c>
    </row>
    <row r="1449" spans="1:14" x14ac:dyDescent="0.3">
      <c r="A1449">
        <v>1448</v>
      </c>
      <c r="B1449">
        <v>642</v>
      </c>
      <c r="C1449">
        <f>1/COUNTIF(pizza_sales[[#All],[order_id]],pizza_sales[[#This Row],[order_id]])</f>
        <v>0.25</v>
      </c>
      <c r="D1449" t="s">
        <v>96</v>
      </c>
      <c r="E1449">
        <v>1</v>
      </c>
      <c r="F1449" s="1">
        <v>42015</v>
      </c>
      <c r="G1449" s="1" t="str">
        <f>TEXT(pizza_sales[[#This Row],[order_date]],"dddd")</f>
        <v>Sunday</v>
      </c>
      <c r="H1449" s="2">
        <v>36526.569444444445</v>
      </c>
      <c r="I1449">
        <v>16.25</v>
      </c>
      <c r="J1449">
        <v>16.25</v>
      </c>
      <c r="K1449" t="s">
        <v>13</v>
      </c>
      <c r="L1449" t="s">
        <v>26</v>
      </c>
      <c r="M1449" t="s">
        <v>97</v>
      </c>
      <c r="N1449" t="s">
        <v>98</v>
      </c>
    </row>
    <row r="1450" spans="1:14" x14ac:dyDescent="0.3">
      <c r="A1450">
        <v>1449</v>
      </c>
      <c r="B1450">
        <v>642</v>
      </c>
      <c r="C1450">
        <f>1/COUNTIF(pizza_sales[[#All],[order_id]],pizza_sales[[#This Row],[order_id]])</f>
        <v>0.25</v>
      </c>
      <c r="D1450" t="s">
        <v>73</v>
      </c>
      <c r="E1450">
        <v>1</v>
      </c>
      <c r="F1450" s="1">
        <v>42015</v>
      </c>
      <c r="G1450" s="1" t="str">
        <f>TEXT(pizza_sales[[#This Row],[order_date]],"dddd")</f>
        <v>Sunday</v>
      </c>
      <c r="H1450" s="2">
        <v>36526.569444444445</v>
      </c>
      <c r="I1450">
        <v>20.75</v>
      </c>
      <c r="J1450">
        <v>20.75</v>
      </c>
      <c r="K1450" t="s">
        <v>21</v>
      </c>
      <c r="L1450" t="s">
        <v>33</v>
      </c>
      <c r="M1450" t="s">
        <v>74</v>
      </c>
      <c r="N1450" t="s">
        <v>75</v>
      </c>
    </row>
    <row r="1451" spans="1:14" x14ac:dyDescent="0.3">
      <c r="A1451">
        <v>1450</v>
      </c>
      <c r="B1451">
        <v>642</v>
      </c>
      <c r="C1451">
        <f>1/COUNTIF(pizza_sales[[#All],[order_id]],pizza_sales[[#This Row],[order_id]])</f>
        <v>0.25</v>
      </c>
      <c r="D1451" t="s">
        <v>25</v>
      </c>
      <c r="E1451">
        <v>1</v>
      </c>
      <c r="F1451" s="1">
        <v>42015</v>
      </c>
      <c r="G1451" s="1" t="str">
        <f>TEXT(pizza_sales[[#This Row],[order_date]],"dddd")</f>
        <v>Sunday</v>
      </c>
      <c r="H1451" s="2">
        <v>36526.569444444445</v>
      </c>
      <c r="I1451">
        <v>20.75</v>
      </c>
      <c r="J1451">
        <v>20.75</v>
      </c>
      <c r="K1451" t="s">
        <v>21</v>
      </c>
      <c r="L1451" t="s">
        <v>26</v>
      </c>
      <c r="M1451" t="s">
        <v>27</v>
      </c>
      <c r="N1451" t="s">
        <v>28</v>
      </c>
    </row>
    <row r="1452" spans="1:14" x14ac:dyDescent="0.3">
      <c r="A1452">
        <v>1451</v>
      </c>
      <c r="B1452">
        <v>642</v>
      </c>
      <c r="C1452">
        <f>1/COUNTIF(pizza_sales[[#All],[order_id]],pizza_sales[[#This Row],[order_id]])</f>
        <v>0.25</v>
      </c>
      <c r="D1452" t="s">
        <v>87</v>
      </c>
      <c r="E1452">
        <v>1</v>
      </c>
      <c r="F1452" s="1">
        <v>42015</v>
      </c>
      <c r="G1452" s="1" t="str">
        <f>TEXT(pizza_sales[[#This Row],[order_date]],"dddd")</f>
        <v>Sunday</v>
      </c>
      <c r="H1452" s="2">
        <v>36526.569444444445</v>
      </c>
      <c r="I1452">
        <v>20.75</v>
      </c>
      <c r="J1452">
        <v>20.75</v>
      </c>
      <c r="K1452" t="s">
        <v>21</v>
      </c>
      <c r="L1452" t="s">
        <v>26</v>
      </c>
      <c r="M1452" t="s">
        <v>88</v>
      </c>
      <c r="N1452" t="s">
        <v>89</v>
      </c>
    </row>
    <row r="1453" spans="1:14" x14ac:dyDescent="0.3">
      <c r="A1453">
        <v>1452</v>
      </c>
      <c r="B1453">
        <v>643</v>
      </c>
      <c r="C1453">
        <f>1/COUNTIF(pizza_sales[[#All],[order_id]],pizza_sales[[#This Row],[order_id]])</f>
        <v>1</v>
      </c>
      <c r="D1453" t="s">
        <v>162</v>
      </c>
      <c r="E1453">
        <v>1</v>
      </c>
      <c r="F1453" s="1">
        <v>42015</v>
      </c>
      <c r="G1453" s="1" t="str">
        <f>TEXT(pizza_sales[[#This Row],[order_date]],"dddd")</f>
        <v>Sunday</v>
      </c>
      <c r="H1453" s="2">
        <v>36526.571747685186</v>
      </c>
      <c r="I1453">
        <v>16</v>
      </c>
      <c r="J1453">
        <v>16</v>
      </c>
      <c r="K1453" t="s">
        <v>13</v>
      </c>
      <c r="L1453" t="s">
        <v>22</v>
      </c>
      <c r="M1453" t="s">
        <v>110</v>
      </c>
      <c r="N1453" t="s">
        <v>111</v>
      </c>
    </row>
    <row r="1454" spans="1:14" x14ac:dyDescent="0.3">
      <c r="A1454">
        <v>1453</v>
      </c>
      <c r="B1454">
        <v>644</v>
      </c>
      <c r="C1454">
        <f>1/COUNTIF(pizza_sales[[#All],[order_id]],pizza_sales[[#This Row],[order_id]])</f>
        <v>0.5</v>
      </c>
      <c r="D1454" t="s">
        <v>25</v>
      </c>
      <c r="E1454">
        <v>1</v>
      </c>
      <c r="F1454" s="1">
        <v>42015</v>
      </c>
      <c r="G1454" s="1" t="str">
        <f>TEXT(pizza_sales[[#This Row],[order_date]],"dddd")</f>
        <v>Sunday</v>
      </c>
      <c r="H1454" s="2">
        <v>36526.578379629631</v>
      </c>
      <c r="I1454">
        <v>20.75</v>
      </c>
      <c r="J1454">
        <v>20.75</v>
      </c>
      <c r="K1454" t="s">
        <v>21</v>
      </c>
      <c r="L1454" t="s">
        <v>26</v>
      </c>
      <c r="M1454" t="s">
        <v>27</v>
      </c>
      <c r="N1454" t="s">
        <v>28</v>
      </c>
    </row>
    <row r="1455" spans="1:14" x14ac:dyDescent="0.3">
      <c r="A1455">
        <v>1454</v>
      </c>
      <c r="B1455">
        <v>644</v>
      </c>
      <c r="C1455">
        <f>1/COUNTIF(pizza_sales[[#All],[order_id]],pizza_sales[[#This Row],[order_id]])</f>
        <v>0.5</v>
      </c>
      <c r="D1455" t="s">
        <v>133</v>
      </c>
      <c r="E1455">
        <v>1</v>
      </c>
      <c r="F1455" s="1">
        <v>42015</v>
      </c>
      <c r="G1455" s="1" t="str">
        <f>TEXT(pizza_sales[[#This Row],[order_date]],"dddd")</f>
        <v>Sunday</v>
      </c>
      <c r="H1455" s="2">
        <v>36526.578379629631</v>
      </c>
      <c r="I1455">
        <v>16.5</v>
      </c>
      <c r="J1455">
        <v>16.5</v>
      </c>
      <c r="K1455" t="s">
        <v>13</v>
      </c>
      <c r="L1455" t="s">
        <v>26</v>
      </c>
      <c r="M1455" t="s">
        <v>107</v>
      </c>
      <c r="N1455" t="s">
        <v>108</v>
      </c>
    </row>
    <row r="1456" spans="1:14" x14ac:dyDescent="0.3">
      <c r="A1456">
        <v>1455</v>
      </c>
      <c r="B1456">
        <v>645</v>
      </c>
      <c r="C1456">
        <f>1/COUNTIF(pizza_sales[[#All],[order_id]],pizza_sales[[#This Row],[order_id]])</f>
        <v>0.5</v>
      </c>
      <c r="D1456" t="s">
        <v>118</v>
      </c>
      <c r="E1456">
        <v>1</v>
      </c>
      <c r="F1456" s="1">
        <v>42015</v>
      </c>
      <c r="G1456" s="1" t="str">
        <f>TEXT(pizza_sales[[#This Row],[order_date]],"dddd")</f>
        <v>Sunday</v>
      </c>
      <c r="H1456" s="2">
        <v>36526.5859375</v>
      </c>
      <c r="I1456">
        <v>16.75</v>
      </c>
      <c r="J1456">
        <v>16.75</v>
      </c>
      <c r="K1456" t="s">
        <v>13</v>
      </c>
      <c r="L1456" t="s">
        <v>33</v>
      </c>
      <c r="M1456" t="s">
        <v>42</v>
      </c>
      <c r="N1456" t="s">
        <v>43</v>
      </c>
    </row>
    <row r="1457" spans="1:14" x14ac:dyDescent="0.3">
      <c r="A1457">
        <v>1456</v>
      </c>
      <c r="B1457">
        <v>645</v>
      </c>
      <c r="C1457">
        <f>1/COUNTIF(pizza_sales[[#All],[order_id]],pizza_sales[[#This Row],[order_id]])</f>
        <v>0.5</v>
      </c>
      <c r="D1457" t="s">
        <v>84</v>
      </c>
      <c r="E1457">
        <v>1</v>
      </c>
      <c r="F1457" s="1">
        <v>42015</v>
      </c>
      <c r="G1457" s="1" t="str">
        <f>TEXT(pizza_sales[[#This Row],[order_date]],"dddd")</f>
        <v>Sunday</v>
      </c>
      <c r="H1457" s="2">
        <v>36526.5859375</v>
      </c>
      <c r="I1457">
        <v>12</v>
      </c>
      <c r="J1457">
        <v>12</v>
      </c>
      <c r="K1457" t="s">
        <v>41</v>
      </c>
      <c r="L1457" t="s">
        <v>14</v>
      </c>
      <c r="M1457" t="s">
        <v>85</v>
      </c>
      <c r="N1457" t="s">
        <v>86</v>
      </c>
    </row>
    <row r="1458" spans="1:14" x14ac:dyDescent="0.3">
      <c r="A1458">
        <v>1457</v>
      </c>
      <c r="B1458">
        <v>646</v>
      </c>
      <c r="C1458">
        <f>1/COUNTIF(pizza_sales[[#All],[order_id]],pizza_sales[[#This Row],[order_id]])</f>
        <v>0.5</v>
      </c>
      <c r="D1458" t="s">
        <v>132</v>
      </c>
      <c r="E1458">
        <v>1</v>
      </c>
      <c r="F1458" s="1">
        <v>42015</v>
      </c>
      <c r="G1458" s="1" t="str">
        <f>TEXT(pizza_sales[[#This Row],[order_date]],"dddd")</f>
        <v>Sunday</v>
      </c>
      <c r="H1458" s="2">
        <v>36526.588495370372</v>
      </c>
      <c r="I1458">
        <v>10.5</v>
      </c>
      <c r="J1458">
        <v>10.5</v>
      </c>
      <c r="K1458" t="s">
        <v>41</v>
      </c>
      <c r="L1458" t="s">
        <v>14</v>
      </c>
      <c r="M1458" t="s">
        <v>15</v>
      </c>
      <c r="N1458" t="s">
        <v>16</v>
      </c>
    </row>
    <row r="1459" spans="1:14" x14ac:dyDescent="0.3">
      <c r="A1459">
        <v>1458</v>
      </c>
      <c r="B1459">
        <v>646</v>
      </c>
      <c r="C1459">
        <f>1/COUNTIF(pizza_sales[[#All],[order_id]],pizza_sales[[#This Row],[order_id]])</f>
        <v>0.5</v>
      </c>
      <c r="D1459" t="s">
        <v>32</v>
      </c>
      <c r="E1459">
        <v>1</v>
      </c>
      <c r="F1459" s="1">
        <v>42015</v>
      </c>
      <c r="G1459" s="1" t="str">
        <f>TEXT(pizza_sales[[#This Row],[order_date]],"dddd")</f>
        <v>Sunday</v>
      </c>
      <c r="H1459" s="2">
        <v>36526.588495370372</v>
      </c>
      <c r="I1459">
        <v>20.75</v>
      </c>
      <c r="J1459">
        <v>20.75</v>
      </c>
      <c r="K1459" t="s">
        <v>21</v>
      </c>
      <c r="L1459" t="s">
        <v>33</v>
      </c>
      <c r="M1459" t="s">
        <v>34</v>
      </c>
      <c r="N1459" t="s">
        <v>35</v>
      </c>
    </row>
    <row r="1460" spans="1:14" x14ac:dyDescent="0.3">
      <c r="A1460">
        <v>1459</v>
      </c>
      <c r="B1460">
        <v>647</v>
      </c>
      <c r="C1460">
        <f>1/COUNTIF(pizza_sales[[#All],[order_id]],pizza_sales[[#This Row],[order_id]])</f>
        <v>1</v>
      </c>
      <c r="D1460" t="s">
        <v>132</v>
      </c>
      <c r="E1460">
        <v>1</v>
      </c>
      <c r="F1460" s="1">
        <v>42015</v>
      </c>
      <c r="G1460" s="1" t="str">
        <f>TEXT(pizza_sales[[#This Row],[order_date]],"dddd")</f>
        <v>Sunday</v>
      </c>
      <c r="H1460" s="2">
        <v>36526.588599537034</v>
      </c>
      <c r="I1460">
        <v>10.5</v>
      </c>
      <c r="J1460">
        <v>10.5</v>
      </c>
      <c r="K1460" t="s">
        <v>41</v>
      </c>
      <c r="L1460" t="s">
        <v>14</v>
      </c>
      <c r="M1460" t="s">
        <v>15</v>
      </c>
      <c r="N1460" t="s">
        <v>16</v>
      </c>
    </row>
    <row r="1461" spans="1:14" x14ac:dyDescent="0.3">
      <c r="A1461">
        <v>1460</v>
      </c>
      <c r="B1461">
        <v>648</v>
      </c>
      <c r="C1461">
        <f>1/COUNTIF(pizza_sales[[#All],[order_id]],pizza_sales[[#This Row],[order_id]])</f>
        <v>0.5</v>
      </c>
      <c r="D1461" t="s">
        <v>90</v>
      </c>
      <c r="E1461">
        <v>1</v>
      </c>
      <c r="F1461" s="1">
        <v>42015</v>
      </c>
      <c r="G1461" s="1" t="str">
        <f>TEXT(pizza_sales[[#This Row],[order_date]],"dddd")</f>
        <v>Sunday</v>
      </c>
      <c r="H1461" s="2">
        <v>36526.595335648148</v>
      </c>
      <c r="I1461">
        <v>17.95</v>
      </c>
      <c r="J1461">
        <v>17.95</v>
      </c>
      <c r="K1461" t="s">
        <v>21</v>
      </c>
      <c r="L1461" t="s">
        <v>22</v>
      </c>
      <c r="M1461" t="s">
        <v>91</v>
      </c>
      <c r="N1461" t="s">
        <v>92</v>
      </c>
    </row>
    <row r="1462" spans="1:14" x14ac:dyDescent="0.3">
      <c r="A1462">
        <v>1461</v>
      </c>
      <c r="B1462">
        <v>648</v>
      </c>
      <c r="C1462">
        <f>1/COUNTIF(pizza_sales[[#All],[order_id]],pizza_sales[[#This Row],[order_id]])</f>
        <v>0.5</v>
      </c>
      <c r="D1462" t="s">
        <v>119</v>
      </c>
      <c r="E1462">
        <v>1</v>
      </c>
      <c r="F1462" s="1">
        <v>42015</v>
      </c>
      <c r="G1462" s="1" t="str">
        <f>TEXT(pizza_sales[[#This Row],[order_date]],"dddd")</f>
        <v>Sunday</v>
      </c>
      <c r="H1462" s="2">
        <v>36526.595335648148</v>
      </c>
      <c r="I1462">
        <v>12.5</v>
      </c>
      <c r="J1462">
        <v>12.5</v>
      </c>
      <c r="K1462" t="s">
        <v>13</v>
      </c>
      <c r="L1462" t="s">
        <v>14</v>
      </c>
      <c r="M1462" t="s">
        <v>78</v>
      </c>
      <c r="N1462" t="s">
        <v>79</v>
      </c>
    </row>
    <row r="1463" spans="1:14" x14ac:dyDescent="0.3">
      <c r="A1463">
        <v>1462</v>
      </c>
      <c r="B1463">
        <v>649</v>
      </c>
      <c r="C1463">
        <f>1/COUNTIF(pizza_sales[[#All],[order_id]],pizza_sales[[#This Row],[order_id]])</f>
        <v>0.25</v>
      </c>
      <c r="D1463" t="s">
        <v>80</v>
      </c>
      <c r="E1463">
        <v>1</v>
      </c>
      <c r="F1463" s="1">
        <v>42015</v>
      </c>
      <c r="G1463" s="1" t="str">
        <f>TEXT(pizza_sales[[#This Row],[order_date]],"dddd")</f>
        <v>Sunday</v>
      </c>
      <c r="H1463" s="2">
        <v>36526.603738425925</v>
      </c>
      <c r="I1463">
        <v>12.75</v>
      </c>
      <c r="J1463">
        <v>12.75</v>
      </c>
      <c r="K1463" t="s">
        <v>41</v>
      </c>
      <c r="L1463" t="s">
        <v>33</v>
      </c>
      <c r="M1463" t="s">
        <v>74</v>
      </c>
      <c r="N1463" t="s">
        <v>75</v>
      </c>
    </row>
    <row r="1464" spans="1:14" x14ac:dyDescent="0.3">
      <c r="A1464">
        <v>1463</v>
      </c>
      <c r="B1464">
        <v>649</v>
      </c>
      <c r="C1464">
        <f>1/COUNTIF(pizza_sales[[#All],[order_id]],pizza_sales[[#This Row],[order_id]])</f>
        <v>0.25</v>
      </c>
      <c r="D1464" t="s">
        <v>119</v>
      </c>
      <c r="E1464">
        <v>1</v>
      </c>
      <c r="F1464" s="1">
        <v>42015</v>
      </c>
      <c r="G1464" s="1" t="str">
        <f>TEXT(pizza_sales[[#This Row],[order_date]],"dddd")</f>
        <v>Sunday</v>
      </c>
      <c r="H1464" s="2">
        <v>36526.603738425925</v>
      </c>
      <c r="I1464">
        <v>12.5</v>
      </c>
      <c r="J1464">
        <v>12.5</v>
      </c>
      <c r="K1464" t="s">
        <v>13</v>
      </c>
      <c r="L1464" t="s">
        <v>14</v>
      </c>
      <c r="M1464" t="s">
        <v>78</v>
      </c>
      <c r="N1464" t="s">
        <v>79</v>
      </c>
    </row>
    <row r="1465" spans="1:14" x14ac:dyDescent="0.3">
      <c r="A1465">
        <v>1464</v>
      </c>
      <c r="B1465">
        <v>649</v>
      </c>
      <c r="C1465">
        <f>1/COUNTIF(pizza_sales[[#All],[order_id]],pizza_sales[[#This Row],[order_id]])</f>
        <v>0.25</v>
      </c>
      <c r="D1465" t="s">
        <v>133</v>
      </c>
      <c r="E1465">
        <v>1</v>
      </c>
      <c r="F1465" s="1">
        <v>42015</v>
      </c>
      <c r="G1465" s="1" t="str">
        <f>TEXT(pizza_sales[[#This Row],[order_date]],"dddd")</f>
        <v>Sunday</v>
      </c>
      <c r="H1465" s="2">
        <v>36526.603738425925</v>
      </c>
      <c r="I1465">
        <v>16.5</v>
      </c>
      <c r="J1465">
        <v>16.5</v>
      </c>
      <c r="K1465" t="s">
        <v>13</v>
      </c>
      <c r="L1465" t="s">
        <v>26</v>
      </c>
      <c r="M1465" t="s">
        <v>107</v>
      </c>
      <c r="N1465" t="s">
        <v>108</v>
      </c>
    </row>
    <row r="1466" spans="1:14" x14ac:dyDescent="0.3">
      <c r="A1466">
        <v>1465</v>
      </c>
      <c r="B1466">
        <v>649</v>
      </c>
      <c r="C1466">
        <f>1/COUNTIF(pizza_sales[[#All],[order_id]],pizza_sales[[#This Row],[order_id]])</f>
        <v>0.25</v>
      </c>
      <c r="D1466" t="s">
        <v>149</v>
      </c>
      <c r="E1466">
        <v>1</v>
      </c>
      <c r="F1466" s="1">
        <v>42015</v>
      </c>
      <c r="G1466" s="1" t="str">
        <f>TEXT(pizza_sales[[#This Row],[order_date]],"dddd")</f>
        <v>Sunday</v>
      </c>
      <c r="H1466" s="2">
        <v>36526.603738425925</v>
      </c>
      <c r="I1466">
        <v>12.25</v>
      </c>
      <c r="J1466">
        <v>12.25</v>
      </c>
      <c r="K1466" t="s">
        <v>41</v>
      </c>
      <c r="L1466" t="s">
        <v>26</v>
      </c>
      <c r="M1466" t="s">
        <v>114</v>
      </c>
      <c r="N1466" t="s">
        <v>115</v>
      </c>
    </row>
    <row r="1467" spans="1:14" x14ac:dyDescent="0.3">
      <c r="A1467">
        <v>1466</v>
      </c>
      <c r="B1467">
        <v>650</v>
      </c>
      <c r="C1467">
        <f>1/COUNTIF(pizza_sales[[#All],[order_id]],pizza_sales[[#This Row],[order_id]])</f>
        <v>1</v>
      </c>
      <c r="D1467" t="s">
        <v>119</v>
      </c>
      <c r="E1467">
        <v>1</v>
      </c>
      <c r="F1467" s="1">
        <v>42015</v>
      </c>
      <c r="G1467" s="1" t="str">
        <f>TEXT(pizza_sales[[#This Row],[order_date]],"dddd")</f>
        <v>Sunday</v>
      </c>
      <c r="H1467" s="2">
        <v>36526.607002314813</v>
      </c>
      <c r="I1467">
        <v>12.5</v>
      </c>
      <c r="J1467">
        <v>12.5</v>
      </c>
      <c r="K1467" t="s">
        <v>13</v>
      </c>
      <c r="L1467" t="s">
        <v>14</v>
      </c>
      <c r="M1467" t="s">
        <v>78</v>
      </c>
      <c r="N1467" t="s">
        <v>79</v>
      </c>
    </row>
    <row r="1468" spans="1:14" x14ac:dyDescent="0.3">
      <c r="A1468">
        <v>1467</v>
      </c>
      <c r="B1468">
        <v>651</v>
      </c>
      <c r="C1468">
        <f>1/COUNTIF(pizza_sales[[#All],[order_id]],pizza_sales[[#This Row],[order_id]])</f>
        <v>0.33333333333333331</v>
      </c>
      <c r="D1468" t="s">
        <v>40</v>
      </c>
      <c r="E1468">
        <v>1</v>
      </c>
      <c r="F1468" s="1">
        <v>42015</v>
      </c>
      <c r="G1468" s="1" t="str">
        <f>TEXT(pizza_sales[[#This Row],[order_date]],"dddd")</f>
        <v>Sunday</v>
      </c>
      <c r="H1468" s="2">
        <v>36526.617766203701</v>
      </c>
      <c r="I1468">
        <v>12.75</v>
      </c>
      <c r="J1468">
        <v>12.75</v>
      </c>
      <c r="K1468" t="s">
        <v>41</v>
      </c>
      <c r="L1468" t="s">
        <v>33</v>
      </c>
      <c r="M1468" t="s">
        <v>42</v>
      </c>
      <c r="N1468" t="s">
        <v>43</v>
      </c>
    </row>
    <row r="1469" spans="1:14" x14ac:dyDescent="0.3">
      <c r="A1469">
        <v>1468</v>
      </c>
      <c r="B1469">
        <v>651</v>
      </c>
      <c r="C1469">
        <f>1/COUNTIF(pizza_sales[[#All],[order_id]],pizza_sales[[#This Row],[order_id]])</f>
        <v>0.33333333333333331</v>
      </c>
      <c r="D1469" t="s">
        <v>96</v>
      </c>
      <c r="E1469">
        <v>1</v>
      </c>
      <c r="F1469" s="1">
        <v>42015</v>
      </c>
      <c r="G1469" s="1" t="str">
        <f>TEXT(pizza_sales[[#This Row],[order_date]],"dddd")</f>
        <v>Sunday</v>
      </c>
      <c r="H1469" s="2">
        <v>36526.617766203701</v>
      </c>
      <c r="I1469">
        <v>16.25</v>
      </c>
      <c r="J1469">
        <v>16.25</v>
      </c>
      <c r="K1469" t="s">
        <v>13</v>
      </c>
      <c r="L1469" t="s">
        <v>26</v>
      </c>
      <c r="M1469" t="s">
        <v>97</v>
      </c>
      <c r="N1469" t="s">
        <v>98</v>
      </c>
    </row>
    <row r="1470" spans="1:14" x14ac:dyDescent="0.3">
      <c r="A1470">
        <v>1469</v>
      </c>
      <c r="B1470">
        <v>651</v>
      </c>
      <c r="C1470">
        <f>1/COUNTIF(pizza_sales[[#All],[order_id]],pizza_sales[[#This Row],[order_id]])</f>
        <v>0.33333333333333331</v>
      </c>
      <c r="D1470" t="s">
        <v>119</v>
      </c>
      <c r="E1470">
        <v>1</v>
      </c>
      <c r="F1470" s="1">
        <v>42015</v>
      </c>
      <c r="G1470" s="1" t="str">
        <f>TEXT(pizza_sales[[#This Row],[order_date]],"dddd")</f>
        <v>Sunday</v>
      </c>
      <c r="H1470" s="2">
        <v>36526.617766203701</v>
      </c>
      <c r="I1470">
        <v>12.5</v>
      </c>
      <c r="J1470">
        <v>12.5</v>
      </c>
      <c r="K1470" t="s">
        <v>13</v>
      </c>
      <c r="L1470" t="s">
        <v>14</v>
      </c>
      <c r="M1470" t="s">
        <v>78</v>
      </c>
      <c r="N1470" t="s">
        <v>79</v>
      </c>
    </row>
    <row r="1471" spans="1:14" x14ac:dyDescent="0.3">
      <c r="A1471">
        <v>1470</v>
      </c>
      <c r="B1471">
        <v>652</v>
      </c>
      <c r="C1471">
        <f>1/COUNTIF(pizza_sales[[#All],[order_id]],pizza_sales[[#This Row],[order_id]])</f>
        <v>0.25</v>
      </c>
      <c r="D1471" t="s">
        <v>84</v>
      </c>
      <c r="E1471">
        <v>1</v>
      </c>
      <c r="F1471" s="1">
        <v>42015</v>
      </c>
      <c r="G1471" s="1" t="str">
        <f>TEXT(pizza_sales[[#This Row],[order_date]],"dddd")</f>
        <v>Sunday</v>
      </c>
      <c r="H1471" s="2">
        <v>36526.669189814813</v>
      </c>
      <c r="I1471">
        <v>12</v>
      </c>
      <c r="J1471">
        <v>12</v>
      </c>
      <c r="K1471" t="s">
        <v>41</v>
      </c>
      <c r="L1471" t="s">
        <v>14</v>
      </c>
      <c r="M1471" t="s">
        <v>85</v>
      </c>
      <c r="N1471" t="s">
        <v>86</v>
      </c>
    </row>
    <row r="1472" spans="1:14" x14ac:dyDescent="0.3">
      <c r="A1472">
        <v>1471</v>
      </c>
      <c r="B1472">
        <v>652</v>
      </c>
      <c r="C1472">
        <f>1/COUNTIF(pizza_sales[[#All],[order_id]],pizza_sales[[#This Row],[order_id]])</f>
        <v>0.25</v>
      </c>
      <c r="D1472" t="s">
        <v>134</v>
      </c>
      <c r="E1472">
        <v>1</v>
      </c>
      <c r="F1472" s="1">
        <v>42015</v>
      </c>
      <c r="G1472" s="1" t="str">
        <f>TEXT(pizza_sales[[#This Row],[order_date]],"dddd")</f>
        <v>Sunday</v>
      </c>
      <c r="H1472" s="2">
        <v>36526.669189814813</v>
      </c>
      <c r="I1472">
        <v>16.75</v>
      </c>
      <c r="J1472">
        <v>16.75</v>
      </c>
      <c r="K1472" t="s">
        <v>13</v>
      </c>
      <c r="L1472" t="s">
        <v>33</v>
      </c>
      <c r="M1472" t="s">
        <v>124</v>
      </c>
      <c r="N1472" t="s">
        <v>125</v>
      </c>
    </row>
    <row r="1473" spans="1:14" x14ac:dyDescent="0.3">
      <c r="A1473">
        <v>1472</v>
      </c>
      <c r="B1473">
        <v>652</v>
      </c>
      <c r="C1473">
        <f>1/COUNTIF(pizza_sales[[#All],[order_id]],pizza_sales[[#This Row],[order_id]])</f>
        <v>0.25</v>
      </c>
      <c r="D1473" t="s">
        <v>156</v>
      </c>
      <c r="E1473">
        <v>1</v>
      </c>
      <c r="F1473" s="1">
        <v>42015</v>
      </c>
      <c r="G1473" s="1" t="str">
        <f>TEXT(pizza_sales[[#This Row],[order_date]],"dddd")</f>
        <v>Sunday</v>
      </c>
      <c r="H1473" s="2">
        <v>36526.669189814813</v>
      </c>
      <c r="I1473">
        <v>12.75</v>
      </c>
      <c r="J1473">
        <v>12.75</v>
      </c>
      <c r="K1473" t="s">
        <v>41</v>
      </c>
      <c r="L1473" t="s">
        <v>33</v>
      </c>
      <c r="M1473" t="s">
        <v>82</v>
      </c>
      <c r="N1473" t="s">
        <v>83</v>
      </c>
    </row>
    <row r="1474" spans="1:14" x14ac:dyDescent="0.3">
      <c r="A1474">
        <v>1473</v>
      </c>
      <c r="B1474">
        <v>652</v>
      </c>
      <c r="C1474">
        <f>1/COUNTIF(pizza_sales[[#All],[order_id]],pizza_sales[[#This Row],[order_id]])</f>
        <v>0.25</v>
      </c>
      <c r="D1474" t="s">
        <v>120</v>
      </c>
      <c r="E1474">
        <v>1</v>
      </c>
      <c r="F1474" s="1">
        <v>42015</v>
      </c>
      <c r="G1474" s="1" t="str">
        <f>TEXT(pizza_sales[[#This Row],[order_date]],"dddd")</f>
        <v>Sunday</v>
      </c>
      <c r="H1474" s="2">
        <v>36526.669189814813</v>
      </c>
      <c r="I1474">
        <v>12.5</v>
      </c>
      <c r="J1474">
        <v>12.5</v>
      </c>
      <c r="K1474" t="s">
        <v>41</v>
      </c>
      <c r="L1474" t="s">
        <v>26</v>
      </c>
      <c r="M1474" t="s">
        <v>38</v>
      </c>
      <c r="N1474" t="s">
        <v>39</v>
      </c>
    </row>
    <row r="1475" spans="1:14" x14ac:dyDescent="0.3">
      <c r="A1475">
        <v>1474</v>
      </c>
      <c r="B1475">
        <v>653</v>
      </c>
      <c r="C1475">
        <f>1/COUNTIF(pizza_sales[[#All],[order_id]],pizza_sales[[#This Row],[order_id]])</f>
        <v>1</v>
      </c>
      <c r="D1475" t="s">
        <v>151</v>
      </c>
      <c r="E1475">
        <v>1</v>
      </c>
      <c r="F1475" s="1">
        <v>42015</v>
      </c>
      <c r="G1475" s="1" t="str">
        <f>TEXT(pizza_sales[[#This Row],[order_date]],"dddd")</f>
        <v>Sunday</v>
      </c>
      <c r="H1475" s="2">
        <v>36526.679432870369</v>
      </c>
      <c r="I1475">
        <v>12.75</v>
      </c>
      <c r="J1475">
        <v>12.75</v>
      </c>
      <c r="K1475" t="s">
        <v>41</v>
      </c>
      <c r="L1475" t="s">
        <v>33</v>
      </c>
      <c r="M1475" t="s">
        <v>34</v>
      </c>
      <c r="N1475" t="s">
        <v>35</v>
      </c>
    </row>
    <row r="1476" spans="1:14" x14ac:dyDescent="0.3">
      <c r="A1476">
        <v>1475</v>
      </c>
      <c r="B1476">
        <v>654</v>
      </c>
      <c r="C1476">
        <f>1/COUNTIF(pizza_sales[[#All],[order_id]],pizza_sales[[#This Row],[order_id]])</f>
        <v>0.33333333333333331</v>
      </c>
      <c r="D1476" t="s">
        <v>68</v>
      </c>
      <c r="E1476">
        <v>1</v>
      </c>
      <c r="F1476" s="1">
        <v>42015</v>
      </c>
      <c r="G1476" s="1" t="str">
        <f>TEXT(pizza_sales[[#This Row],[order_date]],"dddd")</f>
        <v>Sunday</v>
      </c>
      <c r="H1476" s="2">
        <v>36526.690358796295</v>
      </c>
      <c r="I1476">
        <v>20.25</v>
      </c>
      <c r="J1476">
        <v>20.25</v>
      </c>
      <c r="K1476" t="s">
        <v>21</v>
      </c>
      <c r="L1476" t="s">
        <v>22</v>
      </c>
      <c r="M1476" t="s">
        <v>30</v>
      </c>
      <c r="N1476" t="s">
        <v>31</v>
      </c>
    </row>
    <row r="1477" spans="1:14" x14ac:dyDescent="0.3">
      <c r="A1477">
        <v>1476</v>
      </c>
      <c r="B1477">
        <v>654</v>
      </c>
      <c r="C1477">
        <f>1/COUNTIF(pizza_sales[[#All],[order_id]],pizza_sales[[#This Row],[order_id]])</f>
        <v>0.33333333333333331</v>
      </c>
      <c r="D1477" t="s">
        <v>113</v>
      </c>
      <c r="E1477">
        <v>1</v>
      </c>
      <c r="F1477" s="1">
        <v>42015</v>
      </c>
      <c r="G1477" s="1" t="str">
        <f>TEXT(pizza_sales[[#This Row],[order_date]],"dddd")</f>
        <v>Sunday</v>
      </c>
      <c r="H1477" s="2">
        <v>36526.690358796295</v>
      </c>
      <c r="I1477">
        <v>20.25</v>
      </c>
      <c r="J1477">
        <v>20.25</v>
      </c>
      <c r="K1477" t="s">
        <v>21</v>
      </c>
      <c r="L1477" t="s">
        <v>26</v>
      </c>
      <c r="M1477" t="s">
        <v>114</v>
      </c>
      <c r="N1477" t="s">
        <v>115</v>
      </c>
    </row>
    <row r="1478" spans="1:14" x14ac:dyDescent="0.3">
      <c r="A1478">
        <v>1477</v>
      </c>
      <c r="B1478">
        <v>654</v>
      </c>
      <c r="C1478">
        <f>1/COUNTIF(pizza_sales[[#All],[order_id]],pizza_sales[[#This Row],[order_id]])</f>
        <v>0.33333333333333331</v>
      </c>
      <c r="D1478" t="s">
        <v>164</v>
      </c>
      <c r="E1478">
        <v>1</v>
      </c>
      <c r="F1478" s="1">
        <v>42015</v>
      </c>
      <c r="G1478" s="1" t="str">
        <f>TEXT(pizza_sales[[#This Row],[order_date]],"dddd")</f>
        <v>Sunday</v>
      </c>
      <c r="H1478" s="2">
        <v>36526.690358796295</v>
      </c>
      <c r="I1478">
        <v>16.5</v>
      </c>
      <c r="J1478">
        <v>16.5</v>
      </c>
      <c r="K1478" t="s">
        <v>13</v>
      </c>
      <c r="L1478" t="s">
        <v>22</v>
      </c>
      <c r="M1478" t="s">
        <v>63</v>
      </c>
      <c r="N1478" t="s">
        <v>64</v>
      </c>
    </row>
    <row r="1479" spans="1:14" x14ac:dyDescent="0.3">
      <c r="A1479">
        <v>1478</v>
      </c>
      <c r="B1479">
        <v>655</v>
      </c>
      <c r="C1479">
        <f>1/COUNTIF(pizza_sales[[#All],[order_id]],pizza_sales[[#This Row],[order_id]])</f>
        <v>1</v>
      </c>
      <c r="D1479" t="s">
        <v>36</v>
      </c>
      <c r="E1479">
        <v>1</v>
      </c>
      <c r="F1479" s="1">
        <v>42015</v>
      </c>
      <c r="G1479" s="1" t="str">
        <f>TEXT(pizza_sales[[#This Row],[order_date]],"dddd")</f>
        <v>Sunday</v>
      </c>
      <c r="H1479" s="2">
        <v>36526.696909722225</v>
      </c>
      <c r="I1479">
        <v>16.5</v>
      </c>
      <c r="J1479">
        <v>16.5</v>
      </c>
      <c r="K1479" t="s">
        <v>13</v>
      </c>
      <c r="L1479" t="s">
        <v>26</v>
      </c>
      <c r="M1479" t="s">
        <v>27</v>
      </c>
      <c r="N1479" t="s">
        <v>28</v>
      </c>
    </row>
    <row r="1480" spans="1:14" x14ac:dyDescent="0.3">
      <c r="A1480">
        <v>1479</v>
      </c>
      <c r="B1480">
        <v>656</v>
      </c>
      <c r="C1480">
        <f>1/COUNTIF(pizza_sales[[#All],[order_id]],pizza_sales[[#This Row],[order_id]])</f>
        <v>0.5</v>
      </c>
      <c r="D1480" t="s">
        <v>32</v>
      </c>
      <c r="E1480">
        <v>1</v>
      </c>
      <c r="F1480" s="1">
        <v>42015</v>
      </c>
      <c r="G1480" s="1" t="str">
        <f>TEXT(pizza_sales[[#This Row],[order_date]],"dddd")</f>
        <v>Sunday</v>
      </c>
      <c r="H1480" s="2">
        <v>36526.697789351849</v>
      </c>
      <c r="I1480">
        <v>20.75</v>
      </c>
      <c r="J1480">
        <v>20.75</v>
      </c>
      <c r="K1480" t="s">
        <v>21</v>
      </c>
      <c r="L1480" t="s">
        <v>33</v>
      </c>
      <c r="M1480" t="s">
        <v>34</v>
      </c>
      <c r="N1480" t="s">
        <v>35</v>
      </c>
    </row>
    <row r="1481" spans="1:14" x14ac:dyDescent="0.3">
      <c r="A1481">
        <v>1480</v>
      </c>
      <c r="B1481">
        <v>656</v>
      </c>
      <c r="C1481">
        <f>1/COUNTIF(pizza_sales[[#All],[order_id]],pizza_sales[[#This Row],[order_id]])</f>
        <v>0.5</v>
      </c>
      <c r="D1481" t="s">
        <v>122</v>
      </c>
      <c r="E1481">
        <v>1</v>
      </c>
      <c r="F1481" s="1">
        <v>42015</v>
      </c>
      <c r="G1481" s="1" t="str">
        <f>TEXT(pizza_sales[[#This Row],[order_date]],"dddd")</f>
        <v>Sunday</v>
      </c>
      <c r="H1481" s="2">
        <v>36526.697789351849</v>
      </c>
      <c r="I1481">
        <v>20.25</v>
      </c>
      <c r="J1481">
        <v>20.25</v>
      </c>
      <c r="K1481" t="s">
        <v>21</v>
      </c>
      <c r="L1481" t="s">
        <v>22</v>
      </c>
      <c r="M1481" t="s">
        <v>66</v>
      </c>
      <c r="N1481" t="s">
        <v>67</v>
      </c>
    </row>
    <row r="1482" spans="1:14" x14ac:dyDescent="0.3">
      <c r="A1482">
        <v>1481</v>
      </c>
      <c r="B1482">
        <v>657</v>
      </c>
      <c r="C1482">
        <f>1/COUNTIF(pizza_sales[[#All],[order_id]],pizza_sales[[#This Row],[order_id]])</f>
        <v>0.5</v>
      </c>
      <c r="D1482" t="s">
        <v>118</v>
      </c>
      <c r="E1482">
        <v>1</v>
      </c>
      <c r="F1482" s="1">
        <v>42015</v>
      </c>
      <c r="G1482" s="1" t="str">
        <f>TEXT(pizza_sales[[#This Row],[order_date]],"dddd")</f>
        <v>Sunday</v>
      </c>
      <c r="H1482" s="2">
        <v>36526.698460648149</v>
      </c>
      <c r="I1482">
        <v>16.75</v>
      </c>
      <c r="J1482">
        <v>16.75</v>
      </c>
      <c r="K1482" t="s">
        <v>13</v>
      </c>
      <c r="L1482" t="s">
        <v>33</v>
      </c>
      <c r="M1482" t="s">
        <v>42</v>
      </c>
      <c r="N1482" t="s">
        <v>43</v>
      </c>
    </row>
    <row r="1483" spans="1:14" x14ac:dyDescent="0.3">
      <c r="A1483">
        <v>1482</v>
      </c>
      <c r="B1483">
        <v>657</v>
      </c>
      <c r="C1483">
        <f>1/COUNTIF(pizza_sales[[#All],[order_id]],pizza_sales[[#This Row],[order_id]])</f>
        <v>0.5</v>
      </c>
      <c r="D1483" t="s">
        <v>17</v>
      </c>
      <c r="E1483">
        <v>1</v>
      </c>
      <c r="F1483" s="1">
        <v>42015</v>
      </c>
      <c r="G1483" s="1" t="str">
        <f>TEXT(pizza_sales[[#This Row],[order_date]],"dddd")</f>
        <v>Sunday</v>
      </c>
      <c r="H1483" s="2">
        <v>36526.698460648149</v>
      </c>
      <c r="I1483">
        <v>16</v>
      </c>
      <c r="J1483">
        <v>16</v>
      </c>
      <c r="K1483" t="s">
        <v>13</v>
      </c>
      <c r="L1483" t="s">
        <v>14</v>
      </c>
      <c r="M1483" t="s">
        <v>18</v>
      </c>
      <c r="N1483" t="s">
        <v>19</v>
      </c>
    </row>
    <row r="1484" spans="1:14" x14ac:dyDescent="0.3">
      <c r="A1484">
        <v>1483</v>
      </c>
      <c r="B1484">
        <v>658</v>
      </c>
      <c r="C1484">
        <f>1/COUNTIF(pizza_sales[[#All],[order_id]],pizza_sales[[#This Row],[order_id]])</f>
        <v>0.33333333333333331</v>
      </c>
      <c r="D1484" t="s">
        <v>163</v>
      </c>
      <c r="E1484">
        <v>1</v>
      </c>
      <c r="F1484" s="1">
        <v>42015</v>
      </c>
      <c r="G1484" s="1" t="str">
        <f>TEXT(pizza_sales[[#This Row],[order_date]],"dddd")</f>
        <v>Sunday</v>
      </c>
      <c r="H1484" s="2">
        <v>36526.705138888887</v>
      </c>
      <c r="I1484">
        <v>16</v>
      </c>
      <c r="J1484">
        <v>16</v>
      </c>
      <c r="K1484" t="s">
        <v>13</v>
      </c>
      <c r="L1484" t="s">
        <v>14</v>
      </c>
      <c r="M1484" t="s">
        <v>94</v>
      </c>
      <c r="N1484" t="s">
        <v>95</v>
      </c>
    </row>
    <row r="1485" spans="1:14" x14ac:dyDescent="0.3">
      <c r="A1485">
        <v>1484</v>
      </c>
      <c r="B1485">
        <v>658</v>
      </c>
      <c r="C1485">
        <f>1/COUNTIF(pizza_sales[[#All],[order_id]],pizza_sales[[#This Row],[order_id]])</f>
        <v>0.33333333333333331</v>
      </c>
      <c r="D1485" t="s">
        <v>106</v>
      </c>
      <c r="E1485">
        <v>1</v>
      </c>
      <c r="F1485" s="1">
        <v>42015</v>
      </c>
      <c r="G1485" s="1" t="str">
        <f>TEXT(pizza_sales[[#This Row],[order_date]],"dddd")</f>
        <v>Sunday</v>
      </c>
      <c r="H1485" s="2">
        <v>36526.705138888887</v>
      </c>
      <c r="I1485">
        <v>12.5</v>
      </c>
      <c r="J1485">
        <v>12.5</v>
      </c>
      <c r="K1485" t="s">
        <v>41</v>
      </c>
      <c r="L1485" t="s">
        <v>26</v>
      </c>
      <c r="M1485" t="s">
        <v>107</v>
      </c>
      <c r="N1485" t="s">
        <v>108</v>
      </c>
    </row>
    <row r="1486" spans="1:14" x14ac:dyDescent="0.3">
      <c r="A1486">
        <v>1485</v>
      </c>
      <c r="B1486">
        <v>658</v>
      </c>
      <c r="C1486">
        <f>1/COUNTIF(pizza_sales[[#All],[order_id]],pizza_sales[[#This Row],[order_id]])</f>
        <v>0.33333333333333331</v>
      </c>
      <c r="D1486" t="s">
        <v>154</v>
      </c>
      <c r="E1486">
        <v>1</v>
      </c>
      <c r="F1486" s="1">
        <v>42015</v>
      </c>
      <c r="G1486" s="1" t="str">
        <f>TEXT(pizza_sales[[#This Row],[order_date]],"dddd")</f>
        <v>Sunday</v>
      </c>
      <c r="H1486" s="2">
        <v>36526.705138888887</v>
      </c>
      <c r="I1486">
        <v>16</v>
      </c>
      <c r="J1486">
        <v>16</v>
      </c>
      <c r="K1486" t="s">
        <v>13</v>
      </c>
      <c r="L1486" t="s">
        <v>22</v>
      </c>
      <c r="M1486" t="s">
        <v>66</v>
      </c>
      <c r="N1486" t="s">
        <v>67</v>
      </c>
    </row>
    <row r="1487" spans="1:14" x14ac:dyDescent="0.3">
      <c r="A1487">
        <v>1486</v>
      </c>
      <c r="B1487">
        <v>659</v>
      </c>
      <c r="C1487">
        <f>1/COUNTIF(pizza_sales[[#All],[order_id]],pizza_sales[[#This Row],[order_id]])</f>
        <v>0.5</v>
      </c>
      <c r="D1487" t="s">
        <v>36</v>
      </c>
      <c r="E1487">
        <v>1</v>
      </c>
      <c r="F1487" s="1">
        <v>42015</v>
      </c>
      <c r="G1487" s="1" t="str">
        <f>TEXT(pizza_sales[[#This Row],[order_date]],"dddd")</f>
        <v>Sunday</v>
      </c>
      <c r="H1487" s="2">
        <v>36526.706006944441</v>
      </c>
      <c r="I1487">
        <v>16.5</v>
      </c>
      <c r="J1487">
        <v>16.5</v>
      </c>
      <c r="K1487" t="s">
        <v>13</v>
      </c>
      <c r="L1487" t="s">
        <v>26</v>
      </c>
      <c r="M1487" t="s">
        <v>27</v>
      </c>
      <c r="N1487" t="s">
        <v>28</v>
      </c>
    </row>
    <row r="1488" spans="1:14" x14ac:dyDescent="0.3">
      <c r="A1488">
        <v>1487</v>
      </c>
      <c r="B1488">
        <v>659</v>
      </c>
      <c r="C1488">
        <f>1/COUNTIF(pizza_sales[[#All],[order_id]],pizza_sales[[#This Row],[order_id]])</f>
        <v>0.5</v>
      </c>
      <c r="D1488" t="s">
        <v>113</v>
      </c>
      <c r="E1488">
        <v>1</v>
      </c>
      <c r="F1488" s="1">
        <v>42015</v>
      </c>
      <c r="G1488" s="1" t="str">
        <f>TEXT(pizza_sales[[#This Row],[order_date]],"dddd")</f>
        <v>Sunday</v>
      </c>
      <c r="H1488" s="2">
        <v>36526.706006944441</v>
      </c>
      <c r="I1488">
        <v>20.25</v>
      </c>
      <c r="J1488">
        <v>20.25</v>
      </c>
      <c r="K1488" t="s">
        <v>21</v>
      </c>
      <c r="L1488" t="s">
        <v>26</v>
      </c>
      <c r="M1488" t="s">
        <v>114</v>
      </c>
      <c r="N1488" t="s">
        <v>115</v>
      </c>
    </row>
    <row r="1489" spans="1:14" x14ac:dyDescent="0.3">
      <c r="A1489">
        <v>1488</v>
      </c>
      <c r="B1489">
        <v>660</v>
      </c>
      <c r="C1489">
        <f>1/COUNTIF(pizza_sales[[#All],[order_id]],pizza_sales[[#This Row],[order_id]])</f>
        <v>0.5</v>
      </c>
      <c r="D1489" t="s">
        <v>40</v>
      </c>
      <c r="E1489">
        <v>1</v>
      </c>
      <c r="F1489" s="1">
        <v>42015</v>
      </c>
      <c r="G1489" s="1" t="str">
        <f>TEXT(pizza_sales[[#This Row],[order_date]],"dddd")</f>
        <v>Sunday</v>
      </c>
      <c r="H1489" s="2">
        <v>36526.714999999997</v>
      </c>
      <c r="I1489">
        <v>12.75</v>
      </c>
      <c r="J1489">
        <v>12.75</v>
      </c>
      <c r="K1489" t="s">
        <v>41</v>
      </c>
      <c r="L1489" t="s">
        <v>33</v>
      </c>
      <c r="M1489" t="s">
        <v>42</v>
      </c>
      <c r="N1489" t="s">
        <v>43</v>
      </c>
    </row>
    <row r="1490" spans="1:14" x14ac:dyDescent="0.3">
      <c r="A1490">
        <v>1489</v>
      </c>
      <c r="B1490">
        <v>660</v>
      </c>
      <c r="C1490">
        <f>1/COUNTIF(pizza_sales[[#All],[order_id]],pizza_sales[[#This Row],[order_id]])</f>
        <v>0.5</v>
      </c>
      <c r="D1490" t="s">
        <v>36</v>
      </c>
      <c r="E1490">
        <v>1</v>
      </c>
      <c r="F1490" s="1">
        <v>42015</v>
      </c>
      <c r="G1490" s="1" t="str">
        <f>TEXT(pizza_sales[[#This Row],[order_date]],"dddd")</f>
        <v>Sunday</v>
      </c>
      <c r="H1490" s="2">
        <v>36526.714999999997</v>
      </c>
      <c r="I1490">
        <v>16.5</v>
      </c>
      <c r="J1490">
        <v>16.5</v>
      </c>
      <c r="K1490" t="s">
        <v>13</v>
      </c>
      <c r="L1490" t="s">
        <v>26</v>
      </c>
      <c r="M1490" t="s">
        <v>27</v>
      </c>
      <c r="N1490" t="s">
        <v>28</v>
      </c>
    </row>
    <row r="1491" spans="1:14" x14ac:dyDescent="0.3">
      <c r="A1491">
        <v>1490</v>
      </c>
      <c r="B1491">
        <v>661</v>
      </c>
      <c r="C1491">
        <f>1/COUNTIF(pizza_sales[[#All],[order_id]],pizza_sales[[#This Row],[order_id]])</f>
        <v>1</v>
      </c>
      <c r="D1491" t="s">
        <v>93</v>
      </c>
      <c r="E1491">
        <v>1</v>
      </c>
      <c r="F1491" s="1">
        <v>42015</v>
      </c>
      <c r="G1491" s="1" t="str">
        <f>TEXT(pizza_sales[[#This Row],[order_date]],"dddd")</f>
        <v>Sunday</v>
      </c>
      <c r="H1491" s="2">
        <v>36526.720995370371</v>
      </c>
      <c r="I1491">
        <v>12</v>
      </c>
      <c r="J1491">
        <v>12</v>
      </c>
      <c r="K1491" t="s">
        <v>41</v>
      </c>
      <c r="L1491" t="s">
        <v>14</v>
      </c>
      <c r="M1491" t="s">
        <v>94</v>
      </c>
      <c r="N1491" t="s">
        <v>95</v>
      </c>
    </row>
    <row r="1492" spans="1:14" x14ac:dyDescent="0.3">
      <c r="A1492">
        <v>1491</v>
      </c>
      <c r="B1492">
        <v>662</v>
      </c>
      <c r="C1492">
        <f>1/COUNTIF(pizza_sales[[#All],[order_id]],pizza_sales[[#This Row],[order_id]])</f>
        <v>0.5</v>
      </c>
      <c r="D1492" t="s">
        <v>72</v>
      </c>
      <c r="E1492">
        <v>1</v>
      </c>
      <c r="F1492" s="1">
        <v>42015</v>
      </c>
      <c r="G1492" s="1" t="str">
        <f>TEXT(pizza_sales[[#This Row],[order_date]],"dddd")</f>
        <v>Sunday</v>
      </c>
      <c r="H1492" s="2">
        <v>36526.723483796297</v>
      </c>
      <c r="I1492">
        <v>20.75</v>
      </c>
      <c r="J1492">
        <v>20.75</v>
      </c>
      <c r="K1492" t="s">
        <v>21</v>
      </c>
      <c r="L1492" t="s">
        <v>33</v>
      </c>
      <c r="M1492" t="s">
        <v>42</v>
      </c>
      <c r="N1492" t="s">
        <v>43</v>
      </c>
    </row>
    <row r="1493" spans="1:14" x14ac:dyDescent="0.3">
      <c r="A1493">
        <v>1492</v>
      </c>
      <c r="B1493">
        <v>662</v>
      </c>
      <c r="C1493">
        <f>1/COUNTIF(pizza_sales[[#All],[order_id]],pizza_sales[[#This Row],[order_id]])</f>
        <v>0.5</v>
      </c>
      <c r="D1493" t="s">
        <v>120</v>
      </c>
      <c r="E1493">
        <v>1</v>
      </c>
      <c r="F1493" s="1">
        <v>42015</v>
      </c>
      <c r="G1493" s="1" t="str">
        <f>TEXT(pizza_sales[[#This Row],[order_date]],"dddd")</f>
        <v>Sunday</v>
      </c>
      <c r="H1493" s="2">
        <v>36526.723483796297</v>
      </c>
      <c r="I1493">
        <v>12.5</v>
      </c>
      <c r="J1493">
        <v>12.5</v>
      </c>
      <c r="K1493" t="s">
        <v>41</v>
      </c>
      <c r="L1493" t="s">
        <v>26</v>
      </c>
      <c r="M1493" t="s">
        <v>38</v>
      </c>
      <c r="N1493" t="s">
        <v>39</v>
      </c>
    </row>
    <row r="1494" spans="1:14" x14ac:dyDescent="0.3">
      <c r="A1494">
        <v>1493</v>
      </c>
      <c r="B1494">
        <v>663</v>
      </c>
      <c r="C1494">
        <f>1/COUNTIF(pizza_sales[[#All],[order_id]],pizza_sales[[#This Row],[order_id]])</f>
        <v>1</v>
      </c>
      <c r="D1494" t="s">
        <v>90</v>
      </c>
      <c r="E1494">
        <v>1</v>
      </c>
      <c r="F1494" s="1">
        <v>42015</v>
      </c>
      <c r="G1494" s="1" t="str">
        <f>TEXT(pizza_sales[[#This Row],[order_date]],"dddd")</f>
        <v>Sunday</v>
      </c>
      <c r="H1494" s="2">
        <v>36526.728634259256</v>
      </c>
      <c r="I1494">
        <v>17.95</v>
      </c>
      <c r="J1494">
        <v>17.95</v>
      </c>
      <c r="K1494" t="s">
        <v>21</v>
      </c>
      <c r="L1494" t="s">
        <v>22</v>
      </c>
      <c r="M1494" t="s">
        <v>91</v>
      </c>
      <c r="N1494" t="s">
        <v>92</v>
      </c>
    </row>
    <row r="1495" spans="1:14" x14ac:dyDescent="0.3">
      <c r="A1495">
        <v>1494</v>
      </c>
      <c r="B1495">
        <v>664</v>
      </c>
      <c r="C1495">
        <f>1/COUNTIF(pizza_sales[[#All],[order_id]],pizza_sales[[#This Row],[order_id]])</f>
        <v>0.33333333333333331</v>
      </c>
      <c r="D1495" t="s">
        <v>96</v>
      </c>
      <c r="E1495">
        <v>1</v>
      </c>
      <c r="F1495" s="1">
        <v>42015</v>
      </c>
      <c r="G1495" s="1" t="str">
        <f>TEXT(pizza_sales[[#This Row],[order_date]],"dddd")</f>
        <v>Sunday</v>
      </c>
      <c r="H1495" s="2">
        <v>36526.732800925929</v>
      </c>
      <c r="I1495">
        <v>16.25</v>
      </c>
      <c r="J1495">
        <v>16.25</v>
      </c>
      <c r="K1495" t="s">
        <v>13</v>
      </c>
      <c r="L1495" t="s">
        <v>26</v>
      </c>
      <c r="M1495" t="s">
        <v>97</v>
      </c>
      <c r="N1495" t="s">
        <v>98</v>
      </c>
    </row>
    <row r="1496" spans="1:14" x14ac:dyDescent="0.3">
      <c r="A1496">
        <v>1495</v>
      </c>
      <c r="B1496">
        <v>664</v>
      </c>
      <c r="C1496">
        <f>1/COUNTIF(pizza_sales[[#All],[order_id]],pizza_sales[[#This Row],[order_id]])</f>
        <v>0.33333333333333331</v>
      </c>
      <c r="D1496" t="s">
        <v>25</v>
      </c>
      <c r="E1496">
        <v>1</v>
      </c>
      <c r="F1496" s="1">
        <v>42015</v>
      </c>
      <c r="G1496" s="1" t="str">
        <f>TEXT(pizza_sales[[#This Row],[order_date]],"dddd")</f>
        <v>Sunday</v>
      </c>
      <c r="H1496" s="2">
        <v>36526.732800925929</v>
      </c>
      <c r="I1496">
        <v>20.75</v>
      </c>
      <c r="J1496">
        <v>20.75</v>
      </c>
      <c r="K1496" t="s">
        <v>21</v>
      </c>
      <c r="L1496" t="s">
        <v>26</v>
      </c>
      <c r="M1496" t="s">
        <v>27</v>
      </c>
      <c r="N1496" t="s">
        <v>28</v>
      </c>
    </row>
    <row r="1497" spans="1:14" x14ac:dyDescent="0.3">
      <c r="A1497">
        <v>1496</v>
      </c>
      <c r="B1497">
        <v>664</v>
      </c>
      <c r="C1497">
        <f>1/COUNTIF(pizza_sales[[#All],[order_id]],pizza_sales[[#This Row],[order_id]])</f>
        <v>0.33333333333333331</v>
      </c>
      <c r="D1497" t="s">
        <v>77</v>
      </c>
      <c r="E1497">
        <v>1</v>
      </c>
      <c r="F1497" s="1">
        <v>42015</v>
      </c>
      <c r="G1497" s="1" t="str">
        <f>TEXT(pizza_sales[[#This Row],[order_date]],"dddd")</f>
        <v>Sunday</v>
      </c>
      <c r="H1497" s="2">
        <v>36526.732800925929</v>
      </c>
      <c r="I1497">
        <v>15.25</v>
      </c>
      <c r="J1497">
        <v>15.25</v>
      </c>
      <c r="K1497" t="s">
        <v>21</v>
      </c>
      <c r="L1497" t="s">
        <v>14</v>
      </c>
      <c r="M1497" t="s">
        <v>78</v>
      </c>
      <c r="N1497" t="s">
        <v>79</v>
      </c>
    </row>
    <row r="1498" spans="1:14" x14ac:dyDescent="0.3">
      <c r="A1498">
        <v>1497</v>
      </c>
      <c r="B1498">
        <v>665</v>
      </c>
      <c r="C1498">
        <f>1/COUNTIF(pizza_sales[[#All],[order_id]],pizza_sales[[#This Row],[order_id]])</f>
        <v>0.5</v>
      </c>
      <c r="D1498" t="s">
        <v>118</v>
      </c>
      <c r="E1498">
        <v>1</v>
      </c>
      <c r="F1498" s="1">
        <v>42015</v>
      </c>
      <c r="G1498" s="1" t="str">
        <f>TEXT(pizza_sales[[#This Row],[order_date]],"dddd")</f>
        <v>Sunday</v>
      </c>
      <c r="H1498" s="2">
        <v>36526.737766203703</v>
      </c>
      <c r="I1498">
        <v>16.75</v>
      </c>
      <c r="J1498">
        <v>16.75</v>
      </c>
      <c r="K1498" t="s">
        <v>13</v>
      </c>
      <c r="L1498" t="s">
        <v>33</v>
      </c>
      <c r="M1498" t="s">
        <v>42</v>
      </c>
      <c r="N1498" t="s">
        <v>43</v>
      </c>
    </row>
    <row r="1499" spans="1:14" x14ac:dyDescent="0.3">
      <c r="A1499">
        <v>1498</v>
      </c>
      <c r="B1499">
        <v>665</v>
      </c>
      <c r="C1499">
        <f>1/COUNTIF(pizza_sales[[#All],[order_id]],pizza_sales[[#This Row],[order_id]])</f>
        <v>0.5</v>
      </c>
      <c r="D1499" t="s">
        <v>161</v>
      </c>
      <c r="E1499">
        <v>1</v>
      </c>
      <c r="F1499" s="1">
        <v>42015</v>
      </c>
      <c r="G1499" s="1" t="str">
        <f>TEXT(pizza_sales[[#This Row],[order_date]],"dddd")</f>
        <v>Sunday</v>
      </c>
      <c r="H1499" s="2">
        <v>36526.737766203703</v>
      </c>
      <c r="I1499">
        <v>12</v>
      </c>
      <c r="J1499">
        <v>12</v>
      </c>
      <c r="K1499" t="s">
        <v>41</v>
      </c>
      <c r="L1499" t="s">
        <v>22</v>
      </c>
      <c r="M1499" t="s">
        <v>104</v>
      </c>
      <c r="N1499" t="s">
        <v>105</v>
      </c>
    </row>
    <row r="1500" spans="1:14" x14ac:dyDescent="0.3">
      <c r="A1500">
        <v>1499</v>
      </c>
      <c r="B1500">
        <v>666</v>
      </c>
      <c r="C1500">
        <f>1/COUNTIF(pizza_sales[[#All],[order_id]],pizza_sales[[#This Row],[order_id]])</f>
        <v>1</v>
      </c>
      <c r="D1500" t="s">
        <v>142</v>
      </c>
      <c r="E1500">
        <v>1</v>
      </c>
      <c r="F1500" s="1">
        <v>42015</v>
      </c>
      <c r="G1500" s="1" t="str">
        <f>TEXT(pizza_sales[[#This Row],[order_date]],"dddd")</f>
        <v>Sunday</v>
      </c>
      <c r="H1500" s="2">
        <v>36526.73778935185</v>
      </c>
      <c r="I1500">
        <v>16.5</v>
      </c>
      <c r="J1500">
        <v>16.5</v>
      </c>
      <c r="K1500" t="s">
        <v>21</v>
      </c>
      <c r="L1500" t="s">
        <v>14</v>
      </c>
      <c r="M1500" t="s">
        <v>15</v>
      </c>
      <c r="N1500" t="s">
        <v>16</v>
      </c>
    </row>
    <row r="1501" spans="1:14" x14ac:dyDescent="0.3">
      <c r="A1501">
        <v>1500</v>
      </c>
      <c r="B1501">
        <v>667</v>
      </c>
      <c r="C1501">
        <f>1/COUNTIF(pizza_sales[[#All],[order_id]],pizza_sales[[#This Row],[order_id]])</f>
        <v>0.5</v>
      </c>
      <c r="D1501" t="s">
        <v>84</v>
      </c>
      <c r="E1501">
        <v>1</v>
      </c>
      <c r="F1501" s="1">
        <v>42015</v>
      </c>
      <c r="G1501" s="1" t="str">
        <f>TEXT(pizza_sales[[#This Row],[order_date]],"dddd")</f>
        <v>Sunday</v>
      </c>
      <c r="H1501" s="2">
        <v>36526.759120370371</v>
      </c>
      <c r="I1501">
        <v>12</v>
      </c>
      <c r="J1501">
        <v>12</v>
      </c>
      <c r="K1501" t="s">
        <v>41</v>
      </c>
      <c r="L1501" t="s">
        <v>14</v>
      </c>
      <c r="M1501" t="s">
        <v>85</v>
      </c>
      <c r="N1501" t="s">
        <v>86</v>
      </c>
    </row>
    <row r="1502" spans="1:14" x14ac:dyDescent="0.3">
      <c r="A1502">
        <v>1501</v>
      </c>
      <c r="B1502">
        <v>667</v>
      </c>
      <c r="C1502">
        <f>1/COUNTIF(pizza_sales[[#All],[order_id]],pizza_sales[[#This Row],[order_id]])</f>
        <v>0.5</v>
      </c>
      <c r="D1502" t="s">
        <v>126</v>
      </c>
      <c r="E1502">
        <v>1</v>
      </c>
      <c r="F1502" s="1">
        <v>42015</v>
      </c>
      <c r="G1502" s="1" t="str">
        <f>TEXT(pizza_sales[[#This Row],[order_date]],"dddd")</f>
        <v>Sunday</v>
      </c>
      <c r="H1502" s="2">
        <v>36526.759120370371</v>
      </c>
      <c r="I1502">
        <v>9.75</v>
      </c>
      <c r="J1502">
        <v>9.75</v>
      </c>
      <c r="K1502" t="s">
        <v>41</v>
      </c>
      <c r="L1502" t="s">
        <v>14</v>
      </c>
      <c r="M1502" t="s">
        <v>78</v>
      </c>
      <c r="N1502" t="s">
        <v>79</v>
      </c>
    </row>
    <row r="1503" spans="1:14" x14ac:dyDescent="0.3">
      <c r="A1503">
        <v>1502</v>
      </c>
      <c r="B1503">
        <v>668</v>
      </c>
      <c r="C1503">
        <f>1/COUNTIF(pizza_sales[[#All],[order_id]],pizza_sales[[#This Row],[order_id]])</f>
        <v>0.25</v>
      </c>
      <c r="D1503" t="s">
        <v>36</v>
      </c>
      <c r="E1503">
        <v>1</v>
      </c>
      <c r="F1503" s="1">
        <v>42015</v>
      </c>
      <c r="G1503" s="1" t="str">
        <f>TEXT(pizza_sales[[#This Row],[order_date]],"dddd")</f>
        <v>Sunday</v>
      </c>
      <c r="H1503" s="2">
        <v>36526.759166666663</v>
      </c>
      <c r="I1503">
        <v>16.5</v>
      </c>
      <c r="J1503">
        <v>16.5</v>
      </c>
      <c r="K1503" t="s">
        <v>13</v>
      </c>
      <c r="L1503" t="s">
        <v>26</v>
      </c>
      <c r="M1503" t="s">
        <v>27</v>
      </c>
      <c r="N1503" t="s">
        <v>28</v>
      </c>
    </row>
    <row r="1504" spans="1:14" x14ac:dyDescent="0.3">
      <c r="A1504">
        <v>1503</v>
      </c>
      <c r="B1504">
        <v>668</v>
      </c>
      <c r="C1504">
        <f>1/COUNTIF(pizza_sales[[#All],[order_id]],pizza_sales[[#This Row],[order_id]])</f>
        <v>0.25</v>
      </c>
      <c r="D1504" t="s">
        <v>68</v>
      </c>
      <c r="E1504">
        <v>1</v>
      </c>
      <c r="F1504" s="1">
        <v>42015</v>
      </c>
      <c r="G1504" s="1" t="str">
        <f>TEXT(pizza_sales[[#This Row],[order_date]],"dddd")</f>
        <v>Sunday</v>
      </c>
      <c r="H1504" s="2">
        <v>36526.759166666663</v>
      </c>
      <c r="I1504">
        <v>20.25</v>
      </c>
      <c r="J1504">
        <v>20.25</v>
      </c>
      <c r="K1504" t="s">
        <v>21</v>
      </c>
      <c r="L1504" t="s">
        <v>22</v>
      </c>
      <c r="M1504" t="s">
        <v>30</v>
      </c>
      <c r="N1504" t="s">
        <v>31</v>
      </c>
    </row>
    <row r="1505" spans="1:14" x14ac:dyDescent="0.3">
      <c r="A1505">
        <v>1504</v>
      </c>
      <c r="B1505">
        <v>668</v>
      </c>
      <c r="C1505">
        <f>1/COUNTIF(pizza_sales[[#All],[order_id]],pizza_sales[[#This Row],[order_id]])</f>
        <v>0.25</v>
      </c>
      <c r="D1505" t="s">
        <v>135</v>
      </c>
      <c r="E1505">
        <v>1</v>
      </c>
      <c r="F1505" s="1">
        <v>42015</v>
      </c>
      <c r="G1505" s="1" t="str">
        <f>TEXT(pizza_sales[[#This Row],[order_date]],"dddd")</f>
        <v>Sunday</v>
      </c>
      <c r="H1505" s="2">
        <v>36526.759166666663</v>
      </c>
      <c r="I1505">
        <v>20.75</v>
      </c>
      <c r="J1505">
        <v>20.75</v>
      </c>
      <c r="K1505" t="s">
        <v>21</v>
      </c>
      <c r="L1505" t="s">
        <v>26</v>
      </c>
      <c r="M1505" t="s">
        <v>107</v>
      </c>
      <c r="N1505" t="s">
        <v>108</v>
      </c>
    </row>
    <row r="1506" spans="1:14" x14ac:dyDescent="0.3">
      <c r="A1506">
        <v>1505</v>
      </c>
      <c r="B1506">
        <v>668</v>
      </c>
      <c r="C1506">
        <f>1/COUNTIF(pizza_sales[[#All],[order_id]],pizza_sales[[#This Row],[order_id]])</f>
        <v>0.25</v>
      </c>
      <c r="D1506" t="s">
        <v>158</v>
      </c>
      <c r="E1506">
        <v>1</v>
      </c>
      <c r="F1506" s="1">
        <v>42015</v>
      </c>
      <c r="G1506" s="1" t="str">
        <f>TEXT(pizza_sales[[#This Row],[order_date]],"dddd")</f>
        <v>Sunday</v>
      </c>
      <c r="H1506" s="2">
        <v>36526.759166666663</v>
      </c>
      <c r="I1506">
        <v>16.5</v>
      </c>
      <c r="J1506">
        <v>16.5</v>
      </c>
      <c r="K1506" t="s">
        <v>13</v>
      </c>
      <c r="L1506" t="s">
        <v>26</v>
      </c>
      <c r="M1506" t="s">
        <v>60</v>
      </c>
      <c r="N1506" t="s">
        <v>61</v>
      </c>
    </row>
    <row r="1507" spans="1:14" x14ac:dyDescent="0.3">
      <c r="A1507">
        <v>1506</v>
      </c>
      <c r="B1507">
        <v>669</v>
      </c>
      <c r="C1507">
        <f>1/COUNTIF(pizza_sales[[#All],[order_id]],pizza_sales[[#This Row],[order_id]])</f>
        <v>0.5</v>
      </c>
      <c r="D1507" t="s">
        <v>54</v>
      </c>
      <c r="E1507">
        <v>1</v>
      </c>
      <c r="F1507" s="1">
        <v>42015</v>
      </c>
      <c r="G1507" s="1" t="str">
        <f>TEXT(pizza_sales[[#This Row],[order_date]],"dddd")</f>
        <v>Sunday</v>
      </c>
      <c r="H1507" s="2">
        <v>36526.778287037036</v>
      </c>
      <c r="I1507">
        <v>20.5</v>
      </c>
      <c r="J1507">
        <v>20.5</v>
      </c>
      <c r="K1507" t="s">
        <v>21</v>
      </c>
      <c r="L1507" t="s">
        <v>14</v>
      </c>
      <c r="M1507" t="s">
        <v>55</v>
      </c>
      <c r="N1507" t="s">
        <v>56</v>
      </c>
    </row>
    <row r="1508" spans="1:14" x14ac:dyDescent="0.3">
      <c r="A1508">
        <v>1507</v>
      </c>
      <c r="B1508">
        <v>669</v>
      </c>
      <c r="C1508">
        <f>1/COUNTIF(pizza_sales[[#All],[order_id]],pizza_sales[[#This Row],[order_id]])</f>
        <v>0.5</v>
      </c>
      <c r="D1508" t="s">
        <v>68</v>
      </c>
      <c r="E1508">
        <v>1</v>
      </c>
      <c r="F1508" s="1">
        <v>42015</v>
      </c>
      <c r="G1508" s="1" t="str">
        <f>TEXT(pizza_sales[[#This Row],[order_date]],"dddd")</f>
        <v>Sunday</v>
      </c>
      <c r="H1508" s="2">
        <v>36526.778287037036</v>
      </c>
      <c r="I1508">
        <v>20.25</v>
      </c>
      <c r="J1508">
        <v>20.25</v>
      </c>
      <c r="K1508" t="s">
        <v>21</v>
      </c>
      <c r="L1508" t="s">
        <v>22</v>
      </c>
      <c r="M1508" t="s">
        <v>30</v>
      </c>
      <c r="N1508" t="s">
        <v>31</v>
      </c>
    </row>
    <row r="1509" spans="1:14" x14ac:dyDescent="0.3">
      <c r="A1509">
        <v>1508</v>
      </c>
      <c r="B1509">
        <v>670</v>
      </c>
      <c r="C1509">
        <f>1/COUNTIF(pizza_sales[[#All],[order_id]],pizza_sales[[#This Row],[order_id]])</f>
        <v>0.5</v>
      </c>
      <c r="D1509" t="s">
        <v>160</v>
      </c>
      <c r="E1509">
        <v>1</v>
      </c>
      <c r="F1509" s="1">
        <v>42015</v>
      </c>
      <c r="G1509" s="1" t="str">
        <f>TEXT(pizza_sales[[#This Row],[order_date]],"dddd")</f>
        <v>Sunday</v>
      </c>
      <c r="H1509" s="2">
        <v>36526.782233796293</v>
      </c>
      <c r="I1509">
        <v>12</v>
      </c>
      <c r="J1509">
        <v>12</v>
      </c>
      <c r="K1509" t="s">
        <v>41</v>
      </c>
      <c r="L1509" t="s">
        <v>14</v>
      </c>
      <c r="M1509" t="s">
        <v>55</v>
      </c>
      <c r="N1509" t="s">
        <v>56</v>
      </c>
    </row>
    <row r="1510" spans="1:14" x14ac:dyDescent="0.3">
      <c r="A1510">
        <v>1509</v>
      </c>
      <c r="B1510">
        <v>670</v>
      </c>
      <c r="C1510">
        <f>1/COUNTIF(pizza_sales[[#All],[order_id]],pizza_sales[[#This Row],[order_id]])</f>
        <v>0.5</v>
      </c>
      <c r="D1510" t="s">
        <v>171</v>
      </c>
      <c r="E1510">
        <v>1</v>
      </c>
      <c r="F1510" s="1">
        <v>42015</v>
      </c>
      <c r="G1510" s="1" t="str">
        <f>TEXT(pizza_sales[[#This Row],[order_date]],"dddd")</f>
        <v>Sunday</v>
      </c>
      <c r="H1510" s="2">
        <v>36526.782233796293</v>
      </c>
      <c r="I1510">
        <v>16.5</v>
      </c>
      <c r="J1510">
        <v>16.5</v>
      </c>
      <c r="K1510" t="s">
        <v>13</v>
      </c>
      <c r="L1510" t="s">
        <v>26</v>
      </c>
      <c r="M1510" t="s">
        <v>88</v>
      </c>
      <c r="N1510" t="s">
        <v>89</v>
      </c>
    </row>
    <row r="1511" spans="1:14" x14ac:dyDescent="0.3">
      <c r="A1511">
        <v>1510</v>
      </c>
      <c r="B1511">
        <v>671</v>
      </c>
      <c r="C1511">
        <f>1/COUNTIF(pizza_sales[[#All],[order_id]],pizza_sales[[#This Row],[order_id]])</f>
        <v>1</v>
      </c>
      <c r="D1511" t="s">
        <v>156</v>
      </c>
      <c r="E1511">
        <v>1</v>
      </c>
      <c r="F1511" s="1">
        <v>42015</v>
      </c>
      <c r="G1511" s="1" t="str">
        <f>TEXT(pizza_sales[[#This Row],[order_date]],"dddd")</f>
        <v>Sunday</v>
      </c>
      <c r="H1511" s="2">
        <v>36526.804652777777</v>
      </c>
      <c r="I1511">
        <v>12.75</v>
      </c>
      <c r="J1511">
        <v>12.75</v>
      </c>
      <c r="K1511" t="s">
        <v>41</v>
      </c>
      <c r="L1511" t="s">
        <v>33</v>
      </c>
      <c r="M1511" t="s">
        <v>82</v>
      </c>
      <c r="N1511" t="s">
        <v>83</v>
      </c>
    </row>
    <row r="1512" spans="1:14" x14ac:dyDescent="0.3">
      <c r="A1512">
        <v>1511</v>
      </c>
      <c r="B1512">
        <v>672</v>
      </c>
      <c r="C1512">
        <f>1/COUNTIF(pizza_sales[[#All],[order_id]],pizza_sales[[#This Row],[order_id]])</f>
        <v>0.5</v>
      </c>
      <c r="D1512" t="s">
        <v>128</v>
      </c>
      <c r="E1512">
        <v>1</v>
      </c>
      <c r="F1512" s="1">
        <v>42015</v>
      </c>
      <c r="G1512" s="1" t="str">
        <f>TEXT(pizza_sales[[#This Row],[order_date]],"dddd")</f>
        <v>Sunday</v>
      </c>
      <c r="H1512" s="2">
        <v>36526.804699074077</v>
      </c>
      <c r="I1512">
        <v>16</v>
      </c>
      <c r="J1512">
        <v>16</v>
      </c>
      <c r="K1512" t="s">
        <v>13</v>
      </c>
      <c r="L1512" t="s">
        <v>22</v>
      </c>
      <c r="M1512" t="s">
        <v>52</v>
      </c>
      <c r="N1512" t="s">
        <v>53</v>
      </c>
    </row>
    <row r="1513" spans="1:14" x14ac:dyDescent="0.3">
      <c r="A1513">
        <v>1512</v>
      </c>
      <c r="B1513">
        <v>672</v>
      </c>
      <c r="C1513">
        <f>1/COUNTIF(pizza_sales[[#All],[order_id]],pizza_sales[[#This Row],[order_id]])</f>
        <v>0.5</v>
      </c>
      <c r="D1513" t="s">
        <v>59</v>
      </c>
      <c r="E1513">
        <v>1</v>
      </c>
      <c r="F1513" s="1">
        <v>42015</v>
      </c>
      <c r="G1513" s="1" t="str">
        <f>TEXT(pizza_sales[[#This Row],[order_date]],"dddd")</f>
        <v>Sunday</v>
      </c>
      <c r="H1513" s="2">
        <v>36526.804699074077</v>
      </c>
      <c r="I1513">
        <v>20.75</v>
      </c>
      <c r="J1513">
        <v>20.75</v>
      </c>
      <c r="K1513" t="s">
        <v>21</v>
      </c>
      <c r="L1513" t="s">
        <v>26</v>
      </c>
      <c r="M1513" t="s">
        <v>60</v>
      </c>
      <c r="N1513" t="s">
        <v>61</v>
      </c>
    </row>
    <row r="1514" spans="1:14" x14ac:dyDescent="0.3">
      <c r="A1514">
        <v>1513</v>
      </c>
      <c r="B1514">
        <v>673</v>
      </c>
      <c r="C1514">
        <f>1/COUNTIF(pizza_sales[[#All],[order_id]],pizza_sales[[#This Row],[order_id]])</f>
        <v>0.5</v>
      </c>
      <c r="D1514" t="s">
        <v>87</v>
      </c>
      <c r="E1514">
        <v>1</v>
      </c>
      <c r="F1514" s="1">
        <v>42015</v>
      </c>
      <c r="G1514" s="1" t="str">
        <f>TEXT(pizza_sales[[#This Row],[order_date]],"dddd")</f>
        <v>Sunday</v>
      </c>
      <c r="H1514" s="2">
        <v>36526.811261574076</v>
      </c>
      <c r="I1514">
        <v>20.75</v>
      </c>
      <c r="J1514">
        <v>20.75</v>
      </c>
      <c r="K1514" t="s">
        <v>21</v>
      </c>
      <c r="L1514" t="s">
        <v>26</v>
      </c>
      <c r="M1514" t="s">
        <v>88</v>
      </c>
      <c r="N1514" t="s">
        <v>89</v>
      </c>
    </row>
    <row r="1515" spans="1:14" x14ac:dyDescent="0.3">
      <c r="A1515">
        <v>1514</v>
      </c>
      <c r="B1515">
        <v>673</v>
      </c>
      <c r="C1515">
        <f>1/COUNTIF(pizza_sales[[#All],[order_id]],pizza_sales[[#This Row],[order_id]])</f>
        <v>0.5</v>
      </c>
      <c r="D1515" t="s">
        <v>137</v>
      </c>
      <c r="E1515">
        <v>1</v>
      </c>
      <c r="F1515" s="1">
        <v>42015</v>
      </c>
      <c r="G1515" s="1" t="str">
        <f>TEXT(pizza_sales[[#This Row],[order_date]],"dddd")</f>
        <v>Sunday</v>
      </c>
      <c r="H1515" s="2">
        <v>36526.811261574076</v>
      </c>
      <c r="I1515">
        <v>16.75</v>
      </c>
      <c r="J1515">
        <v>16.75</v>
      </c>
      <c r="K1515" t="s">
        <v>13</v>
      </c>
      <c r="L1515" t="s">
        <v>33</v>
      </c>
      <c r="M1515" t="s">
        <v>34</v>
      </c>
      <c r="N1515" t="s">
        <v>35</v>
      </c>
    </row>
    <row r="1516" spans="1:14" x14ac:dyDescent="0.3">
      <c r="A1516">
        <v>1515</v>
      </c>
      <c r="B1516">
        <v>674</v>
      </c>
      <c r="C1516">
        <f>1/COUNTIF(pizza_sales[[#All],[order_id]],pizza_sales[[#This Row],[order_id]])</f>
        <v>0.25</v>
      </c>
      <c r="D1516" t="s">
        <v>139</v>
      </c>
      <c r="E1516">
        <v>1</v>
      </c>
      <c r="F1516" s="1">
        <v>42015</v>
      </c>
      <c r="G1516" s="1" t="str">
        <f>TEXT(pizza_sales[[#This Row],[order_date]],"dddd")</f>
        <v>Sunday</v>
      </c>
      <c r="H1516" s="2">
        <v>36526.814641203702</v>
      </c>
      <c r="I1516">
        <v>16.75</v>
      </c>
      <c r="J1516">
        <v>16.75</v>
      </c>
      <c r="K1516" t="s">
        <v>13</v>
      </c>
      <c r="L1516" t="s">
        <v>33</v>
      </c>
      <c r="M1516" t="s">
        <v>82</v>
      </c>
      <c r="N1516" t="s">
        <v>83</v>
      </c>
    </row>
    <row r="1517" spans="1:14" x14ac:dyDescent="0.3">
      <c r="A1517">
        <v>1516</v>
      </c>
      <c r="B1517">
        <v>674</v>
      </c>
      <c r="C1517">
        <f>1/COUNTIF(pizza_sales[[#All],[order_id]],pizza_sales[[#This Row],[order_id]])</f>
        <v>0.25</v>
      </c>
      <c r="D1517" t="s">
        <v>68</v>
      </c>
      <c r="E1517">
        <v>1</v>
      </c>
      <c r="F1517" s="1">
        <v>42015</v>
      </c>
      <c r="G1517" s="1" t="str">
        <f>TEXT(pizza_sales[[#This Row],[order_date]],"dddd")</f>
        <v>Sunday</v>
      </c>
      <c r="H1517" s="2">
        <v>36526.814641203702</v>
      </c>
      <c r="I1517">
        <v>20.25</v>
      </c>
      <c r="J1517">
        <v>20.25</v>
      </c>
      <c r="K1517" t="s">
        <v>21</v>
      </c>
      <c r="L1517" t="s">
        <v>22</v>
      </c>
      <c r="M1517" t="s">
        <v>30</v>
      </c>
      <c r="N1517" t="s">
        <v>31</v>
      </c>
    </row>
    <row r="1518" spans="1:14" x14ac:dyDescent="0.3">
      <c r="A1518">
        <v>1517</v>
      </c>
      <c r="B1518">
        <v>674</v>
      </c>
      <c r="C1518">
        <f>1/COUNTIF(pizza_sales[[#All],[order_id]],pizza_sales[[#This Row],[order_id]])</f>
        <v>0.25</v>
      </c>
      <c r="D1518" t="s">
        <v>120</v>
      </c>
      <c r="E1518">
        <v>1</v>
      </c>
      <c r="F1518" s="1">
        <v>42015</v>
      </c>
      <c r="G1518" s="1" t="str">
        <f>TEXT(pizza_sales[[#This Row],[order_date]],"dddd")</f>
        <v>Sunday</v>
      </c>
      <c r="H1518" s="2">
        <v>36526.814641203702</v>
      </c>
      <c r="I1518">
        <v>12.5</v>
      </c>
      <c r="J1518">
        <v>12.5</v>
      </c>
      <c r="K1518" t="s">
        <v>41</v>
      </c>
      <c r="L1518" t="s">
        <v>26</v>
      </c>
      <c r="M1518" t="s">
        <v>38</v>
      </c>
      <c r="N1518" t="s">
        <v>39</v>
      </c>
    </row>
    <row r="1519" spans="1:14" x14ac:dyDescent="0.3">
      <c r="A1519">
        <v>1518</v>
      </c>
      <c r="B1519">
        <v>674</v>
      </c>
      <c r="C1519">
        <f>1/COUNTIF(pizza_sales[[#All],[order_id]],pizza_sales[[#This Row],[order_id]])</f>
        <v>0.25</v>
      </c>
      <c r="D1519" t="s">
        <v>162</v>
      </c>
      <c r="E1519">
        <v>1</v>
      </c>
      <c r="F1519" s="1">
        <v>42015</v>
      </c>
      <c r="G1519" s="1" t="str">
        <f>TEXT(pizza_sales[[#This Row],[order_date]],"dddd")</f>
        <v>Sunday</v>
      </c>
      <c r="H1519" s="2">
        <v>36526.814641203702</v>
      </c>
      <c r="I1519">
        <v>16</v>
      </c>
      <c r="J1519">
        <v>16</v>
      </c>
      <c r="K1519" t="s">
        <v>13</v>
      </c>
      <c r="L1519" t="s">
        <v>22</v>
      </c>
      <c r="M1519" t="s">
        <v>110</v>
      </c>
      <c r="N1519" t="s">
        <v>111</v>
      </c>
    </row>
    <row r="1520" spans="1:14" x14ac:dyDescent="0.3">
      <c r="A1520">
        <v>1519</v>
      </c>
      <c r="B1520">
        <v>675</v>
      </c>
      <c r="C1520">
        <f>1/COUNTIF(pizza_sales[[#All],[order_id]],pizza_sales[[#This Row],[order_id]])</f>
        <v>1</v>
      </c>
      <c r="D1520" t="s">
        <v>112</v>
      </c>
      <c r="E1520">
        <v>1</v>
      </c>
      <c r="F1520" s="1">
        <v>42015</v>
      </c>
      <c r="G1520" s="1" t="str">
        <f>TEXT(pizza_sales[[#This Row],[order_date]],"dddd")</f>
        <v>Sunday</v>
      </c>
      <c r="H1520" s="2">
        <v>36526.814803240741</v>
      </c>
      <c r="I1520">
        <v>20.5</v>
      </c>
      <c r="J1520">
        <v>20.5</v>
      </c>
      <c r="K1520" t="s">
        <v>21</v>
      </c>
      <c r="L1520" t="s">
        <v>14</v>
      </c>
      <c r="M1520" t="s">
        <v>94</v>
      </c>
      <c r="N1520" t="s">
        <v>95</v>
      </c>
    </row>
    <row r="1521" spans="1:14" x14ac:dyDescent="0.3">
      <c r="A1521">
        <v>1520</v>
      </c>
      <c r="B1521">
        <v>676</v>
      </c>
      <c r="C1521">
        <f>1/COUNTIF(pizza_sales[[#All],[order_id]],pizza_sales[[#This Row],[order_id]])</f>
        <v>0.5</v>
      </c>
      <c r="D1521" t="s">
        <v>68</v>
      </c>
      <c r="E1521">
        <v>1</v>
      </c>
      <c r="F1521" s="1">
        <v>42015</v>
      </c>
      <c r="G1521" s="1" t="str">
        <f>TEXT(pizza_sales[[#This Row],[order_date]],"dddd")</f>
        <v>Sunday</v>
      </c>
      <c r="H1521" s="2">
        <v>36526.822881944441</v>
      </c>
      <c r="I1521">
        <v>20.25</v>
      </c>
      <c r="J1521">
        <v>20.25</v>
      </c>
      <c r="K1521" t="s">
        <v>21</v>
      </c>
      <c r="L1521" t="s">
        <v>22</v>
      </c>
      <c r="M1521" t="s">
        <v>30</v>
      </c>
      <c r="N1521" t="s">
        <v>31</v>
      </c>
    </row>
    <row r="1522" spans="1:14" x14ac:dyDescent="0.3">
      <c r="A1522">
        <v>1521</v>
      </c>
      <c r="B1522">
        <v>676</v>
      </c>
      <c r="C1522">
        <f>1/COUNTIF(pizza_sales[[#All],[order_id]],pizza_sales[[#This Row],[order_id]])</f>
        <v>0.5</v>
      </c>
      <c r="D1522" t="s">
        <v>154</v>
      </c>
      <c r="E1522">
        <v>1</v>
      </c>
      <c r="F1522" s="1">
        <v>42015</v>
      </c>
      <c r="G1522" s="1" t="str">
        <f>TEXT(pizza_sales[[#This Row],[order_date]],"dddd")</f>
        <v>Sunday</v>
      </c>
      <c r="H1522" s="2">
        <v>36526.822881944441</v>
      </c>
      <c r="I1522">
        <v>16</v>
      </c>
      <c r="J1522">
        <v>16</v>
      </c>
      <c r="K1522" t="s">
        <v>13</v>
      </c>
      <c r="L1522" t="s">
        <v>22</v>
      </c>
      <c r="M1522" t="s">
        <v>66</v>
      </c>
      <c r="N1522" t="s">
        <v>67</v>
      </c>
    </row>
    <row r="1523" spans="1:14" x14ac:dyDescent="0.3">
      <c r="A1523">
        <v>1522</v>
      </c>
      <c r="B1523">
        <v>677</v>
      </c>
      <c r="C1523">
        <f>1/COUNTIF(pizza_sales[[#All],[order_id]],pizza_sales[[#This Row],[order_id]])</f>
        <v>1</v>
      </c>
      <c r="D1523" t="s">
        <v>135</v>
      </c>
      <c r="E1523">
        <v>1</v>
      </c>
      <c r="F1523" s="1">
        <v>42015</v>
      </c>
      <c r="G1523" s="1" t="str">
        <f>TEXT(pizza_sales[[#This Row],[order_date]],"dddd")</f>
        <v>Sunday</v>
      </c>
      <c r="H1523" s="2">
        <v>36526.827187499999</v>
      </c>
      <c r="I1523">
        <v>20.75</v>
      </c>
      <c r="J1523">
        <v>20.75</v>
      </c>
      <c r="K1523" t="s">
        <v>21</v>
      </c>
      <c r="L1523" t="s">
        <v>26</v>
      </c>
      <c r="M1523" t="s">
        <v>107</v>
      </c>
      <c r="N1523" t="s">
        <v>108</v>
      </c>
    </row>
    <row r="1524" spans="1:14" x14ac:dyDescent="0.3">
      <c r="A1524">
        <v>1523</v>
      </c>
      <c r="B1524">
        <v>678</v>
      </c>
      <c r="C1524">
        <f>1/COUNTIF(pizza_sales[[#All],[order_id]],pizza_sales[[#This Row],[order_id]])</f>
        <v>0.33333333333333331</v>
      </c>
      <c r="D1524" t="s">
        <v>58</v>
      </c>
      <c r="E1524">
        <v>1</v>
      </c>
      <c r="F1524" s="1">
        <v>42015</v>
      </c>
      <c r="G1524" s="1" t="str">
        <f>TEXT(pizza_sales[[#This Row],[order_date]],"dddd")</f>
        <v>Sunday</v>
      </c>
      <c r="H1524" s="2">
        <v>36526.828344907408</v>
      </c>
      <c r="I1524">
        <v>12</v>
      </c>
      <c r="J1524">
        <v>12</v>
      </c>
      <c r="K1524" t="s">
        <v>41</v>
      </c>
      <c r="L1524" t="s">
        <v>22</v>
      </c>
      <c r="M1524" t="s">
        <v>30</v>
      </c>
      <c r="N1524" t="s">
        <v>31</v>
      </c>
    </row>
    <row r="1525" spans="1:14" x14ac:dyDescent="0.3">
      <c r="A1525">
        <v>1524</v>
      </c>
      <c r="B1525">
        <v>678</v>
      </c>
      <c r="C1525">
        <f>1/COUNTIF(pizza_sales[[#All],[order_id]],pizza_sales[[#This Row],[order_id]])</f>
        <v>0.33333333333333331</v>
      </c>
      <c r="D1525" t="s">
        <v>163</v>
      </c>
      <c r="E1525">
        <v>1</v>
      </c>
      <c r="F1525" s="1">
        <v>42015</v>
      </c>
      <c r="G1525" s="1" t="str">
        <f>TEXT(pizza_sales[[#This Row],[order_date]],"dddd")</f>
        <v>Sunday</v>
      </c>
      <c r="H1525" s="2">
        <v>36526.828344907408</v>
      </c>
      <c r="I1525">
        <v>16</v>
      </c>
      <c r="J1525">
        <v>16</v>
      </c>
      <c r="K1525" t="s">
        <v>13</v>
      </c>
      <c r="L1525" t="s">
        <v>14</v>
      </c>
      <c r="M1525" t="s">
        <v>94</v>
      </c>
      <c r="N1525" t="s">
        <v>95</v>
      </c>
    </row>
    <row r="1526" spans="1:14" x14ac:dyDescent="0.3">
      <c r="A1526">
        <v>1525</v>
      </c>
      <c r="B1526">
        <v>678</v>
      </c>
      <c r="C1526">
        <f>1/COUNTIF(pizza_sales[[#All],[order_id]],pizza_sales[[#This Row],[order_id]])</f>
        <v>0.33333333333333331</v>
      </c>
      <c r="D1526" t="s">
        <v>158</v>
      </c>
      <c r="E1526">
        <v>2</v>
      </c>
      <c r="F1526" s="1">
        <v>42015</v>
      </c>
      <c r="G1526" s="1" t="str">
        <f>TEXT(pizza_sales[[#This Row],[order_date]],"dddd")</f>
        <v>Sunday</v>
      </c>
      <c r="H1526" s="2">
        <v>36526.828344907408</v>
      </c>
      <c r="I1526">
        <v>16.5</v>
      </c>
      <c r="J1526">
        <v>33</v>
      </c>
      <c r="K1526" t="s">
        <v>13</v>
      </c>
      <c r="L1526" t="s">
        <v>26</v>
      </c>
      <c r="M1526" t="s">
        <v>60</v>
      </c>
      <c r="N1526" t="s">
        <v>61</v>
      </c>
    </row>
    <row r="1527" spans="1:14" x14ac:dyDescent="0.3">
      <c r="A1527">
        <v>1526</v>
      </c>
      <c r="B1527">
        <v>679</v>
      </c>
      <c r="C1527">
        <f>1/COUNTIF(pizza_sales[[#All],[order_id]],pizza_sales[[#This Row],[order_id]])</f>
        <v>0.25</v>
      </c>
      <c r="D1527" t="s">
        <v>165</v>
      </c>
      <c r="E1527">
        <v>1</v>
      </c>
      <c r="F1527" s="1">
        <v>42015</v>
      </c>
      <c r="G1527" s="1" t="str">
        <f>TEXT(pizza_sales[[#This Row],[order_date]],"dddd")</f>
        <v>Sunday</v>
      </c>
      <c r="H1527" s="2">
        <v>36526.854884259257</v>
      </c>
      <c r="I1527">
        <v>23.65</v>
      </c>
      <c r="J1527">
        <v>23.65</v>
      </c>
      <c r="K1527" t="s">
        <v>41</v>
      </c>
      <c r="L1527" t="s">
        <v>26</v>
      </c>
      <c r="M1527" t="s">
        <v>166</v>
      </c>
      <c r="N1527" t="s">
        <v>167</v>
      </c>
    </row>
    <row r="1528" spans="1:14" x14ac:dyDescent="0.3">
      <c r="A1528">
        <v>1527</v>
      </c>
      <c r="B1528">
        <v>679</v>
      </c>
      <c r="C1528">
        <f>1/COUNTIF(pizza_sales[[#All],[order_id]],pizza_sales[[#This Row],[order_id]])</f>
        <v>0.25</v>
      </c>
      <c r="D1528" t="s">
        <v>99</v>
      </c>
      <c r="E1528">
        <v>1</v>
      </c>
      <c r="F1528" s="1">
        <v>42015</v>
      </c>
      <c r="G1528" s="1" t="str">
        <f>TEXT(pizza_sales[[#This Row],[order_date]],"dddd")</f>
        <v>Sunday</v>
      </c>
      <c r="H1528" s="2">
        <v>36526.854884259257</v>
      </c>
      <c r="I1528">
        <v>14.75</v>
      </c>
      <c r="J1528">
        <v>14.75</v>
      </c>
      <c r="K1528" t="s">
        <v>13</v>
      </c>
      <c r="L1528" t="s">
        <v>22</v>
      </c>
      <c r="M1528" t="s">
        <v>91</v>
      </c>
      <c r="N1528" t="s">
        <v>92</v>
      </c>
    </row>
    <row r="1529" spans="1:14" x14ac:dyDescent="0.3">
      <c r="A1529">
        <v>1528</v>
      </c>
      <c r="B1529">
        <v>679</v>
      </c>
      <c r="C1529">
        <f>1/COUNTIF(pizza_sales[[#All],[order_id]],pizza_sales[[#This Row],[order_id]])</f>
        <v>0.25</v>
      </c>
      <c r="D1529" t="s">
        <v>25</v>
      </c>
      <c r="E1529">
        <v>1</v>
      </c>
      <c r="F1529" s="1">
        <v>42015</v>
      </c>
      <c r="G1529" s="1" t="str">
        <f>TEXT(pizza_sales[[#This Row],[order_date]],"dddd")</f>
        <v>Sunday</v>
      </c>
      <c r="H1529" s="2">
        <v>36526.854884259257</v>
      </c>
      <c r="I1529">
        <v>20.75</v>
      </c>
      <c r="J1529">
        <v>20.75</v>
      </c>
      <c r="K1529" t="s">
        <v>21</v>
      </c>
      <c r="L1529" t="s">
        <v>26</v>
      </c>
      <c r="M1529" t="s">
        <v>27</v>
      </c>
      <c r="N1529" t="s">
        <v>28</v>
      </c>
    </row>
    <row r="1530" spans="1:14" x14ac:dyDescent="0.3">
      <c r="A1530">
        <v>1529</v>
      </c>
      <c r="B1530">
        <v>679</v>
      </c>
      <c r="C1530">
        <f>1/COUNTIF(pizza_sales[[#All],[order_id]],pizza_sales[[#This Row],[order_id]])</f>
        <v>0.25</v>
      </c>
      <c r="D1530" t="s">
        <v>146</v>
      </c>
      <c r="E1530">
        <v>1</v>
      </c>
      <c r="F1530" s="1">
        <v>42015</v>
      </c>
      <c r="G1530" s="1" t="str">
        <f>TEXT(pizza_sales[[#This Row],[order_date]],"dddd")</f>
        <v>Sunday</v>
      </c>
      <c r="H1530" s="2">
        <v>36526.854884259257</v>
      </c>
      <c r="I1530">
        <v>20.25</v>
      </c>
      <c r="J1530">
        <v>20.25</v>
      </c>
      <c r="K1530" t="s">
        <v>21</v>
      </c>
      <c r="L1530" t="s">
        <v>22</v>
      </c>
      <c r="M1530" t="s">
        <v>104</v>
      </c>
      <c r="N1530" t="s">
        <v>105</v>
      </c>
    </row>
    <row r="1531" spans="1:14" x14ac:dyDescent="0.3">
      <c r="A1531">
        <v>1530</v>
      </c>
      <c r="B1531">
        <v>680</v>
      </c>
      <c r="C1531">
        <f>1/COUNTIF(pizza_sales[[#All],[order_id]],pizza_sales[[#This Row],[order_id]])</f>
        <v>0.5</v>
      </c>
      <c r="D1531" t="s">
        <v>156</v>
      </c>
      <c r="E1531">
        <v>1</v>
      </c>
      <c r="F1531" s="1">
        <v>42015</v>
      </c>
      <c r="G1531" s="1" t="str">
        <f>TEXT(pizza_sales[[#This Row],[order_date]],"dddd")</f>
        <v>Sunday</v>
      </c>
      <c r="H1531" s="2">
        <v>36526.880208333336</v>
      </c>
      <c r="I1531">
        <v>12.75</v>
      </c>
      <c r="J1531">
        <v>12.75</v>
      </c>
      <c r="K1531" t="s">
        <v>41</v>
      </c>
      <c r="L1531" t="s">
        <v>33</v>
      </c>
      <c r="M1531" t="s">
        <v>82</v>
      </c>
      <c r="N1531" t="s">
        <v>83</v>
      </c>
    </row>
    <row r="1532" spans="1:14" x14ac:dyDescent="0.3">
      <c r="A1532">
        <v>1531</v>
      </c>
      <c r="B1532">
        <v>680</v>
      </c>
      <c r="C1532">
        <f>1/COUNTIF(pizza_sales[[#All],[order_id]],pizza_sales[[#This Row],[order_id]])</f>
        <v>0.5</v>
      </c>
      <c r="D1532" t="s">
        <v>121</v>
      </c>
      <c r="E1532">
        <v>1</v>
      </c>
      <c r="F1532" s="1">
        <v>42015</v>
      </c>
      <c r="G1532" s="1" t="str">
        <f>TEXT(pizza_sales[[#This Row],[order_date]],"dddd")</f>
        <v>Sunday</v>
      </c>
      <c r="H1532" s="2">
        <v>36526.880208333336</v>
      </c>
      <c r="I1532">
        <v>16.25</v>
      </c>
      <c r="J1532">
        <v>16.25</v>
      </c>
      <c r="K1532" t="s">
        <v>13</v>
      </c>
      <c r="L1532" t="s">
        <v>26</v>
      </c>
      <c r="M1532" t="s">
        <v>114</v>
      </c>
      <c r="N1532" t="s">
        <v>115</v>
      </c>
    </row>
    <row r="1533" spans="1:14" x14ac:dyDescent="0.3">
      <c r="A1533">
        <v>1532</v>
      </c>
      <c r="B1533">
        <v>681</v>
      </c>
      <c r="C1533">
        <f>1/COUNTIF(pizza_sales[[#All],[order_id]],pizza_sales[[#This Row],[order_id]])</f>
        <v>1</v>
      </c>
      <c r="D1533" t="s">
        <v>135</v>
      </c>
      <c r="E1533">
        <v>1</v>
      </c>
      <c r="F1533" s="1">
        <v>42015</v>
      </c>
      <c r="G1533" s="1" t="str">
        <f>TEXT(pizza_sales[[#This Row],[order_date]],"dddd")</f>
        <v>Sunday</v>
      </c>
      <c r="H1533" s="2">
        <v>36526.89571759259</v>
      </c>
      <c r="I1533">
        <v>20.75</v>
      </c>
      <c r="J1533">
        <v>20.75</v>
      </c>
      <c r="K1533" t="s">
        <v>21</v>
      </c>
      <c r="L1533" t="s">
        <v>26</v>
      </c>
      <c r="M1533" t="s">
        <v>107</v>
      </c>
      <c r="N1533" t="s">
        <v>108</v>
      </c>
    </row>
    <row r="1534" spans="1:14" x14ac:dyDescent="0.3">
      <c r="A1534">
        <v>1533</v>
      </c>
      <c r="B1534">
        <v>682</v>
      </c>
      <c r="C1534">
        <f>1/COUNTIF(pizza_sales[[#All],[order_id]],pizza_sales[[#This Row],[order_id]])</f>
        <v>1</v>
      </c>
      <c r="D1534" t="s">
        <v>25</v>
      </c>
      <c r="E1534">
        <v>1</v>
      </c>
      <c r="F1534" s="1">
        <v>42016</v>
      </c>
      <c r="G1534" s="1" t="str">
        <f>TEXT(pizza_sales[[#This Row],[order_date]],"dddd")</f>
        <v>Monday</v>
      </c>
      <c r="H1534" s="2">
        <v>36526.484895833331</v>
      </c>
      <c r="I1534">
        <v>20.75</v>
      </c>
      <c r="J1534">
        <v>20.75</v>
      </c>
      <c r="K1534" t="s">
        <v>21</v>
      </c>
      <c r="L1534" t="s">
        <v>26</v>
      </c>
      <c r="M1534" t="s">
        <v>27</v>
      </c>
      <c r="N1534" t="s">
        <v>28</v>
      </c>
    </row>
    <row r="1535" spans="1:14" x14ac:dyDescent="0.3">
      <c r="A1535">
        <v>1534</v>
      </c>
      <c r="B1535">
        <v>683</v>
      </c>
      <c r="C1535">
        <f>1/COUNTIF(pizza_sales[[#All],[order_id]],pizza_sales[[#This Row],[order_id]])</f>
        <v>0.33333333333333331</v>
      </c>
      <c r="D1535" t="s">
        <v>81</v>
      </c>
      <c r="E1535">
        <v>1</v>
      </c>
      <c r="F1535" s="1">
        <v>42016</v>
      </c>
      <c r="G1535" s="1" t="str">
        <f>TEXT(pizza_sales[[#This Row],[order_date]],"dddd")</f>
        <v>Monday</v>
      </c>
      <c r="H1535" s="2">
        <v>36526.485509259262</v>
      </c>
      <c r="I1535">
        <v>20.75</v>
      </c>
      <c r="J1535">
        <v>20.75</v>
      </c>
      <c r="K1535" t="s">
        <v>21</v>
      </c>
      <c r="L1535" t="s">
        <v>33</v>
      </c>
      <c r="M1535" t="s">
        <v>82</v>
      </c>
      <c r="N1535" t="s">
        <v>83</v>
      </c>
    </row>
    <row r="1536" spans="1:14" x14ac:dyDescent="0.3">
      <c r="A1536">
        <v>1535</v>
      </c>
      <c r="B1536">
        <v>683</v>
      </c>
      <c r="C1536">
        <f>1/COUNTIF(pizza_sales[[#All],[order_id]],pizza_sales[[#This Row],[order_id]])</f>
        <v>0.33333333333333331</v>
      </c>
      <c r="D1536" t="s">
        <v>100</v>
      </c>
      <c r="E1536">
        <v>1</v>
      </c>
      <c r="F1536" s="1">
        <v>42016</v>
      </c>
      <c r="G1536" s="1" t="str">
        <f>TEXT(pizza_sales[[#This Row],[order_date]],"dddd")</f>
        <v>Monday</v>
      </c>
      <c r="H1536" s="2">
        <v>36526.485509259262</v>
      </c>
      <c r="I1536">
        <v>12.75</v>
      </c>
      <c r="J1536">
        <v>12.75</v>
      </c>
      <c r="K1536" t="s">
        <v>41</v>
      </c>
      <c r="L1536" t="s">
        <v>22</v>
      </c>
      <c r="M1536" t="s">
        <v>101</v>
      </c>
      <c r="N1536" t="s">
        <v>102</v>
      </c>
    </row>
    <row r="1537" spans="1:14" x14ac:dyDescent="0.3">
      <c r="A1537">
        <v>1536</v>
      </c>
      <c r="B1537">
        <v>683</v>
      </c>
      <c r="C1537">
        <f>1/COUNTIF(pizza_sales[[#All],[order_id]],pizza_sales[[#This Row],[order_id]])</f>
        <v>0.33333333333333331</v>
      </c>
      <c r="D1537" t="s">
        <v>133</v>
      </c>
      <c r="E1537">
        <v>1</v>
      </c>
      <c r="F1537" s="1">
        <v>42016</v>
      </c>
      <c r="G1537" s="1" t="str">
        <f>TEXT(pizza_sales[[#This Row],[order_date]],"dddd")</f>
        <v>Monday</v>
      </c>
      <c r="H1537" s="2">
        <v>36526.485509259262</v>
      </c>
      <c r="I1537">
        <v>16.5</v>
      </c>
      <c r="J1537">
        <v>16.5</v>
      </c>
      <c r="K1537" t="s">
        <v>13</v>
      </c>
      <c r="L1537" t="s">
        <v>26</v>
      </c>
      <c r="M1537" t="s">
        <v>107</v>
      </c>
      <c r="N1537" t="s">
        <v>108</v>
      </c>
    </row>
    <row r="1538" spans="1:14" x14ac:dyDescent="0.3">
      <c r="A1538">
        <v>1537</v>
      </c>
      <c r="B1538">
        <v>684</v>
      </c>
      <c r="C1538">
        <f>1/COUNTIF(pizza_sales[[#All],[order_id]],pizza_sales[[#This Row],[order_id]])</f>
        <v>1</v>
      </c>
      <c r="D1538" t="s">
        <v>90</v>
      </c>
      <c r="E1538">
        <v>1</v>
      </c>
      <c r="F1538" s="1">
        <v>42016</v>
      </c>
      <c r="G1538" s="1" t="str">
        <f>TEXT(pizza_sales[[#This Row],[order_date]],"dddd")</f>
        <v>Monday</v>
      </c>
      <c r="H1538" s="2">
        <v>36526.500960648147</v>
      </c>
      <c r="I1538">
        <v>17.95</v>
      </c>
      <c r="J1538">
        <v>17.95</v>
      </c>
      <c r="K1538" t="s">
        <v>21</v>
      </c>
      <c r="L1538" t="s">
        <v>22</v>
      </c>
      <c r="M1538" t="s">
        <v>91</v>
      </c>
      <c r="N1538" t="s">
        <v>92</v>
      </c>
    </row>
    <row r="1539" spans="1:14" x14ac:dyDescent="0.3">
      <c r="A1539">
        <v>1538</v>
      </c>
      <c r="B1539">
        <v>685</v>
      </c>
      <c r="C1539">
        <f>1/COUNTIF(pizza_sales[[#All],[order_id]],pizza_sales[[#This Row],[order_id]])</f>
        <v>1</v>
      </c>
      <c r="D1539" t="s">
        <v>87</v>
      </c>
      <c r="E1539">
        <v>1</v>
      </c>
      <c r="F1539" s="1">
        <v>42016</v>
      </c>
      <c r="G1539" s="1" t="str">
        <f>TEXT(pizza_sales[[#This Row],[order_date]],"dddd")</f>
        <v>Monday</v>
      </c>
      <c r="H1539" s="2">
        <v>36526.508171296293</v>
      </c>
      <c r="I1539">
        <v>20.75</v>
      </c>
      <c r="J1539">
        <v>20.75</v>
      </c>
      <c r="K1539" t="s">
        <v>21</v>
      </c>
      <c r="L1539" t="s">
        <v>26</v>
      </c>
      <c r="M1539" t="s">
        <v>88</v>
      </c>
      <c r="N1539" t="s">
        <v>89</v>
      </c>
    </row>
    <row r="1540" spans="1:14" x14ac:dyDescent="0.3">
      <c r="A1540">
        <v>1539</v>
      </c>
      <c r="B1540">
        <v>686</v>
      </c>
      <c r="C1540">
        <f>1/COUNTIF(pizza_sales[[#All],[order_id]],pizza_sales[[#This Row],[order_id]])</f>
        <v>1</v>
      </c>
      <c r="D1540" t="s">
        <v>84</v>
      </c>
      <c r="E1540">
        <v>1</v>
      </c>
      <c r="F1540" s="1">
        <v>42016</v>
      </c>
      <c r="G1540" s="1" t="str">
        <f>TEXT(pizza_sales[[#This Row],[order_date]],"dddd")</f>
        <v>Monday</v>
      </c>
      <c r="H1540" s="2">
        <v>36526.509108796294</v>
      </c>
      <c r="I1540">
        <v>12</v>
      </c>
      <c r="J1540">
        <v>12</v>
      </c>
      <c r="K1540" t="s">
        <v>41</v>
      </c>
      <c r="L1540" t="s">
        <v>14</v>
      </c>
      <c r="M1540" t="s">
        <v>85</v>
      </c>
      <c r="N1540" t="s">
        <v>86</v>
      </c>
    </row>
    <row r="1541" spans="1:14" x14ac:dyDescent="0.3">
      <c r="A1541">
        <v>1540</v>
      </c>
      <c r="B1541">
        <v>687</v>
      </c>
      <c r="C1541">
        <f>1/COUNTIF(pizza_sales[[#All],[order_id]],pizza_sales[[#This Row],[order_id]])</f>
        <v>1</v>
      </c>
      <c r="D1541" t="s">
        <v>159</v>
      </c>
      <c r="E1541">
        <v>1</v>
      </c>
      <c r="F1541" s="1">
        <v>42016</v>
      </c>
      <c r="G1541" s="1" t="str">
        <f>TEXT(pizza_sales[[#This Row],[order_date]],"dddd")</f>
        <v>Monday</v>
      </c>
      <c r="H1541" s="2">
        <v>36526.514687499999</v>
      </c>
      <c r="I1541">
        <v>16.75</v>
      </c>
      <c r="J1541">
        <v>16.75</v>
      </c>
      <c r="K1541" t="s">
        <v>13</v>
      </c>
      <c r="L1541" t="s">
        <v>22</v>
      </c>
      <c r="M1541" t="s">
        <v>101</v>
      </c>
      <c r="N1541" t="s">
        <v>102</v>
      </c>
    </row>
    <row r="1542" spans="1:14" x14ac:dyDescent="0.3">
      <c r="A1542">
        <v>1541</v>
      </c>
      <c r="B1542">
        <v>688</v>
      </c>
      <c r="C1542">
        <f>1/COUNTIF(pizza_sales[[#All],[order_id]],pizza_sales[[#This Row],[order_id]])</f>
        <v>0.5</v>
      </c>
      <c r="D1542" t="s">
        <v>59</v>
      </c>
      <c r="E1542">
        <v>1</v>
      </c>
      <c r="F1542" s="1">
        <v>42016</v>
      </c>
      <c r="G1542" s="1" t="str">
        <f>TEXT(pizza_sales[[#This Row],[order_date]],"dddd")</f>
        <v>Monday</v>
      </c>
      <c r="H1542" s="2">
        <v>36526.518530092595</v>
      </c>
      <c r="I1542">
        <v>20.75</v>
      </c>
      <c r="J1542">
        <v>20.75</v>
      </c>
      <c r="K1542" t="s">
        <v>21</v>
      </c>
      <c r="L1542" t="s">
        <v>26</v>
      </c>
      <c r="M1542" t="s">
        <v>60</v>
      </c>
      <c r="N1542" t="s">
        <v>61</v>
      </c>
    </row>
    <row r="1543" spans="1:14" x14ac:dyDescent="0.3">
      <c r="A1543">
        <v>1542</v>
      </c>
      <c r="B1543">
        <v>688</v>
      </c>
      <c r="C1543">
        <f>1/COUNTIF(pizza_sales[[#All],[order_id]],pizza_sales[[#This Row],[order_id]])</f>
        <v>0.5</v>
      </c>
      <c r="D1543" t="s">
        <v>144</v>
      </c>
      <c r="E1543">
        <v>1</v>
      </c>
      <c r="F1543" s="1">
        <v>42016</v>
      </c>
      <c r="G1543" s="1" t="str">
        <f>TEXT(pizza_sales[[#This Row],[order_date]],"dddd")</f>
        <v>Monday</v>
      </c>
      <c r="H1543" s="2">
        <v>36526.518530092595</v>
      </c>
      <c r="I1543">
        <v>16.5</v>
      </c>
      <c r="J1543">
        <v>16.5</v>
      </c>
      <c r="K1543" t="s">
        <v>13</v>
      </c>
      <c r="L1543" t="s">
        <v>26</v>
      </c>
      <c r="M1543" t="s">
        <v>48</v>
      </c>
      <c r="N1543" t="s">
        <v>49</v>
      </c>
    </row>
    <row r="1544" spans="1:14" x14ac:dyDescent="0.3">
      <c r="A1544">
        <v>1543</v>
      </c>
      <c r="B1544">
        <v>689</v>
      </c>
      <c r="C1544">
        <f>1/COUNTIF(pizza_sales[[#All],[order_id]],pizza_sales[[#This Row],[order_id]])</f>
        <v>0.5</v>
      </c>
      <c r="D1544" t="s">
        <v>32</v>
      </c>
      <c r="E1544">
        <v>1</v>
      </c>
      <c r="F1544" s="1">
        <v>42016</v>
      </c>
      <c r="G1544" s="1" t="str">
        <f>TEXT(pizza_sales[[#This Row],[order_date]],"dddd")</f>
        <v>Monday</v>
      </c>
      <c r="H1544" s="2">
        <v>36526.5231712963</v>
      </c>
      <c r="I1544">
        <v>20.75</v>
      </c>
      <c r="J1544">
        <v>20.75</v>
      </c>
      <c r="K1544" t="s">
        <v>21</v>
      </c>
      <c r="L1544" t="s">
        <v>33</v>
      </c>
      <c r="M1544" t="s">
        <v>34</v>
      </c>
      <c r="N1544" t="s">
        <v>35</v>
      </c>
    </row>
    <row r="1545" spans="1:14" x14ac:dyDescent="0.3">
      <c r="A1545">
        <v>1544</v>
      </c>
      <c r="B1545">
        <v>689</v>
      </c>
      <c r="C1545">
        <f>1/COUNTIF(pizza_sales[[#All],[order_id]],pizza_sales[[#This Row],[order_id]])</f>
        <v>0.5</v>
      </c>
      <c r="D1545" t="s">
        <v>137</v>
      </c>
      <c r="E1545">
        <v>1</v>
      </c>
      <c r="F1545" s="1">
        <v>42016</v>
      </c>
      <c r="G1545" s="1" t="str">
        <f>TEXT(pizza_sales[[#This Row],[order_date]],"dddd")</f>
        <v>Monday</v>
      </c>
      <c r="H1545" s="2">
        <v>36526.5231712963</v>
      </c>
      <c r="I1545">
        <v>16.75</v>
      </c>
      <c r="J1545">
        <v>16.75</v>
      </c>
      <c r="K1545" t="s">
        <v>13</v>
      </c>
      <c r="L1545" t="s">
        <v>33</v>
      </c>
      <c r="M1545" t="s">
        <v>34</v>
      </c>
      <c r="N1545" t="s">
        <v>35</v>
      </c>
    </row>
    <row r="1546" spans="1:14" x14ac:dyDescent="0.3">
      <c r="A1546">
        <v>1545</v>
      </c>
      <c r="B1546">
        <v>690</v>
      </c>
      <c r="C1546">
        <f>1/COUNTIF(pizza_sales[[#All],[order_id]],pizza_sales[[#This Row],[order_id]])</f>
        <v>1</v>
      </c>
      <c r="D1546" t="s">
        <v>119</v>
      </c>
      <c r="E1546">
        <v>1</v>
      </c>
      <c r="F1546" s="1">
        <v>42016</v>
      </c>
      <c r="G1546" s="1" t="str">
        <f>TEXT(pizza_sales[[#This Row],[order_date]],"dddd")</f>
        <v>Monday</v>
      </c>
      <c r="H1546" s="2">
        <v>36526.529282407406</v>
      </c>
      <c r="I1546">
        <v>12.5</v>
      </c>
      <c r="J1546">
        <v>12.5</v>
      </c>
      <c r="K1546" t="s">
        <v>13</v>
      </c>
      <c r="L1546" t="s">
        <v>14</v>
      </c>
      <c r="M1546" t="s">
        <v>78</v>
      </c>
      <c r="N1546" t="s">
        <v>79</v>
      </c>
    </row>
    <row r="1547" spans="1:14" x14ac:dyDescent="0.3">
      <c r="A1547">
        <v>1546</v>
      </c>
      <c r="B1547">
        <v>691</v>
      </c>
      <c r="C1547">
        <f>1/COUNTIF(pizza_sales[[#All],[order_id]],pizza_sales[[#This Row],[order_id]])</f>
        <v>1</v>
      </c>
      <c r="D1547" t="s">
        <v>72</v>
      </c>
      <c r="E1547">
        <v>1</v>
      </c>
      <c r="F1547" s="1">
        <v>42016</v>
      </c>
      <c r="G1547" s="1" t="str">
        <f>TEXT(pizza_sales[[#This Row],[order_date]],"dddd")</f>
        <v>Monday</v>
      </c>
      <c r="H1547" s="2">
        <v>36526.531863425924</v>
      </c>
      <c r="I1547">
        <v>20.75</v>
      </c>
      <c r="J1547">
        <v>20.75</v>
      </c>
      <c r="K1547" t="s">
        <v>21</v>
      </c>
      <c r="L1547" t="s">
        <v>33</v>
      </c>
      <c r="M1547" t="s">
        <v>42</v>
      </c>
      <c r="N1547" t="s">
        <v>43</v>
      </c>
    </row>
    <row r="1548" spans="1:14" x14ac:dyDescent="0.3">
      <c r="A1548">
        <v>1547</v>
      </c>
      <c r="B1548">
        <v>692</v>
      </c>
      <c r="C1548">
        <f>1/COUNTIF(pizza_sales[[#All],[order_id]],pizza_sales[[#This Row],[order_id]])</f>
        <v>0.5</v>
      </c>
      <c r="D1548" t="s">
        <v>76</v>
      </c>
      <c r="E1548">
        <v>1</v>
      </c>
      <c r="F1548" s="1">
        <v>42016</v>
      </c>
      <c r="G1548" s="1" t="str">
        <f>TEXT(pizza_sales[[#This Row],[order_date]],"dddd")</f>
        <v>Monday</v>
      </c>
      <c r="H1548" s="2">
        <v>36526.537233796298</v>
      </c>
      <c r="I1548">
        <v>16.75</v>
      </c>
      <c r="J1548">
        <v>16.75</v>
      </c>
      <c r="K1548" t="s">
        <v>13</v>
      </c>
      <c r="L1548" t="s">
        <v>33</v>
      </c>
      <c r="M1548" t="s">
        <v>74</v>
      </c>
      <c r="N1548" t="s">
        <v>75</v>
      </c>
    </row>
    <row r="1549" spans="1:14" x14ac:dyDescent="0.3">
      <c r="A1549">
        <v>1548</v>
      </c>
      <c r="B1549">
        <v>692</v>
      </c>
      <c r="C1549">
        <f>1/COUNTIF(pizza_sales[[#All],[order_id]],pizza_sales[[#This Row],[order_id]])</f>
        <v>0.5</v>
      </c>
      <c r="D1549" t="s">
        <v>159</v>
      </c>
      <c r="E1549">
        <v>1</v>
      </c>
      <c r="F1549" s="1">
        <v>42016</v>
      </c>
      <c r="G1549" s="1" t="str">
        <f>TEXT(pizza_sales[[#This Row],[order_date]],"dddd")</f>
        <v>Monday</v>
      </c>
      <c r="H1549" s="2">
        <v>36526.537233796298</v>
      </c>
      <c r="I1549">
        <v>16.75</v>
      </c>
      <c r="J1549">
        <v>16.75</v>
      </c>
      <c r="K1549" t="s">
        <v>13</v>
      </c>
      <c r="L1549" t="s">
        <v>22</v>
      </c>
      <c r="M1549" t="s">
        <v>101</v>
      </c>
      <c r="N1549" t="s">
        <v>102</v>
      </c>
    </row>
    <row r="1550" spans="1:14" x14ac:dyDescent="0.3">
      <c r="A1550">
        <v>1549</v>
      </c>
      <c r="B1550">
        <v>693</v>
      </c>
      <c r="C1550">
        <f>1/COUNTIF(pizza_sales[[#All],[order_id]],pizza_sales[[#This Row],[order_id]])</f>
        <v>0.25</v>
      </c>
      <c r="D1550" t="s">
        <v>72</v>
      </c>
      <c r="E1550">
        <v>1</v>
      </c>
      <c r="F1550" s="1">
        <v>42016</v>
      </c>
      <c r="G1550" s="1" t="str">
        <f>TEXT(pizza_sales[[#This Row],[order_date]],"dddd")</f>
        <v>Monday</v>
      </c>
      <c r="H1550" s="2">
        <v>36526.544722222221</v>
      </c>
      <c r="I1550">
        <v>20.75</v>
      </c>
      <c r="J1550">
        <v>20.75</v>
      </c>
      <c r="K1550" t="s">
        <v>21</v>
      </c>
      <c r="L1550" t="s">
        <v>33</v>
      </c>
      <c r="M1550" t="s">
        <v>42</v>
      </c>
      <c r="N1550" t="s">
        <v>43</v>
      </c>
    </row>
    <row r="1551" spans="1:14" x14ac:dyDescent="0.3">
      <c r="A1551">
        <v>1550</v>
      </c>
      <c r="B1551">
        <v>693</v>
      </c>
      <c r="C1551">
        <f>1/COUNTIF(pizza_sales[[#All],[order_id]],pizza_sales[[#This Row],[order_id]])</f>
        <v>0.25</v>
      </c>
      <c r="D1551" t="s">
        <v>84</v>
      </c>
      <c r="E1551">
        <v>1</v>
      </c>
      <c r="F1551" s="1">
        <v>42016</v>
      </c>
      <c r="G1551" s="1" t="str">
        <f>TEXT(pizza_sales[[#This Row],[order_date]],"dddd")</f>
        <v>Monday</v>
      </c>
      <c r="H1551" s="2">
        <v>36526.544722222221</v>
      </c>
      <c r="I1551">
        <v>12</v>
      </c>
      <c r="J1551">
        <v>12</v>
      </c>
      <c r="K1551" t="s">
        <v>41</v>
      </c>
      <c r="L1551" t="s">
        <v>14</v>
      </c>
      <c r="M1551" t="s">
        <v>85</v>
      </c>
      <c r="N1551" t="s">
        <v>86</v>
      </c>
    </row>
    <row r="1552" spans="1:14" x14ac:dyDescent="0.3">
      <c r="A1552">
        <v>1551</v>
      </c>
      <c r="B1552">
        <v>693</v>
      </c>
      <c r="C1552">
        <f>1/COUNTIF(pizza_sales[[#All],[order_id]],pizza_sales[[#This Row],[order_id]])</f>
        <v>0.25</v>
      </c>
      <c r="D1552" t="s">
        <v>128</v>
      </c>
      <c r="E1552">
        <v>1</v>
      </c>
      <c r="F1552" s="1">
        <v>42016</v>
      </c>
      <c r="G1552" s="1" t="str">
        <f>TEXT(pizza_sales[[#This Row],[order_date]],"dddd")</f>
        <v>Monday</v>
      </c>
      <c r="H1552" s="2">
        <v>36526.544722222221</v>
      </c>
      <c r="I1552">
        <v>16</v>
      </c>
      <c r="J1552">
        <v>16</v>
      </c>
      <c r="K1552" t="s">
        <v>13</v>
      </c>
      <c r="L1552" t="s">
        <v>22</v>
      </c>
      <c r="M1552" t="s">
        <v>52</v>
      </c>
      <c r="N1552" t="s">
        <v>53</v>
      </c>
    </row>
    <row r="1553" spans="1:14" x14ac:dyDescent="0.3">
      <c r="A1553">
        <v>1552</v>
      </c>
      <c r="B1553">
        <v>693</v>
      </c>
      <c r="C1553">
        <f>1/COUNTIF(pizza_sales[[#All],[order_id]],pizza_sales[[#This Row],[order_id]])</f>
        <v>0.25</v>
      </c>
      <c r="D1553" t="s">
        <v>160</v>
      </c>
      <c r="E1553">
        <v>1</v>
      </c>
      <c r="F1553" s="1">
        <v>42016</v>
      </c>
      <c r="G1553" s="1" t="str">
        <f>TEXT(pizza_sales[[#This Row],[order_date]],"dddd")</f>
        <v>Monday</v>
      </c>
      <c r="H1553" s="2">
        <v>36526.544722222221</v>
      </c>
      <c r="I1553">
        <v>12</v>
      </c>
      <c r="J1553">
        <v>12</v>
      </c>
      <c r="K1553" t="s">
        <v>41</v>
      </c>
      <c r="L1553" t="s">
        <v>14</v>
      </c>
      <c r="M1553" t="s">
        <v>55</v>
      </c>
      <c r="N1553" t="s">
        <v>56</v>
      </c>
    </row>
    <row r="1554" spans="1:14" x14ac:dyDescent="0.3">
      <c r="A1554">
        <v>1553</v>
      </c>
      <c r="B1554">
        <v>694</v>
      </c>
      <c r="C1554">
        <f>1/COUNTIF(pizza_sales[[#All],[order_id]],pizza_sales[[#This Row],[order_id]])</f>
        <v>0.33333333333333331</v>
      </c>
      <c r="D1554" t="s">
        <v>153</v>
      </c>
      <c r="E1554">
        <v>1</v>
      </c>
      <c r="F1554" s="1">
        <v>42016</v>
      </c>
      <c r="G1554" s="1" t="str">
        <f>TEXT(pizza_sales[[#This Row],[order_date]],"dddd")</f>
        <v>Monday</v>
      </c>
      <c r="H1554" s="2">
        <v>36526.563043981485</v>
      </c>
      <c r="I1554">
        <v>21</v>
      </c>
      <c r="J1554">
        <v>21</v>
      </c>
      <c r="K1554" t="s">
        <v>21</v>
      </c>
      <c r="L1554" t="s">
        <v>22</v>
      </c>
      <c r="M1554" t="s">
        <v>101</v>
      </c>
      <c r="N1554" t="s">
        <v>102</v>
      </c>
    </row>
    <row r="1555" spans="1:14" x14ac:dyDescent="0.3">
      <c r="A1555">
        <v>1554</v>
      </c>
      <c r="B1555">
        <v>694</v>
      </c>
      <c r="C1555">
        <f>1/COUNTIF(pizza_sales[[#All],[order_id]],pizza_sales[[#This Row],[order_id]])</f>
        <v>0.33333333333333331</v>
      </c>
      <c r="D1555" t="s">
        <v>148</v>
      </c>
      <c r="E1555">
        <v>1</v>
      </c>
      <c r="F1555" s="1">
        <v>42016</v>
      </c>
      <c r="G1555" s="1" t="str">
        <f>TEXT(pizza_sales[[#This Row],[order_date]],"dddd")</f>
        <v>Monday</v>
      </c>
      <c r="H1555" s="2">
        <v>36526.563043981485</v>
      </c>
      <c r="I1555">
        <v>14.5</v>
      </c>
      <c r="J1555">
        <v>14.5</v>
      </c>
      <c r="K1555" t="s">
        <v>13</v>
      </c>
      <c r="L1555" t="s">
        <v>14</v>
      </c>
      <c r="M1555" t="s">
        <v>130</v>
      </c>
      <c r="N1555" t="s">
        <v>131</v>
      </c>
    </row>
    <row r="1556" spans="1:14" x14ac:dyDescent="0.3">
      <c r="A1556">
        <v>1555</v>
      </c>
      <c r="B1556">
        <v>694</v>
      </c>
      <c r="C1556">
        <f>1/COUNTIF(pizza_sales[[#All],[order_id]],pizza_sales[[#This Row],[order_id]])</f>
        <v>0.33333333333333331</v>
      </c>
      <c r="D1556" t="s">
        <v>77</v>
      </c>
      <c r="E1556">
        <v>1</v>
      </c>
      <c r="F1556" s="1">
        <v>42016</v>
      </c>
      <c r="G1556" s="1" t="str">
        <f>TEXT(pizza_sales[[#This Row],[order_date]],"dddd")</f>
        <v>Monday</v>
      </c>
      <c r="H1556" s="2">
        <v>36526.563043981485</v>
      </c>
      <c r="I1556">
        <v>15.25</v>
      </c>
      <c r="J1556">
        <v>15.25</v>
      </c>
      <c r="K1556" t="s">
        <v>21</v>
      </c>
      <c r="L1556" t="s">
        <v>14</v>
      </c>
      <c r="M1556" t="s">
        <v>78</v>
      </c>
      <c r="N1556" t="s">
        <v>79</v>
      </c>
    </row>
    <row r="1557" spans="1:14" x14ac:dyDescent="0.3">
      <c r="A1557">
        <v>1556</v>
      </c>
      <c r="B1557">
        <v>695</v>
      </c>
      <c r="C1557">
        <f>1/COUNTIF(pizza_sales[[#All],[order_id]],pizza_sales[[#This Row],[order_id]])</f>
        <v>1</v>
      </c>
      <c r="D1557" t="s">
        <v>117</v>
      </c>
      <c r="E1557">
        <v>1</v>
      </c>
      <c r="F1557" s="1">
        <v>42016</v>
      </c>
      <c r="G1557" s="1" t="str">
        <f>TEXT(pizza_sales[[#This Row],[order_date]],"dddd")</f>
        <v>Monday</v>
      </c>
      <c r="H1557" s="2">
        <v>36526.564652777779</v>
      </c>
      <c r="I1557">
        <v>12.75</v>
      </c>
      <c r="J1557">
        <v>12.75</v>
      </c>
      <c r="K1557" t="s">
        <v>41</v>
      </c>
      <c r="L1557" t="s">
        <v>33</v>
      </c>
      <c r="M1557" t="s">
        <v>70</v>
      </c>
      <c r="N1557" t="s">
        <v>71</v>
      </c>
    </row>
    <row r="1558" spans="1:14" x14ac:dyDescent="0.3">
      <c r="A1558">
        <v>1557</v>
      </c>
      <c r="B1558">
        <v>696</v>
      </c>
      <c r="C1558">
        <f>1/COUNTIF(pizza_sales[[#All],[order_id]],pizza_sales[[#This Row],[order_id]])</f>
        <v>0.5</v>
      </c>
      <c r="D1558" t="s">
        <v>145</v>
      </c>
      <c r="E1558">
        <v>1</v>
      </c>
      <c r="F1558" s="1">
        <v>42016</v>
      </c>
      <c r="G1558" s="1" t="str">
        <f>TEXT(pizza_sales[[#This Row],[order_date]],"dddd")</f>
        <v>Monday</v>
      </c>
      <c r="H1558" s="2">
        <v>36526.576157407406</v>
      </c>
      <c r="I1558">
        <v>16.5</v>
      </c>
      <c r="J1558">
        <v>16.5</v>
      </c>
      <c r="K1558" t="s">
        <v>13</v>
      </c>
      <c r="L1558" t="s">
        <v>26</v>
      </c>
      <c r="M1558" t="s">
        <v>38</v>
      </c>
      <c r="N1558" t="s">
        <v>39</v>
      </c>
    </row>
    <row r="1559" spans="1:14" x14ac:dyDescent="0.3">
      <c r="A1559">
        <v>1558</v>
      </c>
      <c r="B1559">
        <v>696</v>
      </c>
      <c r="C1559">
        <f>1/COUNTIF(pizza_sales[[#All],[order_id]],pizza_sales[[#This Row],[order_id]])</f>
        <v>0.5</v>
      </c>
      <c r="D1559" t="s">
        <v>150</v>
      </c>
      <c r="E1559">
        <v>1</v>
      </c>
      <c r="F1559" s="1">
        <v>42016</v>
      </c>
      <c r="G1559" s="1" t="str">
        <f>TEXT(pizza_sales[[#This Row],[order_date]],"dddd")</f>
        <v>Monday</v>
      </c>
      <c r="H1559" s="2">
        <v>36526.576157407406</v>
      </c>
      <c r="I1559">
        <v>12.5</v>
      </c>
      <c r="J1559">
        <v>12.5</v>
      </c>
      <c r="K1559" t="s">
        <v>41</v>
      </c>
      <c r="L1559" t="s">
        <v>26</v>
      </c>
      <c r="M1559" t="s">
        <v>60</v>
      </c>
      <c r="N1559" t="s">
        <v>61</v>
      </c>
    </row>
    <row r="1560" spans="1:14" x14ac:dyDescent="0.3">
      <c r="A1560">
        <v>1559</v>
      </c>
      <c r="B1560">
        <v>697</v>
      </c>
      <c r="C1560">
        <f>1/COUNTIF(pizza_sales[[#All],[order_id]],pizza_sales[[#This Row],[order_id]])</f>
        <v>0.5</v>
      </c>
      <c r="D1560" t="s">
        <v>17</v>
      </c>
      <c r="E1560">
        <v>1</v>
      </c>
      <c r="F1560" s="1">
        <v>42016</v>
      </c>
      <c r="G1560" s="1" t="str">
        <f>TEXT(pizza_sales[[#This Row],[order_date]],"dddd")</f>
        <v>Monday</v>
      </c>
      <c r="H1560" s="2">
        <v>36526.582592592589</v>
      </c>
      <c r="I1560">
        <v>16</v>
      </c>
      <c r="J1560">
        <v>16</v>
      </c>
      <c r="K1560" t="s">
        <v>13</v>
      </c>
      <c r="L1560" t="s">
        <v>14</v>
      </c>
      <c r="M1560" t="s">
        <v>18</v>
      </c>
      <c r="N1560" t="s">
        <v>19</v>
      </c>
    </row>
    <row r="1561" spans="1:14" x14ac:dyDescent="0.3">
      <c r="A1561">
        <v>1560</v>
      </c>
      <c r="B1561">
        <v>697</v>
      </c>
      <c r="C1561">
        <f>1/COUNTIF(pizza_sales[[#All],[order_id]],pizza_sales[[#This Row],[order_id]])</f>
        <v>0.5</v>
      </c>
      <c r="D1561" t="s">
        <v>136</v>
      </c>
      <c r="E1561">
        <v>1</v>
      </c>
      <c r="F1561" s="1">
        <v>42016</v>
      </c>
      <c r="G1561" s="1" t="str">
        <f>TEXT(pizza_sales[[#This Row],[order_date]],"dddd")</f>
        <v>Monday</v>
      </c>
      <c r="H1561" s="2">
        <v>36526.582592592589</v>
      </c>
      <c r="I1561">
        <v>12.5</v>
      </c>
      <c r="J1561">
        <v>12.5</v>
      </c>
      <c r="K1561" t="s">
        <v>41</v>
      </c>
      <c r="L1561" t="s">
        <v>22</v>
      </c>
      <c r="M1561" t="s">
        <v>63</v>
      </c>
      <c r="N1561" t="s">
        <v>64</v>
      </c>
    </row>
    <row r="1562" spans="1:14" x14ac:dyDescent="0.3">
      <c r="A1562">
        <v>1561</v>
      </c>
      <c r="B1562">
        <v>698</v>
      </c>
      <c r="C1562">
        <f>1/COUNTIF(pizza_sales[[#All],[order_id]],pizza_sales[[#This Row],[order_id]])</f>
        <v>0.33333333333333331</v>
      </c>
      <c r="D1562" t="s">
        <v>84</v>
      </c>
      <c r="E1562">
        <v>1</v>
      </c>
      <c r="F1562" s="1">
        <v>42016</v>
      </c>
      <c r="G1562" s="1" t="str">
        <f>TEXT(pizza_sales[[#This Row],[order_date]],"dddd")</f>
        <v>Monday</v>
      </c>
      <c r="H1562" s="2">
        <v>36526.589074074072</v>
      </c>
      <c r="I1562">
        <v>12</v>
      </c>
      <c r="J1562">
        <v>12</v>
      </c>
      <c r="K1562" t="s">
        <v>41</v>
      </c>
      <c r="L1562" t="s">
        <v>14</v>
      </c>
      <c r="M1562" t="s">
        <v>85</v>
      </c>
      <c r="N1562" t="s">
        <v>86</v>
      </c>
    </row>
    <row r="1563" spans="1:14" x14ac:dyDescent="0.3">
      <c r="A1563">
        <v>1562</v>
      </c>
      <c r="B1563">
        <v>698</v>
      </c>
      <c r="C1563">
        <f>1/COUNTIF(pizza_sales[[#All],[order_id]],pizza_sales[[#This Row],[order_id]])</f>
        <v>0.33333333333333331</v>
      </c>
      <c r="D1563" t="s">
        <v>129</v>
      </c>
      <c r="E1563">
        <v>1</v>
      </c>
      <c r="F1563" s="1">
        <v>42016</v>
      </c>
      <c r="G1563" s="1" t="str">
        <f>TEXT(pizza_sales[[#This Row],[order_date]],"dddd")</f>
        <v>Monday</v>
      </c>
      <c r="H1563" s="2">
        <v>36526.589074074072</v>
      </c>
      <c r="I1563">
        <v>17.5</v>
      </c>
      <c r="J1563">
        <v>17.5</v>
      </c>
      <c r="K1563" t="s">
        <v>21</v>
      </c>
      <c r="L1563" t="s">
        <v>14</v>
      </c>
      <c r="M1563" t="s">
        <v>130</v>
      </c>
      <c r="N1563" t="s">
        <v>131</v>
      </c>
    </row>
    <row r="1564" spans="1:14" x14ac:dyDescent="0.3">
      <c r="A1564">
        <v>1563</v>
      </c>
      <c r="B1564">
        <v>698</v>
      </c>
      <c r="C1564">
        <f>1/COUNTIF(pizza_sales[[#All],[order_id]],pizza_sales[[#This Row],[order_id]])</f>
        <v>0.33333333333333331</v>
      </c>
      <c r="D1564" t="s">
        <v>32</v>
      </c>
      <c r="E1564">
        <v>1</v>
      </c>
      <c r="F1564" s="1">
        <v>42016</v>
      </c>
      <c r="G1564" s="1" t="str">
        <f>TEXT(pizza_sales[[#This Row],[order_date]],"dddd")</f>
        <v>Monday</v>
      </c>
      <c r="H1564" s="2">
        <v>36526.589074074072</v>
      </c>
      <c r="I1564">
        <v>20.75</v>
      </c>
      <c r="J1564">
        <v>20.75</v>
      </c>
      <c r="K1564" t="s">
        <v>21</v>
      </c>
      <c r="L1564" t="s">
        <v>33</v>
      </c>
      <c r="M1564" t="s">
        <v>34</v>
      </c>
      <c r="N1564" t="s">
        <v>35</v>
      </c>
    </row>
    <row r="1565" spans="1:14" x14ac:dyDescent="0.3">
      <c r="A1565">
        <v>1564</v>
      </c>
      <c r="B1565">
        <v>699</v>
      </c>
      <c r="C1565">
        <f>1/COUNTIF(pizza_sales[[#All],[order_id]],pizza_sales[[#This Row],[order_id]])</f>
        <v>1</v>
      </c>
      <c r="D1565" t="s">
        <v>126</v>
      </c>
      <c r="E1565">
        <v>1</v>
      </c>
      <c r="F1565" s="1">
        <v>42016</v>
      </c>
      <c r="G1565" s="1" t="str">
        <f>TEXT(pizza_sales[[#This Row],[order_date]],"dddd")</f>
        <v>Monday</v>
      </c>
      <c r="H1565" s="2">
        <v>36526.602118055554</v>
      </c>
      <c r="I1565">
        <v>9.75</v>
      </c>
      <c r="J1565">
        <v>9.75</v>
      </c>
      <c r="K1565" t="s">
        <v>41</v>
      </c>
      <c r="L1565" t="s">
        <v>14</v>
      </c>
      <c r="M1565" t="s">
        <v>78</v>
      </c>
      <c r="N1565" t="s">
        <v>79</v>
      </c>
    </row>
    <row r="1566" spans="1:14" x14ac:dyDescent="0.3">
      <c r="A1566">
        <v>1565</v>
      </c>
      <c r="B1566">
        <v>700</v>
      </c>
      <c r="C1566">
        <f>1/COUNTIF(pizza_sales[[#All],[order_id]],pizza_sales[[#This Row],[order_id]])</f>
        <v>0.2</v>
      </c>
      <c r="D1566" t="s">
        <v>165</v>
      </c>
      <c r="E1566">
        <v>1</v>
      </c>
      <c r="F1566" s="1">
        <v>42016</v>
      </c>
      <c r="G1566" s="1" t="str">
        <f>TEXT(pizza_sales[[#This Row],[order_date]],"dddd")</f>
        <v>Monday</v>
      </c>
      <c r="H1566" s="2">
        <v>36526.605011574073</v>
      </c>
      <c r="I1566">
        <v>23.65</v>
      </c>
      <c r="J1566">
        <v>23.65</v>
      </c>
      <c r="K1566" t="s">
        <v>41</v>
      </c>
      <c r="L1566" t="s">
        <v>26</v>
      </c>
      <c r="M1566" t="s">
        <v>166</v>
      </c>
      <c r="N1566" t="s">
        <v>167</v>
      </c>
    </row>
    <row r="1567" spans="1:14" x14ac:dyDescent="0.3">
      <c r="A1567">
        <v>1566</v>
      </c>
      <c r="B1567">
        <v>700</v>
      </c>
      <c r="C1567">
        <f>1/COUNTIF(pizza_sales[[#All],[order_id]],pizza_sales[[#This Row],[order_id]])</f>
        <v>0.2</v>
      </c>
      <c r="D1567" t="s">
        <v>156</v>
      </c>
      <c r="E1567">
        <v>1</v>
      </c>
      <c r="F1567" s="1">
        <v>42016</v>
      </c>
      <c r="G1567" s="1" t="str">
        <f>TEXT(pizza_sales[[#This Row],[order_date]],"dddd")</f>
        <v>Monday</v>
      </c>
      <c r="H1567" s="2">
        <v>36526.605011574073</v>
      </c>
      <c r="I1567">
        <v>12.75</v>
      </c>
      <c r="J1567">
        <v>12.75</v>
      </c>
      <c r="K1567" t="s">
        <v>41</v>
      </c>
      <c r="L1567" t="s">
        <v>33</v>
      </c>
      <c r="M1567" t="s">
        <v>82</v>
      </c>
      <c r="N1567" t="s">
        <v>83</v>
      </c>
    </row>
    <row r="1568" spans="1:14" x14ac:dyDescent="0.3">
      <c r="A1568">
        <v>1567</v>
      </c>
      <c r="B1568">
        <v>700</v>
      </c>
      <c r="C1568">
        <f>1/COUNTIF(pizza_sales[[#All],[order_id]],pizza_sales[[#This Row],[order_id]])</f>
        <v>0.2</v>
      </c>
      <c r="D1568" t="s">
        <v>54</v>
      </c>
      <c r="E1568">
        <v>1</v>
      </c>
      <c r="F1568" s="1">
        <v>42016</v>
      </c>
      <c r="G1568" s="1" t="str">
        <f>TEXT(pizza_sales[[#This Row],[order_date]],"dddd")</f>
        <v>Monday</v>
      </c>
      <c r="H1568" s="2">
        <v>36526.605011574073</v>
      </c>
      <c r="I1568">
        <v>20.5</v>
      </c>
      <c r="J1568">
        <v>20.5</v>
      </c>
      <c r="K1568" t="s">
        <v>21</v>
      </c>
      <c r="L1568" t="s">
        <v>14</v>
      </c>
      <c r="M1568" t="s">
        <v>55</v>
      </c>
      <c r="N1568" t="s">
        <v>56</v>
      </c>
    </row>
    <row r="1569" spans="1:14" x14ac:dyDescent="0.3">
      <c r="A1569">
        <v>1568</v>
      </c>
      <c r="B1569">
        <v>700</v>
      </c>
      <c r="C1569">
        <f>1/COUNTIF(pizza_sales[[#All],[order_id]],pizza_sales[[#This Row],[order_id]])</f>
        <v>0.2</v>
      </c>
      <c r="D1569" t="s">
        <v>106</v>
      </c>
      <c r="E1569">
        <v>1</v>
      </c>
      <c r="F1569" s="1">
        <v>42016</v>
      </c>
      <c r="G1569" s="1" t="str">
        <f>TEXT(pizza_sales[[#This Row],[order_date]],"dddd")</f>
        <v>Monday</v>
      </c>
      <c r="H1569" s="2">
        <v>36526.605011574073</v>
      </c>
      <c r="I1569">
        <v>12.5</v>
      </c>
      <c r="J1569">
        <v>12.5</v>
      </c>
      <c r="K1569" t="s">
        <v>41</v>
      </c>
      <c r="L1569" t="s">
        <v>26</v>
      </c>
      <c r="M1569" t="s">
        <v>107</v>
      </c>
      <c r="N1569" t="s">
        <v>108</v>
      </c>
    </row>
    <row r="1570" spans="1:14" x14ac:dyDescent="0.3">
      <c r="A1570">
        <v>1569</v>
      </c>
      <c r="B1570">
        <v>700</v>
      </c>
      <c r="C1570">
        <f>1/COUNTIF(pizza_sales[[#All],[order_id]],pizza_sales[[#This Row],[order_id]])</f>
        <v>0.2</v>
      </c>
      <c r="D1570" t="s">
        <v>149</v>
      </c>
      <c r="E1570">
        <v>1</v>
      </c>
      <c r="F1570" s="1">
        <v>42016</v>
      </c>
      <c r="G1570" s="1" t="str">
        <f>TEXT(pizza_sales[[#This Row],[order_date]],"dddd")</f>
        <v>Monday</v>
      </c>
      <c r="H1570" s="2">
        <v>36526.605011574073</v>
      </c>
      <c r="I1570">
        <v>12.25</v>
      </c>
      <c r="J1570">
        <v>12.25</v>
      </c>
      <c r="K1570" t="s">
        <v>41</v>
      </c>
      <c r="L1570" t="s">
        <v>26</v>
      </c>
      <c r="M1570" t="s">
        <v>114</v>
      </c>
      <c r="N1570" t="s">
        <v>115</v>
      </c>
    </row>
    <row r="1571" spans="1:14" x14ac:dyDescent="0.3">
      <c r="A1571">
        <v>1570</v>
      </c>
      <c r="B1571">
        <v>701</v>
      </c>
      <c r="C1571">
        <f>1/COUNTIF(pizza_sales[[#All],[order_id]],pizza_sales[[#This Row],[order_id]])</f>
        <v>0.5</v>
      </c>
      <c r="D1571" t="s">
        <v>132</v>
      </c>
      <c r="E1571">
        <v>1</v>
      </c>
      <c r="F1571" s="1">
        <v>42016</v>
      </c>
      <c r="G1571" s="1" t="str">
        <f>TEXT(pizza_sales[[#This Row],[order_date]],"dddd")</f>
        <v>Monday</v>
      </c>
      <c r="H1571" s="2">
        <v>36526.60670138889</v>
      </c>
      <c r="I1571">
        <v>10.5</v>
      </c>
      <c r="J1571">
        <v>10.5</v>
      </c>
      <c r="K1571" t="s">
        <v>41</v>
      </c>
      <c r="L1571" t="s">
        <v>14</v>
      </c>
      <c r="M1571" t="s">
        <v>15</v>
      </c>
      <c r="N1571" t="s">
        <v>16</v>
      </c>
    </row>
    <row r="1572" spans="1:14" x14ac:dyDescent="0.3">
      <c r="A1572">
        <v>1571</v>
      </c>
      <c r="B1572">
        <v>701</v>
      </c>
      <c r="C1572">
        <f>1/COUNTIF(pizza_sales[[#All],[order_id]],pizza_sales[[#This Row],[order_id]])</f>
        <v>0.5</v>
      </c>
      <c r="D1572" t="s">
        <v>120</v>
      </c>
      <c r="E1572">
        <v>1</v>
      </c>
      <c r="F1572" s="1">
        <v>42016</v>
      </c>
      <c r="G1572" s="1" t="str">
        <f>TEXT(pizza_sales[[#This Row],[order_date]],"dddd")</f>
        <v>Monday</v>
      </c>
      <c r="H1572" s="2">
        <v>36526.60670138889</v>
      </c>
      <c r="I1572">
        <v>12.5</v>
      </c>
      <c r="J1572">
        <v>12.5</v>
      </c>
      <c r="K1572" t="s">
        <v>41</v>
      </c>
      <c r="L1572" t="s">
        <v>26</v>
      </c>
      <c r="M1572" t="s">
        <v>38</v>
      </c>
      <c r="N1572" t="s">
        <v>39</v>
      </c>
    </row>
    <row r="1573" spans="1:14" x14ac:dyDescent="0.3">
      <c r="A1573">
        <v>1572</v>
      </c>
      <c r="B1573">
        <v>702</v>
      </c>
      <c r="C1573">
        <f>1/COUNTIF(pizza_sales[[#All],[order_id]],pizza_sales[[#This Row],[order_id]])</f>
        <v>0.5</v>
      </c>
      <c r="D1573" t="s">
        <v>40</v>
      </c>
      <c r="E1573">
        <v>1</v>
      </c>
      <c r="F1573" s="1">
        <v>42016</v>
      </c>
      <c r="G1573" s="1" t="str">
        <f>TEXT(pizza_sales[[#This Row],[order_date]],"dddd")</f>
        <v>Monday</v>
      </c>
      <c r="H1573" s="2">
        <v>36526.610127314816</v>
      </c>
      <c r="I1573">
        <v>12.75</v>
      </c>
      <c r="J1573">
        <v>12.75</v>
      </c>
      <c r="K1573" t="s">
        <v>41</v>
      </c>
      <c r="L1573" t="s">
        <v>33</v>
      </c>
      <c r="M1573" t="s">
        <v>42</v>
      </c>
      <c r="N1573" t="s">
        <v>43</v>
      </c>
    </row>
    <row r="1574" spans="1:14" x14ac:dyDescent="0.3">
      <c r="A1574">
        <v>1573</v>
      </c>
      <c r="B1574">
        <v>702</v>
      </c>
      <c r="C1574">
        <f>1/COUNTIF(pizza_sales[[#All],[order_id]],pizza_sales[[#This Row],[order_id]])</f>
        <v>0.5</v>
      </c>
      <c r="D1574" t="s">
        <v>149</v>
      </c>
      <c r="E1574">
        <v>1</v>
      </c>
      <c r="F1574" s="1">
        <v>42016</v>
      </c>
      <c r="G1574" s="1" t="str">
        <f>TEXT(pizza_sales[[#This Row],[order_date]],"dddd")</f>
        <v>Monday</v>
      </c>
      <c r="H1574" s="2">
        <v>36526.610127314816</v>
      </c>
      <c r="I1574">
        <v>12.25</v>
      </c>
      <c r="J1574">
        <v>12.25</v>
      </c>
      <c r="K1574" t="s">
        <v>41</v>
      </c>
      <c r="L1574" t="s">
        <v>26</v>
      </c>
      <c r="M1574" t="s">
        <v>114</v>
      </c>
      <c r="N1574" t="s">
        <v>115</v>
      </c>
    </row>
    <row r="1575" spans="1:14" x14ac:dyDescent="0.3">
      <c r="A1575">
        <v>1574</v>
      </c>
      <c r="B1575">
        <v>703</v>
      </c>
      <c r="C1575">
        <f>1/COUNTIF(pizza_sales[[#All],[order_id]],pizza_sales[[#This Row],[order_id]])</f>
        <v>1</v>
      </c>
      <c r="D1575" t="s">
        <v>106</v>
      </c>
      <c r="E1575">
        <v>1</v>
      </c>
      <c r="F1575" s="1">
        <v>42016</v>
      </c>
      <c r="G1575" s="1" t="str">
        <f>TEXT(pizza_sales[[#This Row],[order_date]],"dddd")</f>
        <v>Monday</v>
      </c>
      <c r="H1575" s="2">
        <v>36526.630567129629</v>
      </c>
      <c r="I1575">
        <v>12.5</v>
      </c>
      <c r="J1575">
        <v>12.5</v>
      </c>
      <c r="K1575" t="s">
        <v>41</v>
      </c>
      <c r="L1575" t="s">
        <v>26</v>
      </c>
      <c r="M1575" t="s">
        <v>107</v>
      </c>
      <c r="N1575" t="s">
        <v>108</v>
      </c>
    </row>
    <row r="1576" spans="1:14" x14ac:dyDescent="0.3">
      <c r="A1576">
        <v>1575</v>
      </c>
      <c r="B1576">
        <v>704</v>
      </c>
      <c r="C1576">
        <f>1/COUNTIF(pizza_sales[[#All],[order_id]],pizza_sales[[#This Row],[order_id]])</f>
        <v>0.5</v>
      </c>
      <c r="D1576" t="s">
        <v>96</v>
      </c>
      <c r="E1576">
        <v>1</v>
      </c>
      <c r="F1576" s="1">
        <v>42016</v>
      </c>
      <c r="G1576" s="1" t="str">
        <f>TEXT(pizza_sales[[#This Row],[order_date]],"dddd")</f>
        <v>Monday</v>
      </c>
      <c r="H1576" s="2">
        <v>36526.644733796296</v>
      </c>
      <c r="I1576">
        <v>16.25</v>
      </c>
      <c r="J1576">
        <v>16.25</v>
      </c>
      <c r="K1576" t="s">
        <v>13</v>
      </c>
      <c r="L1576" t="s">
        <v>26</v>
      </c>
      <c r="M1576" t="s">
        <v>97</v>
      </c>
      <c r="N1576" t="s">
        <v>98</v>
      </c>
    </row>
    <row r="1577" spans="1:14" x14ac:dyDescent="0.3">
      <c r="A1577">
        <v>1576</v>
      </c>
      <c r="B1577">
        <v>704</v>
      </c>
      <c r="C1577">
        <f>1/COUNTIF(pizza_sales[[#All],[order_id]],pizza_sales[[#This Row],[order_id]])</f>
        <v>0.5</v>
      </c>
      <c r="D1577" t="s">
        <v>146</v>
      </c>
      <c r="E1577">
        <v>1</v>
      </c>
      <c r="F1577" s="1">
        <v>42016</v>
      </c>
      <c r="G1577" s="1" t="str">
        <f>TEXT(pizza_sales[[#This Row],[order_date]],"dddd")</f>
        <v>Monday</v>
      </c>
      <c r="H1577" s="2">
        <v>36526.644733796296</v>
      </c>
      <c r="I1577">
        <v>20.25</v>
      </c>
      <c r="J1577">
        <v>20.25</v>
      </c>
      <c r="K1577" t="s">
        <v>21</v>
      </c>
      <c r="L1577" t="s">
        <v>22</v>
      </c>
      <c r="M1577" t="s">
        <v>104</v>
      </c>
      <c r="N1577" t="s">
        <v>105</v>
      </c>
    </row>
    <row r="1578" spans="1:14" x14ac:dyDescent="0.3">
      <c r="A1578">
        <v>1577</v>
      </c>
      <c r="B1578">
        <v>705</v>
      </c>
      <c r="C1578">
        <f>1/COUNTIF(pizza_sales[[#All],[order_id]],pizza_sales[[#This Row],[order_id]])</f>
        <v>0.33333333333333331</v>
      </c>
      <c r="D1578" t="s">
        <v>51</v>
      </c>
      <c r="E1578">
        <v>1</v>
      </c>
      <c r="F1578" s="1">
        <v>42016</v>
      </c>
      <c r="G1578" s="1" t="str">
        <f>TEXT(pizza_sales[[#This Row],[order_date]],"dddd")</f>
        <v>Monday</v>
      </c>
      <c r="H1578" s="2">
        <v>36526.646527777775</v>
      </c>
      <c r="I1578">
        <v>12</v>
      </c>
      <c r="J1578">
        <v>12</v>
      </c>
      <c r="K1578" t="s">
        <v>41</v>
      </c>
      <c r="L1578" t="s">
        <v>22</v>
      </c>
      <c r="M1578" t="s">
        <v>52</v>
      </c>
      <c r="N1578" t="s">
        <v>53</v>
      </c>
    </row>
    <row r="1579" spans="1:14" x14ac:dyDescent="0.3">
      <c r="A1579">
        <v>1578</v>
      </c>
      <c r="B1579">
        <v>705</v>
      </c>
      <c r="C1579">
        <f>1/COUNTIF(pizza_sales[[#All],[order_id]],pizza_sales[[#This Row],[order_id]])</f>
        <v>0.33333333333333331</v>
      </c>
      <c r="D1579" t="s">
        <v>36</v>
      </c>
      <c r="E1579">
        <v>1</v>
      </c>
      <c r="F1579" s="1">
        <v>42016</v>
      </c>
      <c r="G1579" s="1" t="str">
        <f>TEXT(pizza_sales[[#This Row],[order_date]],"dddd")</f>
        <v>Monday</v>
      </c>
      <c r="H1579" s="2">
        <v>36526.646527777775</v>
      </c>
      <c r="I1579">
        <v>16.5</v>
      </c>
      <c r="J1579">
        <v>16.5</v>
      </c>
      <c r="K1579" t="s">
        <v>13</v>
      </c>
      <c r="L1579" t="s">
        <v>26</v>
      </c>
      <c r="M1579" t="s">
        <v>27</v>
      </c>
      <c r="N1579" t="s">
        <v>28</v>
      </c>
    </row>
    <row r="1580" spans="1:14" x14ac:dyDescent="0.3">
      <c r="A1580">
        <v>1579</v>
      </c>
      <c r="B1580">
        <v>705</v>
      </c>
      <c r="C1580">
        <f>1/COUNTIF(pizza_sales[[#All],[order_id]],pizza_sales[[#This Row],[order_id]])</f>
        <v>0.33333333333333331</v>
      </c>
      <c r="D1580" t="s">
        <v>147</v>
      </c>
      <c r="E1580">
        <v>1</v>
      </c>
      <c r="F1580" s="1">
        <v>42016</v>
      </c>
      <c r="G1580" s="1" t="str">
        <f>TEXT(pizza_sales[[#This Row],[order_date]],"dddd")</f>
        <v>Monday</v>
      </c>
      <c r="H1580" s="2">
        <v>36526.646527777775</v>
      </c>
      <c r="I1580">
        <v>16.75</v>
      </c>
      <c r="J1580">
        <v>16.75</v>
      </c>
      <c r="K1580" t="s">
        <v>13</v>
      </c>
      <c r="L1580" t="s">
        <v>33</v>
      </c>
      <c r="M1580" t="s">
        <v>70</v>
      </c>
      <c r="N1580" t="s">
        <v>71</v>
      </c>
    </row>
    <row r="1581" spans="1:14" x14ac:dyDescent="0.3">
      <c r="A1581">
        <v>1580</v>
      </c>
      <c r="B1581">
        <v>706</v>
      </c>
      <c r="C1581">
        <f>1/COUNTIF(pizza_sales[[#All],[order_id]],pizza_sales[[#This Row],[order_id]])</f>
        <v>0.5</v>
      </c>
      <c r="D1581" t="s">
        <v>80</v>
      </c>
      <c r="E1581">
        <v>1</v>
      </c>
      <c r="F1581" s="1">
        <v>42016</v>
      </c>
      <c r="G1581" s="1" t="str">
        <f>TEXT(pizza_sales[[#This Row],[order_date]],"dddd")</f>
        <v>Monday</v>
      </c>
      <c r="H1581" s="2">
        <v>36526.652129629627</v>
      </c>
      <c r="I1581">
        <v>12.75</v>
      </c>
      <c r="J1581">
        <v>12.75</v>
      </c>
      <c r="K1581" t="s">
        <v>41</v>
      </c>
      <c r="L1581" t="s">
        <v>33</v>
      </c>
      <c r="M1581" t="s">
        <v>74</v>
      </c>
      <c r="N1581" t="s">
        <v>75</v>
      </c>
    </row>
    <row r="1582" spans="1:14" x14ac:dyDescent="0.3">
      <c r="A1582">
        <v>1581</v>
      </c>
      <c r="B1582">
        <v>706</v>
      </c>
      <c r="C1582">
        <f>1/COUNTIF(pizza_sales[[#All],[order_id]],pizza_sales[[#This Row],[order_id]])</f>
        <v>0.5</v>
      </c>
      <c r="D1582" t="s">
        <v>112</v>
      </c>
      <c r="E1582">
        <v>1</v>
      </c>
      <c r="F1582" s="1">
        <v>42016</v>
      </c>
      <c r="G1582" s="1" t="str">
        <f>TEXT(pizza_sales[[#This Row],[order_date]],"dddd")</f>
        <v>Monday</v>
      </c>
      <c r="H1582" s="2">
        <v>36526.652129629627</v>
      </c>
      <c r="I1582">
        <v>20.5</v>
      </c>
      <c r="J1582">
        <v>20.5</v>
      </c>
      <c r="K1582" t="s">
        <v>21</v>
      </c>
      <c r="L1582" t="s">
        <v>14</v>
      </c>
      <c r="M1582" t="s">
        <v>94</v>
      </c>
      <c r="N1582" t="s">
        <v>95</v>
      </c>
    </row>
    <row r="1583" spans="1:14" x14ac:dyDescent="0.3">
      <c r="A1583">
        <v>1582</v>
      </c>
      <c r="B1583">
        <v>707</v>
      </c>
      <c r="C1583">
        <f>1/COUNTIF(pizza_sales[[#All],[order_id]],pizza_sales[[#This Row],[order_id]])</f>
        <v>0.33333333333333331</v>
      </c>
      <c r="D1583" t="s">
        <v>118</v>
      </c>
      <c r="E1583">
        <v>1</v>
      </c>
      <c r="F1583" s="1">
        <v>42016</v>
      </c>
      <c r="G1583" s="1" t="str">
        <f>TEXT(pizza_sales[[#This Row],[order_date]],"dddd")</f>
        <v>Monday</v>
      </c>
      <c r="H1583" s="2">
        <v>36526.65384259259</v>
      </c>
      <c r="I1583">
        <v>16.75</v>
      </c>
      <c r="J1583">
        <v>16.75</v>
      </c>
      <c r="K1583" t="s">
        <v>13</v>
      </c>
      <c r="L1583" t="s">
        <v>33</v>
      </c>
      <c r="M1583" t="s">
        <v>42</v>
      </c>
      <c r="N1583" t="s">
        <v>43</v>
      </c>
    </row>
    <row r="1584" spans="1:14" x14ac:dyDescent="0.3">
      <c r="A1584">
        <v>1583</v>
      </c>
      <c r="B1584">
        <v>707</v>
      </c>
      <c r="C1584">
        <f>1/COUNTIF(pizza_sales[[#All],[order_id]],pizza_sales[[#This Row],[order_id]])</f>
        <v>0.33333333333333331</v>
      </c>
      <c r="D1584" t="s">
        <v>135</v>
      </c>
      <c r="E1584">
        <v>1</v>
      </c>
      <c r="F1584" s="1">
        <v>42016</v>
      </c>
      <c r="G1584" s="1" t="str">
        <f>TEXT(pizza_sales[[#This Row],[order_date]],"dddd")</f>
        <v>Monday</v>
      </c>
      <c r="H1584" s="2">
        <v>36526.65384259259</v>
      </c>
      <c r="I1584">
        <v>20.75</v>
      </c>
      <c r="J1584">
        <v>20.75</v>
      </c>
      <c r="K1584" t="s">
        <v>21</v>
      </c>
      <c r="L1584" t="s">
        <v>26</v>
      </c>
      <c r="M1584" t="s">
        <v>107</v>
      </c>
      <c r="N1584" t="s">
        <v>108</v>
      </c>
    </row>
    <row r="1585" spans="1:14" x14ac:dyDescent="0.3">
      <c r="A1585">
        <v>1584</v>
      </c>
      <c r="B1585">
        <v>707</v>
      </c>
      <c r="C1585">
        <f>1/COUNTIF(pizza_sales[[#All],[order_id]],pizza_sales[[#This Row],[order_id]])</f>
        <v>0.33333333333333331</v>
      </c>
      <c r="D1585" t="s">
        <v>69</v>
      </c>
      <c r="E1585">
        <v>1</v>
      </c>
      <c r="F1585" s="1">
        <v>42016</v>
      </c>
      <c r="G1585" s="1" t="str">
        <f>TEXT(pizza_sales[[#This Row],[order_date]],"dddd")</f>
        <v>Monday</v>
      </c>
      <c r="H1585" s="2">
        <v>36526.65384259259</v>
      </c>
      <c r="I1585">
        <v>20.75</v>
      </c>
      <c r="J1585">
        <v>20.75</v>
      </c>
      <c r="K1585" t="s">
        <v>21</v>
      </c>
      <c r="L1585" t="s">
        <v>33</v>
      </c>
      <c r="M1585" t="s">
        <v>70</v>
      </c>
      <c r="N1585" t="s">
        <v>71</v>
      </c>
    </row>
    <row r="1586" spans="1:14" x14ac:dyDescent="0.3">
      <c r="A1586">
        <v>1585</v>
      </c>
      <c r="B1586">
        <v>708</v>
      </c>
      <c r="C1586">
        <f>1/COUNTIF(pizza_sales[[#All],[order_id]],pizza_sales[[#This Row],[order_id]])</f>
        <v>1</v>
      </c>
      <c r="D1586" t="s">
        <v>90</v>
      </c>
      <c r="E1586">
        <v>1</v>
      </c>
      <c r="F1586" s="1">
        <v>42016</v>
      </c>
      <c r="G1586" s="1" t="str">
        <f>TEXT(pizza_sales[[#This Row],[order_date]],"dddd")</f>
        <v>Monday</v>
      </c>
      <c r="H1586" s="2">
        <v>36526.661620370367</v>
      </c>
      <c r="I1586">
        <v>17.95</v>
      </c>
      <c r="J1586">
        <v>17.95</v>
      </c>
      <c r="K1586" t="s">
        <v>21</v>
      </c>
      <c r="L1586" t="s">
        <v>22</v>
      </c>
      <c r="M1586" t="s">
        <v>91</v>
      </c>
      <c r="N1586" t="s">
        <v>92</v>
      </c>
    </row>
    <row r="1587" spans="1:14" x14ac:dyDescent="0.3">
      <c r="A1587">
        <v>1586</v>
      </c>
      <c r="B1587">
        <v>709</v>
      </c>
      <c r="C1587">
        <f>1/COUNTIF(pizza_sales[[#All],[order_id]],pizza_sales[[#This Row],[order_id]])</f>
        <v>1</v>
      </c>
      <c r="D1587" t="s">
        <v>40</v>
      </c>
      <c r="E1587">
        <v>1</v>
      </c>
      <c r="F1587" s="1">
        <v>42016</v>
      </c>
      <c r="G1587" s="1" t="str">
        <f>TEXT(pizza_sales[[#This Row],[order_date]],"dddd")</f>
        <v>Monday</v>
      </c>
      <c r="H1587" s="2">
        <v>36526.662453703706</v>
      </c>
      <c r="I1587">
        <v>12.75</v>
      </c>
      <c r="J1587">
        <v>12.75</v>
      </c>
      <c r="K1587" t="s">
        <v>41</v>
      </c>
      <c r="L1587" t="s">
        <v>33</v>
      </c>
      <c r="M1587" t="s">
        <v>42</v>
      </c>
      <c r="N1587" t="s">
        <v>43</v>
      </c>
    </row>
    <row r="1588" spans="1:14" x14ac:dyDescent="0.3">
      <c r="A1588">
        <v>1587</v>
      </c>
      <c r="B1588">
        <v>710</v>
      </c>
      <c r="C1588">
        <f>1/COUNTIF(pizza_sales[[#All],[order_id]],pizza_sales[[#This Row],[order_id]])</f>
        <v>0.25</v>
      </c>
      <c r="D1588" t="s">
        <v>142</v>
      </c>
      <c r="E1588">
        <v>1</v>
      </c>
      <c r="F1588" s="1">
        <v>42016</v>
      </c>
      <c r="G1588" s="1" t="str">
        <f>TEXT(pizza_sales[[#This Row],[order_date]],"dddd")</f>
        <v>Monday</v>
      </c>
      <c r="H1588" s="2">
        <v>36526.666574074072</v>
      </c>
      <c r="I1588">
        <v>16.5</v>
      </c>
      <c r="J1588">
        <v>16.5</v>
      </c>
      <c r="K1588" t="s">
        <v>21</v>
      </c>
      <c r="L1588" t="s">
        <v>14</v>
      </c>
      <c r="M1588" t="s">
        <v>15</v>
      </c>
      <c r="N1588" t="s">
        <v>16</v>
      </c>
    </row>
    <row r="1589" spans="1:14" x14ac:dyDescent="0.3">
      <c r="A1589">
        <v>1588</v>
      </c>
      <c r="B1589">
        <v>710</v>
      </c>
      <c r="C1589">
        <f>1/COUNTIF(pizza_sales[[#All],[order_id]],pizza_sales[[#This Row],[order_id]])</f>
        <v>0.25</v>
      </c>
      <c r="D1589" t="s">
        <v>69</v>
      </c>
      <c r="E1589">
        <v>1</v>
      </c>
      <c r="F1589" s="1">
        <v>42016</v>
      </c>
      <c r="G1589" s="1" t="str">
        <f>TEXT(pizza_sales[[#This Row],[order_date]],"dddd")</f>
        <v>Monday</v>
      </c>
      <c r="H1589" s="2">
        <v>36526.666574074072</v>
      </c>
      <c r="I1589">
        <v>20.75</v>
      </c>
      <c r="J1589">
        <v>20.75</v>
      </c>
      <c r="K1589" t="s">
        <v>21</v>
      </c>
      <c r="L1589" t="s">
        <v>33</v>
      </c>
      <c r="M1589" t="s">
        <v>70</v>
      </c>
      <c r="N1589" t="s">
        <v>71</v>
      </c>
    </row>
    <row r="1590" spans="1:14" x14ac:dyDescent="0.3">
      <c r="A1590">
        <v>1589</v>
      </c>
      <c r="B1590">
        <v>710</v>
      </c>
      <c r="C1590">
        <f>1/COUNTIF(pizza_sales[[#All],[order_id]],pizza_sales[[#This Row],[order_id]])</f>
        <v>0.25</v>
      </c>
      <c r="D1590" t="s">
        <v>44</v>
      </c>
      <c r="E1590">
        <v>1</v>
      </c>
      <c r="F1590" s="1">
        <v>42016</v>
      </c>
      <c r="G1590" s="1" t="str">
        <f>TEXT(pizza_sales[[#This Row],[order_date]],"dddd")</f>
        <v>Monday</v>
      </c>
      <c r="H1590" s="2">
        <v>36526.666574074072</v>
      </c>
      <c r="I1590">
        <v>12</v>
      </c>
      <c r="J1590">
        <v>12</v>
      </c>
      <c r="K1590" t="s">
        <v>41</v>
      </c>
      <c r="L1590" t="s">
        <v>14</v>
      </c>
      <c r="M1590" t="s">
        <v>45</v>
      </c>
      <c r="N1590" t="s">
        <v>46</v>
      </c>
    </row>
    <row r="1591" spans="1:14" x14ac:dyDescent="0.3">
      <c r="A1591">
        <v>1590</v>
      </c>
      <c r="B1591">
        <v>710</v>
      </c>
      <c r="C1591">
        <f>1/COUNTIF(pizza_sales[[#All],[order_id]],pizza_sales[[#This Row],[order_id]])</f>
        <v>0.25</v>
      </c>
      <c r="D1591" t="s">
        <v>140</v>
      </c>
      <c r="E1591">
        <v>1</v>
      </c>
      <c r="F1591" s="1">
        <v>42016</v>
      </c>
      <c r="G1591" s="1" t="str">
        <f>TEXT(pizza_sales[[#This Row],[order_date]],"dddd")</f>
        <v>Monday</v>
      </c>
      <c r="H1591" s="2">
        <v>36526.666574074072</v>
      </c>
      <c r="I1591">
        <v>25.5</v>
      </c>
      <c r="J1591">
        <v>25.5</v>
      </c>
      <c r="K1591" t="s">
        <v>141</v>
      </c>
      <c r="L1591" t="s">
        <v>14</v>
      </c>
      <c r="M1591" t="s">
        <v>45</v>
      </c>
      <c r="N1591" t="s">
        <v>46</v>
      </c>
    </row>
    <row r="1592" spans="1:14" x14ac:dyDescent="0.3">
      <c r="A1592">
        <v>1591</v>
      </c>
      <c r="B1592">
        <v>711</v>
      </c>
      <c r="C1592">
        <f>1/COUNTIF(pizza_sales[[#All],[order_id]],pizza_sales[[#This Row],[order_id]])</f>
        <v>0.25</v>
      </c>
      <c r="D1592" t="s">
        <v>134</v>
      </c>
      <c r="E1592">
        <v>1</v>
      </c>
      <c r="F1592" s="1">
        <v>42016</v>
      </c>
      <c r="G1592" s="1" t="str">
        <f>TEXT(pizza_sales[[#This Row],[order_date]],"dddd")</f>
        <v>Monday</v>
      </c>
      <c r="H1592" s="2">
        <v>36526.68136574074</v>
      </c>
      <c r="I1592">
        <v>16.75</v>
      </c>
      <c r="J1592">
        <v>16.75</v>
      </c>
      <c r="K1592" t="s">
        <v>13</v>
      </c>
      <c r="L1592" t="s">
        <v>33</v>
      </c>
      <c r="M1592" t="s">
        <v>124</v>
      </c>
      <c r="N1592" t="s">
        <v>125</v>
      </c>
    </row>
    <row r="1593" spans="1:14" x14ac:dyDescent="0.3">
      <c r="A1593">
        <v>1592</v>
      </c>
      <c r="B1593">
        <v>711</v>
      </c>
      <c r="C1593">
        <f>1/COUNTIF(pizza_sales[[#All],[order_id]],pizza_sales[[#This Row],[order_id]])</f>
        <v>0.25</v>
      </c>
      <c r="D1593" t="s">
        <v>68</v>
      </c>
      <c r="E1593">
        <v>1</v>
      </c>
      <c r="F1593" s="1">
        <v>42016</v>
      </c>
      <c r="G1593" s="1" t="str">
        <f>TEXT(pizza_sales[[#This Row],[order_date]],"dddd")</f>
        <v>Monday</v>
      </c>
      <c r="H1593" s="2">
        <v>36526.68136574074</v>
      </c>
      <c r="I1593">
        <v>20.25</v>
      </c>
      <c r="J1593">
        <v>20.25</v>
      </c>
      <c r="K1593" t="s">
        <v>21</v>
      </c>
      <c r="L1593" t="s">
        <v>22</v>
      </c>
      <c r="M1593" t="s">
        <v>30</v>
      </c>
      <c r="N1593" t="s">
        <v>31</v>
      </c>
    </row>
    <row r="1594" spans="1:14" x14ac:dyDescent="0.3">
      <c r="A1594">
        <v>1593</v>
      </c>
      <c r="B1594">
        <v>711</v>
      </c>
      <c r="C1594">
        <f>1/COUNTIF(pizza_sales[[#All],[order_id]],pizza_sales[[#This Row],[order_id]])</f>
        <v>0.25</v>
      </c>
      <c r="D1594" t="s">
        <v>148</v>
      </c>
      <c r="E1594">
        <v>1</v>
      </c>
      <c r="F1594" s="1">
        <v>42016</v>
      </c>
      <c r="G1594" s="1" t="str">
        <f>TEXT(pizza_sales[[#This Row],[order_date]],"dddd")</f>
        <v>Monday</v>
      </c>
      <c r="H1594" s="2">
        <v>36526.68136574074</v>
      </c>
      <c r="I1594">
        <v>14.5</v>
      </c>
      <c r="J1594">
        <v>14.5</v>
      </c>
      <c r="K1594" t="s">
        <v>13</v>
      </c>
      <c r="L1594" t="s">
        <v>14</v>
      </c>
      <c r="M1594" t="s">
        <v>130</v>
      </c>
      <c r="N1594" t="s">
        <v>131</v>
      </c>
    </row>
    <row r="1595" spans="1:14" x14ac:dyDescent="0.3">
      <c r="A1595">
        <v>1594</v>
      </c>
      <c r="B1595">
        <v>711</v>
      </c>
      <c r="C1595">
        <f>1/COUNTIF(pizza_sales[[#All],[order_id]],pizza_sales[[#This Row],[order_id]])</f>
        <v>0.25</v>
      </c>
      <c r="D1595" t="s">
        <v>113</v>
      </c>
      <c r="E1595">
        <v>1</v>
      </c>
      <c r="F1595" s="1">
        <v>42016</v>
      </c>
      <c r="G1595" s="1" t="str">
        <f>TEXT(pizza_sales[[#This Row],[order_date]],"dddd")</f>
        <v>Monday</v>
      </c>
      <c r="H1595" s="2">
        <v>36526.68136574074</v>
      </c>
      <c r="I1595">
        <v>20.25</v>
      </c>
      <c r="J1595">
        <v>20.25</v>
      </c>
      <c r="K1595" t="s">
        <v>21</v>
      </c>
      <c r="L1595" t="s">
        <v>26</v>
      </c>
      <c r="M1595" t="s">
        <v>114</v>
      </c>
      <c r="N1595" t="s">
        <v>115</v>
      </c>
    </row>
    <row r="1596" spans="1:14" x14ac:dyDescent="0.3">
      <c r="A1596">
        <v>1595</v>
      </c>
      <c r="B1596">
        <v>712</v>
      </c>
      <c r="C1596">
        <f>1/COUNTIF(pizza_sales[[#All],[order_id]],pizza_sales[[#This Row],[order_id]])</f>
        <v>1</v>
      </c>
      <c r="D1596" t="s">
        <v>153</v>
      </c>
      <c r="E1596">
        <v>1</v>
      </c>
      <c r="F1596" s="1">
        <v>42016</v>
      </c>
      <c r="G1596" s="1" t="str">
        <f>TEXT(pizza_sales[[#This Row],[order_date]],"dddd")</f>
        <v>Monday</v>
      </c>
      <c r="H1596" s="2">
        <v>36526.682152777779</v>
      </c>
      <c r="I1596">
        <v>21</v>
      </c>
      <c r="J1596">
        <v>21</v>
      </c>
      <c r="K1596" t="s">
        <v>21</v>
      </c>
      <c r="L1596" t="s">
        <v>22</v>
      </c>
      <c r="M1596" t="s">
        <v>101</v>
      </c>
      <c r="N1596" t="s">
        <v>102</v>
      </c>
    </row>
    <row r="1597" spans="1:14" x14ac:dyDescent="0.3">
      <c r="A1597">
        <v>1596</v>
      </c>
      <c r="B1597">
        <v>713</v>
      </c>
      <c r="C1597">
        <f>1/COUNTIF(pizza_sales[[#All],[order_id]],pizza_sales[[#This Row],[order_id]])</f>
        <v>0.5</v>
      </c>
      <c r="D1597" t="s">
        <v>20</v>
      </c>
      <c r="E1597">
        <v>1</v>
      </c>
      <c r="F1597" s="1">
        <v>42016</v>
      </c>
      <c r="G1597" s="1" t="str">
        <f>TEXT(pizza_sales[[#This Row],[order_date]],"dddd")</f>
        <v>Monday</v>
      </c>
      <c r="H1597" s="2">
        <v>36526.688842592594</v>
      </c>
      <c r="I1597">
        <v>18.5</v>
      </c>
      <c r="J1597">
        <v>18.5</v>
      </c>
      <c r="K1597" t="s">
        <v>21</v>
      </c>
      <c r="L1597" t="s">
        <v>22</v>
      </c>
      <c r="M1597" t="s">
        <v>23</v>
      </c>
      <c r="N1597" t="s">
        <v>24</v>
      </c>
    </row>
    <row r="1598" spans="1:14" x14ac:dyDescent="0.3">
      <c r="A1598">
        <v>1597</v>
      </c>
      <c r="B1598">
        <v>713</v>
      </c>
      <c r="C1598">
        <f>1/COUNTIF(pizza_sales[[#All],[order_id]],pizza_sales[[#This Row],[order_id]])</f>
        <v>0.5</v>
      </c>
      <c r="D1598" t="s">
        <v>161</v>
      </c>
      <c r="E1598">
        <v>1</v>
      </c>
      <c r="F1598" s="1">
        <v>42016</v>
      </c>
      <c r="G1598" s="1" t="str">
        <f>TEXT(pizza_sales[[#This Row],[order_date]],"dddd")</f>
        <v>Monday</v>
      </c>
      <c r="H1598" s="2">
        <v>36526.688842592594</v>
      </c>
      <c r="I1598">
        <v>12</v>
      </c>
      <c r="J1598">
        <v>12</v>
      </c>
      <c r="K1598" t="s">
        <v>41</v>
      </c>
      <c r="L1598" t="s">
        <v>22</v>
      </c>
      <c r="M1598" t="s">
        <v>104</v>
      </c>
      <c r="N1598" t="s">
        <v>105</v>
      </c>
    </row>
    <row r="1599" spans="1:14" x14ac:dyDescent="0.3">
      <c r="A1599">
        <v>1598</v>
      </c>
      <c r="B1599">
        <v>714</v>
      </c>
      <c r="C1599">
        <f>1/COUNTIF(pizza_sales[[#All],[order_id]],pizza_sales[[#This Row],[order_id]])</f>
        <v>0.25</v>
      </c>
      <c r="D1599" t="s">
        <v>17</v>
      </c>
      <c r="E1599">
        <v>1</v>
      </c>
      <c r="F1599" s="1">
        <v>42016</v>
      </c>
      <c r="G1599" s="1" t="str">
        <f>TEXT(pizza_sales[[#This Row],[order_date]],"dddd")</f>
        <v>Monday</v>
      </c>
      <c r="H1599" s="2">
        <v>36526.704953703702</v>
      </c>
      <c r="I1599">
        <v>16</v>
      </c>
      <c r="J1599">
        <v>16</v>
      </c>
      <c r="K1599" t="s">
        <v>13</v>
      </c>
      <c r="L1599" t="s">
        <v>14</v>
      </c>
      <c r="M1599" t="s">
        <v>18</v>
      </c>
      <c r="N1599" t="s">
        <v>19</v>
      </c>
    </row>
    <row r="1600" spans="1:14" x14ac:dyDescent="0.3">
      <c r="A1600">
        <v>1599</v>
      </c>
      <c r="B1600">
        <v>714</v>
      </c>
      <c r="C1600">
        <f>1/COUNTIF(pizza_sales[[#All],[order_id]],pizza_sales[[#This Row],[order_id]])</f>
        <v>0.25</v>
      </c>
      <c r="D1600" t="s">
        <v>142</v>
      </c>
      <c r="E1600">
        <v>1</v>
      </c>
      <c r="F1600" s="1">
        <v>42016</v>
      </c>
      <c r="G1600" s="1" t="str">
        <f>TEXT(pizza_sales[[#This Row],[order_date]],"dddd")</f>
        <v>Monday</v>
      </c>
      <c r="H1600" s="2">
        <v>36526.704953703702</v>
      </c>
      <c r="I1600">
        <v>16.5</v>
      </c>
      <c r="J1600">
        <v>16.5</v>
      </c>
      <c r="K1600" t="s">
        <v>21</v>
      </c>
      <c r="L1600" t="s">
        <v>14</v>
      </c>
      <c r="M1600" t="s">
        <v>15</v>
      </c>
      <c r="N1600" t="s">
        <v>16</v>
      </c>
    </row>
    <row r="1601" spans="1:14" x14ac:dyDescent="0.3">
      <c r="A1601">
        <v>1600</v>
      </c>
      <c r="B1601">
        <v>714</v>
      </c>
      <c r="C1601">
        <f>1/COUNTIF(pizza_sales[[#All],[order_id]],pizza_sales[[#This Row],[order_id]])</f>
        <v>0.25</v>
      </c>
      <c r="D1601" t="s">
        <v>132</v>
      </c>
      <c r="E1601">
        <v>1</v>
      </c>
      <c r="F1601" s="1">
        <v>42016</v>
      </c>
      <c r="G1601" s="1" t="str">
        <f>TEXT(pizza_sales[[#This Row],[order_date]],"dddd")</f>
        <v>Monday</v>
      </c>
      <c r="H1601" s="2">
        <v>36526.704953703702</v>
      </c>
      <c r="I1601">
        <v>10.5</v>
      </c>
      <c r="J1601">
        <v>10.5</v>
      </c>
      <c r="K1601" t="s">
        <v>41</v>
      </c>
      <c r="L1601" t="s">
        <v>14</v>
      </c>
      <c r="M1601" t="s">
        <v>15</v>
      </c>
      <c r="N1601" t="s">
        <v>16</v>
      </c>
    </row>
    <row r="1602" spans="1:14" x14ac:dyDescent="0.3">
      <c r="A1602">
        <v>1601</v>
      </c>
      <c r="B1602">
        <v>714</v>
      </c>
      <c r="C1602">
        <f>1/COUNTIF(pizza_sales[[#All],[order_id]],pizza_sales[[#This Row],[order_id]])</f>
        <v>0.25</v>
      </c>
      <c r="D1602" t="s">
        <v>54</v>
      </c>
      <c r="E1602">
        <v>1</v>
      </c>
      <c r="F1602" s="1">
        <v>42016</v>
      </c>
      <c r="G1602" s="1" t="str">
        <f>TEXT(pizza_sales[[#This Row],[order_date]],"dddd")</f>
        <v>Monday</v>
      </c>
      <c r="H1602" s="2">
        <v>36526.704953703702</v>
      </c>
      <c r="I1602">
        <v>20.5</v>
      </c>
      <c r="J1602">
        <v>20.5</v>
      </c>
      <c r="K1602" t="s">
        <v>21</v>
      </c>
      <c r="L1602" t="s">
        <v>14</v>
      </c>
      <c r="M1602" t="s">
        <v>55</v>
      </c>
      <c r="N1602" t="s">
        <v>56</v>
      </c>
    </row>
    <row r="1603" spans="1:14" x14ac:dyDescent="0.3">
      <c r="A1603">
        <v>1602</v>
      </c>
      <c r="B1603">
        <v>715</v>
      </c>
      <c r="C1603">
        <f>1/COUNTIF(pizza_sales[[#All],[order_id]],pizza_sales[[#This Row],[order_id]])</f>
        <v>0.33333333333333331</v>
      </c>
      <c r="D1603" t="s">
        <v>119</v>
      </c>
      <c r="E1603">
        <v>1</v>
      </c>
      <c r="F1603" s="1">
        <v>42016</v>
      </c>
      <c r="G1603" s="1" t="str">
        <f>TEXT(pizza_sales[[#This Row],[order_date]],"dddd")</f>
        <v>Monday</v>
      </c>
      <c r="H1603" s="2">
        <v>36526.712187500001</v>
      </c>
      <c r="I1603">
        <v>12.5</v>
      </c>
      <c r="J1603">
        <v>12.5</v>
      </c>
      <c r="K1603" t="s">
        <v>13</v>
      </c>
      <c r="L1603" t="s">
        <v>14</v>
      </c>
      <c r="M1603" t="s">
        <v>78</v>
      </c>
      <c r="N1603" t="s">
        <v>79</v>
      </c>
    </row>
    <row r="1604" spans="1:14" x14ac:dyDescent="0.3">
      <c r="A1604">
        <v>1603</v>
      </c>
      <c r="B1604">
        <v>715</v>
      </c>
      <c r="C1604">
        <f>1/COUNTIF(pizza_sales[[#All],[order_id]],pizza_sales[[#This Row],[order_id]])</f>
        <v>0.33333333333333331</v>
      </c>
      <c r="D1604" t="s">
        <v>133</v>
      </c>
      <c r="E1604">
        <v>1</v>
      </c>
      <c r="F1604" s="1">
        <v>42016</v>
      </c>
      <c r="G1604" s="1" t="str">
        <f>TEXT(pizza_sales[[#This Row],[order_date]],"dddd")</f>
        <v>Monday</v>
      </c>
      <c r="H1604" s="2">
        <v>36526.712187500001</v>
      </c>
      <c r="I1604">
        <v>16.5</v>
      </c>
      <c r="J1604">
        <v>16.5</v>
      </c>
      <c r="K1604" t="s">
        <v>13</v>
      </c>
      <c r="L1604" t="s">
        <v>26</v>
      </c>
      <c r="M1604" t="s">
        <v>107</v>
      </c>
      <c r="N1604" t="s">
        <v>108</v>
      </c>
    </row>
    <row r="1605" spans="1:14" x14ac:dyDescent="0.3">
      <c r="A1605">
        <v>1604</v>
      </c>
      <c r="B1605">
        <v>715</v>
      </c>
      <c r="C1605">
        <f>1/COUNTIF(pizza_sales[[#All],[order_id]],pizza_sales[[#This Row],[order_id]])</f>
        <v>0.33333333333333331</v>
      </c>
      <c r="D1605" t="s">
        <v>162</v>
      </c>
      <c r="E1605">
        <v>1</v>
      </c>
      <c r="F1605" s="1">
        <v>42016</v>
      </c>
      <c r="G1605" s="1" t="str">
        <f>TEXT(pizza_sales[[#This Row],[order_date]],"dddd")</f>
        <v>Monday</v>
      </c>
      <c r="H1605" s="2">
        <v>36526.712187500001</v>
      </c>
      <c r="I1605">
        <v>16</v>
      </c>
      <c r="J1605">
        <v>16</v>
      </c>
      <c r="K1605" t="s">
        <v>13</v>
      </c>
      <c r="L1605" t="s">
        <v>22</v>
      </c>
      <c r="M1605" t="s">
        <v>110</v>
      </c>
      <c r="N1605" t="s">
        <v>111</v>
      </c>
    </row>
    <row r="1606" spans="1:14" x14ac:dyDescent="0.3">
      <c r="A1606">
        <v>1605</v>
      </c>
      <c r="B1606">
        <v>716</v>
      </c>
      <c r="C1606">
        <f>1/COUNTIF(pizza_sales[[#All],[order_id]],pizza_sales[[#This Row],[order_id]])</f>
        <v>1</v>
      </c>
      <c r="D1606" t="s">
        <v>84</v>
      </c>
      <c r="E1606">
        <v>1</v>
      </c>
      <c r="F1606" s="1">
        <v>42016</v>
      </c>
      <c r="G1606" s="1" t="str">
        <f>TEXT(pizza_sales[[#This Row],[order_date]],"dddd")</f>
        <v>Monday</v>
      </c>
      <c r="H1606" s="2">
        <v>36526.712557870371</v>
      </c>
      <c r="I1606">
        <v>12</v>
      </c>
      <c r="J1606">
        <v>12</v>
      </c>
      <c r="K1606" t="s">
        <v>41</v>
      </c>
      <c r="L1606" t="s">
        <v>14</v>
      </c>
      <c r="M1606" t="s">
        <v>85</v>
      </c>
      <c r="N1606" t="s">
        <v>86</v>
      </c>
    </row>
    <row r="1607" spans="1:14" x14ac:dyDescent="0.3">
      <c r="A1607">
        <v>1606</v>
      </c>
      <c r="B1607">
        <v>717</v>
      </c>
      <c r="C1607">
        <f>1/COUNTIF(pizza_sales[[#All],[order_id]],pizza_sales[[#This Row],[order_id]])</f>
        <v>0.5</v>
      </c>
      <c r="D1607" t="s">
        <v>118</v>
      </c>
      <c r="E1607">
        <v>1</v>
      </c>
      <c r="F1607" s="1">
        <v>42016</v>
      </c>
      <c r="G1607" s="1" t="str">
        <f>TEXT(pizza_sales[[#This Row],[order_date]],"dddd")</f>
        <v>Monday</v>
      </c>
      <c r="H1607" s="2">
        <v>36526.72550925926</v>
      </c>
      <c r="I1607">
        <v>16.75</v>
      </c>
      <c r="J1607">
        <v>16.75</v>
      </c>
      <c r="K1607" t="s">
        <v>13</v>
      </c>
      <c r="L1607" t="s">
        <v>33</v>
      </c>
      <c r="M1607" t="s">
        <v>42</v>
      </c>
      <c r="N1607" t="s">
        <v>43</v>
      </c>
    </row>
    <row r="1608" spans="1:14" x14ac:dyDescent="0.3">
      <c r="A1608">
        <v>1607</v>
      </c>
      <c r="B1608">
        <v>717</v>
      </c>
      <c r="C1608">
        <f>1/COUNTIF(pizza_sales[[#All],[order_id]],pizza_sales[[#This Row],[order_id]])</f>
        <v>0.5</v>
      </c>
      <c r="D1608" t="s">
        <v>69</v>
      </c>
      <c r="E1608">
        <v>1</v>
      </c>
      <c r="F1608" s="1">
        <v>42016</v>
      </c>
      <c r="G1608" s="1" t="str">
        <f>TEXT(pizza_sales[[#This Row],[order_date]],"dddd")</f>
        <v>Monday</v>
      </c>
      <c r="H1608" s="2">
        <v>36526.72550925926</v>
      </c>
      <c r="I1608">
        <v>20.75</v>
      </c>
      <c r="J1608">
        <v>20.75</v>
      </c>
      <c r="K1608" t="s">
        <v>21</v>
      </c>
      <c r="L1608" t="s">
        <v>33</v>
      </c>
      <c r="M1608" t="s">
        <v>70</v>
      </c>
      <c r="N1608" t="s">
        <v>71</v>
      </c>
    </row>
    <row r="1609" spans="1:14" x14ac:dyDescent="0.3">
      <c r="A1609">
        <v>1608</v>
      </c>
      <c r="B1609">
        <v>718</v>
      </c>
      <c r="C1609">
        <f>1/COUNTIF(pizza_sales[[#All],[order_id]],pizza_sales[[#This Row],[order_id]])</f>
        <v>0.5</v>
      </c>
      <c r="D1609" t="s">
        <v>76</v>
      </c>
      <c r="E1609">
        <v>1</v>
      </c>
      <c r="F1609" s="1">
        <v>42016</v>
      </c>
      <c r="G1609" s="1" t="str">
        <f>TEXT(pizza_sales[[#This Row],[order_date]],"dddd")</f>
        <v>Monday</v>
      </c>
      <c r="H1609" s="2">
        <v>36526.740624999999</v>
      </c>
      <c r="I1609">
        <v>16.75</v>
      </c>
      <c r="J1609">
        <v>16.75</v>
      </c>
      <c r="K1609" t="s">
        <v>13</v>
      </c>
      <c r="L1609" t="s">
        <v>33</v>
      </c>
      <c r="M1609" t="s">
        <v>74</v>
      </c>
      <c r="N1609" t="s">
        <v>75</v>
      </c>
    </row>
    <row r="1610" spans="1:14" x14ac:dyDescent="0.3">
      <c r="A1610">
        <v>1609</v>
      </c>
      <c r="B1610">
        <v>718</v>
      </c>
      <c r="C1610">
        <f>1/COUNTIF(pizza_sales[[#All],[order_id]],pizza_sales[[#This Row],[order_id]])</f>
        <v>0.5</v>
      </c>
      <c r="D1610" t="s">
        <v>69</v>
      </c>
      <c r="E1610">
        <v>1</v>
      </c>
      <c r="F1610" s="1">
        <v>42016</v>
      </c>
      <c r="G1610" s="1" t="str">
        <f>TEXT(pizza_sales[[#This Row],[order_date]],"dddd")</f>
        <v>Monday</v>
      </c>
      <c r="H1610" s="2">
        <v>36526.740624999999</v>
      </c>
      <c r="I1610">
        <v>20.75</v>
      </c>
      <c r="J1610">
        <v>20.75</v>
      </c>
      <c r="K1610" t="s">
        <v>21</v>
      </c>
      <c r="L1610" t="s">
        <v>33</v>
      </c>
      <c r="M1610" t="s">
        <v>70</v>
      </c>
      <c r="N1610" t="s">
        <v>71</v>
      </c>
    </row>
    <row r="1611" spans="1:14" x14ac:dyDescent="0.3">
      <c r="A1611">
        <v>1610</v>
      </c>
      <c r="B1611">
        <v>719</v>
      </c>
      <c r="C1611">
        <f>1/COUNTIF(pizza_sales[[#All],[order_id]],pizza_sales[[#This Row],[order_id]])</f>
        <v>0.5</v>
      </c>
      <c r="D1611" t="s">
        <v>72</v>
      </c>
      <c r="E1611">
        <v>1</v>
      </c>
      <c r="F1611" s="1">
        <v>42016</v>
      </c>
      <c r="G1611" s="1" t="str">
        <f>TEXT(pizza_sales[[#This Row],[order_date]],"dddd")</f>
        <v>Monday</v>
      </c>
      <c r="H1611" s="2">
        <v>36526.744756944441</v>
      </c>
      <c r="I1611">
        <v>20.75</v>
      </c>
      <c r="J1611">
        <v>20.75</v>
      </c>
      <c r="K1611" t="s">
        <v>21</v>
      </c>
      <c r="L1611" t="s">
        <v>33</v>
      </c>
      <c r="M1611" t="s">
        <v>42</v>
      </c>
      <c r="N1611" t="s">
        <v>43</v>
      </c>
    </row>
    <row r="1612" spans="1:14" x14ac:dyDescent="0.3">
      <c r="A1612">
        <v>1611</v>
      </c>
      <c r="B1612">
        <v>719</v>
      </c>
      <c r="C1612">
        <f>1/COUNTIF(pizza_sales[[#All],[order_id]],pizza_sales[[#This Row],[order_id]])</f>
        <v>0.5</v>
      </c>
      <c r="D1612" t="s">
        <v>58</v>
      </c>
      <c r="E1612">
        <v>1</v>
      </c>
      <c r="F1612" s="1">
        <v>42016</v>
      </c>
      <c r="G1612" s="1" t="str">
        <f>TEXT(pizza_sales[[#This Row],[order_date]],"dddd")</f>
        <v>Monday</v>
      </c>
      <c r="H1612" s="2">
        <v>36526.744756944441</v>
      </c>
      <c r="I1612">
        <v>12</v>
      </c>
      <c r="J1612">
        <v>12</v>
      </c>
      <c r="K1612" t="s">
        <v>41</v>
      </c>
      <c r="L1612" t="s">
        <v>22</v>
      </c>
      <c r="M1612" t="s">
        <v>30</v>
      </c>
      <c r="N1612" t="s">
        <v>31</v>
      </c>
    </row>
    <row r="1613" spans="1:14" x14ac:dyDescent="0.3">
      <c r="A1613">
        <v>1612</v>
      </c>
      <c r="B1613">
        <v>720</v>
      </c>
      <c r="C1613">
        <f>1/COUNTIF(pizza_sales[[#All],[order_id]],pizza_sales[[#This Row],[order_id]])</f>
        <v>0.25</v>
      </c>
      <c r="D1613" t="s">
        <v>128</v>
      </c>
      <c r="E1613">
        <v>1</v>
      </c>
      <c r="F1613" s="1">
        <v>42016</v>
      </c>
      <c r="G1613" s="1" t="str">
        <f>TEXT(pizza_sales[[#This Row],[order_date]],"dddd")</f>
        <v>Monday</v>
      </c>
      <c r="H1613" s="2">
        <v>36526.745821759258</v>
      </c>
      <c r="I1613">
        <v>16</v>
      </c>
      <c r="J1613">
        <v>16</v>
      </c>
      <c r="K1613" t="s">
        <v>13</v>
      </c>
      <c r="L1613" t="s">
        <v>22</v>
      </c>
      <c r="M1613" t="s">
        <v>52</v>
      </c>
      <c r="N1613" t="s">
        <v>53</v>
      </c>
    </row>
    <row r="1614" spans="1:14" x14ac:dyDescent="0.3">
      <c r="A1614">
        <v>1613</v>
      </c>
      <c r="B1614">
        <v>720</v>
      </c>
      <c r="C1614">
        <f>1/COUNTIF(pizza_sales[[#All],[order_id]],pizza_sales[[#This Row],[order_id]])</f>
        <v>0.25</v>
      </c>
      <c r="D1614" t="s">
        <v>112</v>
      </c>
      <c r="E1614">
        <v>1</v>
      </c>
      <c r="F1614" s="1">
        <v>42016</v>
      </c>
      <c r="G1614" s="1" t="str">
        <f>TEXT(pizza_sales[[#This Row],[order_date]],"dddd")</f>
        <v>Monday</v>
      </c>
      <c r="H1614" s="2">
        <v>36526.745821759258</v>
      </c>
      <c r="I1614">
        <v>20.5</v>
      </c>
      <c r="J1614">
        <v>20.5</v>
      </c>
      <c r="K1614" t="s">
        <v>21</v>
      </c>
      <c r="L1614" t="s">
        <v>14</v>
      </c>
      <c r="M1614" t="s">
        <v>94</v>
      </c>
      <c r="N1614" t="s">
        <v>95</v>
      </c>
    </row>
    <row r="1615" spans="1:14" x14ac:dyDescent="0.3">
      <c r="A1615">
        <v>1614</v>
      </c>
      <c r="B1615">
        <v>720</v>
      </c>
      <c r="C1615">
        <f>1/COUNTIF(pizza_sales[[#All],[order_id]],pizza_sales[[#This Row],[order_id]])</f>
        <v>0.25</v>
      </c>
      <c r="D1615" t="s">
        <v>148</v>
      </c>
      <c r="E1615">
        <v>1</v>
      </c>
      <c r="F1615" s="1">
        <v>42016</v>
      </c>
      <c r="G1615" s="1" t="str">
        <f>TEXT(pizza_sales[[#This Row],[order_date]],"dddd")</f>
        <v>Monday</v>
      </c>
      <c r="H1615" s="2">
        <v>36526.745821759258</v>
      </c>
      <c r="I1615">
        <v>14.5</v>
      </c>
      <c r="J1615">
        <v>14.5</v>
      </c>
      <c r="K1615" t="s">
        <v>13</v>
      </c>
      <c r="L1615" t="s">
        <v>14</v>
      </c>
      <c r="M1615" t="s">
        <v>130</v>
      </c>
      <c r="N1615" t="s">
        <v>131</v>
      </c>
    </row>
    <row r="1616" spans="1:14" x14ac:dyDescent="0.3">
      <c r="A1616">
        <v>1615</v>
      </c>
      <c r="B1616">
        <v>720</v>
      </c>
      <c r="C1616">
        <f>1/COUNTIF(pizza_sales[[#All],[order_id]],pizza_sales[[#This Row],[order_id]])</f>
        <v>0.25</v>
      </c>
      <c r="D1616" t="s">
        <v>121</v>
      </c>
      <c r="E1616">
        <v>1</v>
      </c>
      <c r="F1616" s="1">
        <v>42016</v>
      </c>
      <c r="G1616" s="1" t="str">
        <f>TEXT(pizza_sales[[#This Row],[order_date]],"dddd")</f>
        <v>Monday</v>
      </c>
      <c r="H1616" s="2">
        <v>36526.745821759258</v>
      </c>
      <c r="I1616">
        <v>16.25</v>
      </c>
      <c r="J1616">
        <v>16.25</v>
      </c>
      <c r="K1616" t="s">
        <v>13</v>
      </c>
      <c r="L1616" t="s">
        <v>26</v>
      </c>
      <c r="M1616" t="s">
        <v>114</v>
      </c>
      <c r="N1616" t="s">
        <v>115</v>
      </c>
    </row>
    <row r="1617" spans="1:14" x14ac:dyDescent="0.3">
      <c r="A1617">
        <v>1616</v>
      </c>
      <c r="B1617">
        <v>721</v>
      </c>
      <c r="C1617">
        <f>1/COUNTIF(pizza_sales[[#All],[order_id]],pizza_sales[[#This Row],[order_id]])</f>
        <v>0.5</v>
      </c>
      <c r="D1617" t="s">
        <v>50</v>
      </c>
      <c r="E1617">
        <v>1</v>
      </c>
      <c r="F1617" s="1">
        <v>42016</v>
      </c>
      <c r="G1617" s="1" t="str">
        <f>TEXT(pizza_sales[[#This Row],[order_date]],"dddd")</f>
        <v>Monday</v>
      </c>
      <c r="H1617" s="2">
        <v>36526.761979166666</v>
      </c>
      <c r="I1617">
        <v>12</v>
      </c>
      <c r="J1617">
        <v>12</v>
      </c>
      <c r="K1617" t="s">
        <v>41</v>
      </c>
      <c r="L1617" t="s">
        <v>14</v>
      </c>
      <c r="M1617" t="s">
        <v>18</v>
      </c>
      <c r="N1617" t="s">
        <v>19</v>
      </c>
    </row>
    <row r="1618" spans="1:14" x14ac:dyDescent="0.3">
      <c r="A1618">
        <v>1617</v>
      </c>
      <c r="B1618">
        <v>721</v>
      </c>
      <c r="C1618">
        <f>1/COUNTIF(pizza_sales[[#All],[order_id]],pizza_sales[[#This Row],[order_id]])</f>
        <v>0.5</v>
      </c>
      <c r="D1618" t="s">
        <v>59</v>
      </c>
      <c r="E1618">
        <v>1</v>
      </c>
      <c r="F1618" s="1">
        <v>42016</v>
      </c>
      <c r="G1618" s="1" t="str">
        <f>TEXT(pizza_sales[[#This Row],[order_date]],"dddd")</f>
        <v>Monday</v>
      </c>
      <c r="H1618" s="2">
        <v>36526.761979166666</v>
      </c>
      <c r="I1618">
        <v>20.75</v>
      </c>
      <c r="J1618">
        <v>20.75</v>
      </c>
      <c r="K1618" t="s">
        <v>21</v>
      </c>
      <c r="L1618" t="s">
        <v>26</v>
      </c>
      <c r="M1618" t="s">
        <v>60</v>
      </c>
      <c r="N1618" t="s">
        <v>61</v>
      </c>
    </row>
    <row r="1619" spans="1:14" x14ac:dyDescent="0.3">
      <c r="A1619">
        <v>1618</v>
      </c>
      <c r="B1619">
        <v>722</v>
      </c>
      <c r="C1619">
        <f>1/COUNTIF(pizza_sales[[#All],[order_id]],pizza_sales[[#This Row],[order_id]])</f>
        <v>0.5</v>
      </c>
      <c r="D1619" t="s">
        <v>112</v>
      </c>
      <c r="E1619">
        <v>1</v>
      </c>
      <c r="F1619" s="1">
        <v>42016</v>
      </c>
      <c r="G1619" s="1" t="str">
        <f>TEXT(pizza_sales[[#This Row],[order_date]],"dddd")</f>
        <v>Monday</v>
      </c>
      <c r="H1619" s="2">
        <v>36526.764560185184</v>
      </c>
      <c r="I1619">
        <v>20.5</v>
      </c>
      <c r="J1619">
        <v>20.5</v>
      </c>
      <c r="K1619" t="s">
        <v>21</v>
      </c>
      <c r="L1619" t="s">
        <v>14</v>
      </c>
      <c r="M1619" t="s">
        <v>94</v>
      </c>
      <c r="N1619" t="s">
        <v>95</v>
      </c>
    </row>
    <row r="1620" spans="1:14" x14ac:dyDescent="0.3">
      <c r="A1620">
        <v>1619</v>
      </c>
      <c r="B1620">
        <v>722</v>
      </c>
      <c r="C1620">
        <f>1/COUNTIF(pizza_sales[[#All],[order_id]],pizza_sales[[#This Row],[order_id]])</f>
        <v>0.5</v>
      </c>
      <c r="D1620" t="s">
        <v>136</v>
      </c>
      <c r="E1620">
        <v>1</v>
      </c>
      <c r="F1620" s="1">
        <v>42016</v>
      </c>
      <c r="G1620" s="1" t="str">
        <f>TEXT(pizza_sales[[#This Row],[order_date]],"dddd")</f>
        <v>Monday</v>
      </c>
      <c r="H1620" s="2">
        <v>36526.764560185184</v>
      </c>
      <c r="I1620">
        <v>12.5</v>
      </c>
      <c r="J1620">
        <v>12.5</v>
      </c>
      <c r="K1620" t="s">
        <v>41</v>
      </c>
      <c r="L1620" t="s">
        <v>22</v>
      </c>
      <c r="M1620" t="s">
        <v>63</v>
      </c>
      <c r="N1620" t="s">
        <v>64</v>
      </c>
    </row>
    <row r="1621" spans="1:14" x14ac:dyDescent="0.3">
      <c r="A1621">
        <v>1620</v>
      </c>
      <c r="B1621">
        <v>723</v>
      </c>
      <c r="C1621">
        <f>1/COUNTIF(pizza_sales[[#All],[order_id]],pizza_sales[[#This Row],[order_id]])</f>
        <v>0.5</v>
      </c>
      <c r="D1621" t="s">
        <v>72</v>
      </c>
      <c r="E1621">
        <v>1</v>
      </c>
      <c r="F1621" s="1">
        <v>42016</v>
      </c>
      <c r="G1621" s="1" t="str">
        <f>TEXT(pizza_sales[[#This Row],[order_date]],"dddd")</f>
        <v>Monday</v>
      </c>
      <c r="H1621" s="2">
        <v>36526.76462962963</v>
      </c>
      <c r="I1621">
        <v>20.75</v>
      </c>
      <c r="J1621">
        <v>20.75</v>
      </c>
      <c r="K1621" t="s">
        <v>21</v>
      </c>
      <c r="L1621" t="s">
        <v>33</v>
      </c>
      <c r="M1621" t="s">
        <v>42</v>
      </c>
      <c r="N1621" t="s">
        <v>43</v>
      </c>
    </row>
    <row r="1622" spans="1:14" x14ac:dyDescent="0.3">
      <c r="A1622">
        <v>1621</v>
      </c>
      <c r="B1622">
        <v>723</v>
      </c>
      <c r="C1622">
        <f>1/COUNTIF(pizza_sales[[#All],[order_id]],pizza_sales[[#This Row],[order_id]])</f>
        <v>0.5</v>
      </c>
      <c r="D1622" t="s">
        <v>126</v>
      </c>
      <c r="E1622">
        <v>1</v>
      </c>
      <c r="F1622" s="1">
        <v>42016</v>
      </c>
      <c r="G1622" s="1" t="str">
        <f>TEXT(pizza_sales[[#This Row],[order_date]],"dddd")</f>
        <v>Monday</v>
      </c>
      <c r="H1622" s="2">
        <v>36526.76462962963</v>
      </c>
      <c r="I1622">
        <v>9.75</v>
      </c>
      <c r="J1622">
        <v>9.75</v>
      </c>
      <c r="K1622" t="s">
        <v>41</v>
      </c>
      <c r="L1622" t="s">
        <v>14</v>
      </c>
      <c r="M1622" t="s">
        <v>78</v>
      </c>
      <c r="N1622" t="s">
        <v>79</v>
      </c>
    </row>
    <row r="1623" spans="1:14" x14ac:dyDescent="0.3">
      <c r="A1623">
        <v>1622</v>
      </c>
      <c r="B1623">
        <v>724</v>
      </c>
      <c r="C1623">
        <f>1/COUNTIF(pizza_sales[[#All],[order_id]],pizza_sales[[#This Row],[order_id]])</f>
        <v>0.33333333333333331</v>
      </c>
      <c r="D1623" t="s">
        <v>84</v>
      </c>
      <c r="E1623">
        <v>1</v>
      </c>
      <c r="F1623" s="1">
        <v>42016</v>
      </c>
      <c r="G1623" s="1" t="str">
        <f>TEXT(pizza_sales[[#This Row],[order_date]],"dddd")</f>
        <v>Monday</v>
      </c>
      <c r="H1623" s="2">
        <v>36526.767210648148</v>
      </c>
      <c r="I1623">
        <v>12</v>
      </c>
      <c r="J1623">
        <v>12</v>
      </c>
      <c r="K1623" t="s">
        <v>41</v>
      </c>
      <c r="L1623" t="s">
        <v>14</v>
      </c>
      <c r="M1623" t="s">
        <v>85</v>
      </c>
      <c r="N1623" t="s">
        <v>86</v>
      </c>
    </row>
    <row r="1624" spans="1:14" x14ac:dyDescent="0.3">
      <c r="A1624">
        <v>1623</v>
      </c>
      <c r="B1624">
        <v>724</v>
      </c>
      <c r="C1624">
        <f>1/COUNTIF(pizza_sales[[#All],[order_id]],pizza_sales[[#This Row],[order_id]])</f>
        <v>0.33333333333333331</v>
      </c>
      <c r="D1624" t="s">
        <v>128</v>
      </c>
      <c r="E1624">
        <v>1</v>
      </c>
      <c r="F1624" s="1">
        <v>42016</v>
      </c>
      <c r="G1624" s="1" t="str">
        <f>TEXT(pizza_sales[[#This Row],[order_date]],"dddd")</f>
        <v>Monday</v>
      </c>
      <c r="H1624" s="2">
        <v>36526.767210648148</v>
      </c>
      <c r="I1624">
        <v>16</v>
      </c>
      <c r="J1624">
        <v>16</v>
      </c>
      <c r="K1624" t="s">
        <v>13</v>
      </c>
      <c r="L1624" t="s">
        <v>22</v>
      </c>
      <c r="M1624" t="s">
        <v>52</v>
      </c>
      <c r="N1624" t="s">
        <v>53</v>
      </c>
    </row>
    <row r="1625" spans="1:14" x14ac:dyDescent="0.3">
      <c r="A1625">
        <v>1624</v>
      </c>
      <c r="B1625">
        <v>724</v>
      </c>
      <c r="C1625">
        <f>1/COUNTIF(pizza_sales[[#All],[order_id]],pizza_sales[[#This Row],[order_id]])</f>
        <v>0.33333333333333331</v>
      </c>
      <c r="D1625" t="s">
        <v>69</v>
      </c>
      <c r="E1625">
        <v>2</v>
      </c>
      <c r="F1625" s="1">
        <v>42016</v>
      </c>
      <c r="G1625" s="1" t="str">
        <f>TEXT(pizza_sales[[#This Row],[order_date]],"dddd")</f>
        <v>Monday</v>
      </c>
      <c r="H1625" s="2">
        <v>36526.767210648148</v>
      </c>
      <c r="I1625">
        <v>20.75</v>
      </c>
      <c r="J1625">
        <v>41.5</v>
      </c>
      <c r="K1625" t="s">
        <v>21</v>
      </c>
      <c r="L1625" t="s">
        <v>33</v>
      </c>
      <c r="M1625" t="s">
        <v>70</v>
      </c>
      <c r="N1625" t="s">
        <v>71</v>
      </c>
    </row>
    <row r="1626" spans="1:14" x14ac:dyDescent="0.3">
      <c r="A1626">
        <v>1625</v>
      </c>
      <c r="B1626">
        <v>725</v>
      </c>
      <c r="C1626">
        <f>1/COUNTIF(pizza_sales[[#All],[order_id]],pizza_sales[[#This Row],[order_id]])</f>
        <v>0.25</v>
      </c>
      <c r="D1626" t="s">
        <v>84</v>
      </c>
      <c r="E1626">
        <v>1</v>
      </c>
      <c r="F1626" s="1">
        <v>42016</v>
      </c>
      <c r="G1626" s="1" t="str">
        <f>TEXT(pizza_sales[[#This Row],[order_date]],"dddd")</f>
        <v>Monday</v>
      </c>
      <c r="H1626" s="2">
        <v>36526.773078703707</v>
      </c>
      <c r="I1626">
        <v>12</v>
      </c>
      <c r="J1626">
        <v>12</v>
      </c>
      <c r="K1626" t="s">
        <v>41</v>
      </c>
      <c r="L1626" t="s">
        <v>14</v>
      </c>
      <c r="M1626" t="s">
        <v>85</v>
      </c>
      <c r="N1626" t="s">
        <v>86</v>
      </c>
    </row>
    <row r="1627" spans="1:14" x14ac:dyDescent="0.3">
      <c r="A1627">
        <v>1626</v>
      </c>
      <c r="B1627">
        <v>725</v>
      </c>
      <c r="C1627">
        <f>1/COUNTIF(pizza_sales[[#All],[order_id]],pizza_sales[[#This Row],[order_id]])</f>
        <v>0.25</v>
      </c>
      <c r="D1627" t="s">
        <v>58</v>
      </c>
      <c r="E1627">
        <v>1</v>
      </c>
      <c r="F1627" s="1">
        <v>42016</v>
      </c>
      <c r="G1627" s="1" t="str">
        <f>TEXT(pizza_sales[[#This Row],[order_date]],"dddd")</f>
        <v>Monday</v>
      </c>
      <c r="H1627" s="2">
        <v>36526.773078703707</v>
      </c>
      <c r="I1627">
        <v>12</v>
      </c>
      <c r="J1627">
        <v>12</v>
      </c>
      <c r="K1627" t="s">
        <v>41</v>
      </c>
      <c r="L1627" t="s">
        <v>22</v>
      </c>
      <c r="M1627" t="s">
        <v>30</v>
      </c>
      <c r="N1627" t="s">
        <v>31</v>
      </c>
    </row>
    <row r="1628" spans="1:14" x14ac:dyDescent="0.3">
      <c r="A1628">
        <v>1627</v>
      </c>
      <c r="B1628">
        <v>725</v>
      </c>
      <c r="C1628">
        <f>1/COUNTIF(pizza_sales[[#All],[order_id]],pizza_sales[[#This Row],[order_id]])</f>
        <v>0.25</v>
      </c>
      <c r="D1628" t="s">
        <v>32</v>
      </c>
      <c r="E1628">
        <v>1</v>
      </c>
      <c r="F1628" s="1">
        <v>42016</v>
      </c>
      <c r="G1628" s="1" t="str">
        <f>TEXT(pizza_sales[[#This Row],[order_date]],"dddd")</f>
        <v>Monday</v>
      </c>
      <c r="H1628" s="2">
        <v>36526.773078703707</v>
      </c>
      <c r="I1628">
        <v>20.75</v>
      </c>
      <c r="J1628">
        <v>20.75</v>
      </c>
      <c r="K1628" t="s">
        <v>21</v>
      </c>
      <c r="L1628" t="s">
        <v>33</v>
      </c>
      <c r="M1628" t="s">
        <v>34</v>
      </c>
      <c r="N1628" t="s">
        <v>35</v>
      </c>
    </row>
    <row r="1629" spans="1:14" x14ac:dyDescent="0.3">
      <c r="A1629">
        <v>1628</v>
      </c>
      <c r="B1629">
        <v>725</v>
      </c>
      <c r="C1629">
        <f>1/COUNTIF(pizza_sales[[#All],[order_id]],pizza_sales[[#This Row],[order_id]])</f>
        <v>0.25</v>
      </c>
      <c r="D1629" t="s">
        <v>140</v>
      </c>
      <c r="E1629">
        <v>1</v>
      </c>
      <c r="F1629" s="1">
        <v>42016</v>
      </c>
      <c r="G1629" s="1" t="str">
        <f>TEXT(pizza_sales[[#This Row],[order_date]],"dddd")</f>
        <v>Monday</v>
      </c>
      <c r="H1629" s="2">
        <v>36526.773078703707</v>
      </c>
      <c r="I1629">
        <v>25.5</v>
      </c>
      <c r="J1629">
        <v>25.5</v>
      </c>
      <c r="K1629" t="s">
        <v>141</v>
      </c>
      <c r="L1629" t="s">
        <v>14</v>
      </c>
      <c r="M1629" t="s">
        <v>45</v>
      </c>
      <c r="N1629" t="s">
        <v>46</v>
      </c>
    </row>
    <row r="1630" spans="1:14" x14ac:dyDescent="0.3">
      <c r="A1630">
        <v>1629</v>
      </c>
      <c r="B1630">
        <v>726</v>
      </c>
      <c r="C1630">
        <f>1/COUNTIF(pizza_sales[[#All],[order_id]],pizza_sales[[#This Row],[order_id]])</f>
        <v>1</v>
      </c>
      <c r="D1630" t="s">
        <v>149</v>
      </c>
      <c r="E1630">
        <v>1</v>
      </c>
      <c r="F1630" s="1">
        <v>42016</v>
      </c>
      <c r="G1630" s="1" t="str">
        <f>TEXT(pizza_sales[[#This Row],[order_date]],"dddd")</f>
        <v>Monday</v>
      </c>
      <c r="H1630" s="2">
        <v>36526.773900462962</v>
      </c>
      <c r="I1630">
        <v>12.25</v>
      </c>
      <c r="J1630">
        <v>12.25</v>
      </c>
      <c r="K1630" t="s">
        <v>41</v>
      </c>
      <c r="L1630" t="s">
        <v>26</v>
      </c>
      <c r="M1630" t="s">
        <v>114</v>
      </c>
      <c r="N1630" t="s">
        <v>115</v>
      </c>
    </row>
    <row r="1631" spans="1:14" x14ac:dyDescent="0.3">
      <c r="A1631">
        <v>1630</v>
      </c>
      <c r="B1631">
        <v>727</v>
      </c>
      <c r="C1631">
        <f>1/COUNTIF(pizza_sales[[#All],[order_id]],pizza_sales[[#This Row],[order_id]])</f>
        <v>1</v>
      </c>
      <c r="D1631" t="s">
        <v>149</v>
      </c>
      <c r="E1631">
        <v>1</v>
      </c>
      <c r="F1631" s="1">
        <v>42016</v>
      </c>
      <c r="G1631" s="1" t="str">
        <f>TEXT(pizza_sales[[#This Row],[order_date]],"dddd")</f>
        <v>Monday</v>
      </c>
      <c r="H1631" s="2">
        <v>36526.781215277777</v>
      </c>
      <c r="I1631">
        <v>12.25</v>
      </c>
      <c r="J1631">
        <v>12.25</v>
      </c>
      <c r="K1631" t="s">
        <v>41</v>
      </c>
      <c r="L1631" t="s">
        <v>26</v>
      </c>
      <c r="M1631" t="s">
        <v>114</v>
      </c>
      <c r="N1631" t="s">
        <v>115</v>
      </c>
    </row>
    <row r="1632" spans="1:14" x14ac:dyDescent="0.3">
      <c r="A1632">
        <v>1631</v>
      </c>
      <c r="B1632">
        <v>728</v>
      </c>
      <c r="C1632">
        <f>1/COUNTIF(pizza_sales[[#All],[order_id]],pizza_sales[[#This Row],[order_id]])</f>
        <v>0.33333333333333331</v>
      </c>
      <c r="D1632" t="s">
        <v>147</v>
      </c>
      <c r="E1632">
        <v>1</v>
      </c>
      <c r="F1632" s="1">
        <v>42016</v>
      </c>
      <c r="G1632" s="1" t="str">
        <f>TEXT(pizza_sales[[#This Row],[order_date]],"dddd")</f>
        <v>Monday</v>
      </c>
      <c r="H1632" s="2">
        <v>36526.787002314813</v>
      </c>
      <c r="I1632">
        <v>16.75</v>
      </c>
      <c r="J1632">
        <v>16.75</v>
      </c>
      <c r="K1632" t="s">
        <v>13</v>
      </c>
      <c r="L1632" t="s">
        <v>33</v>
      </c>
      <c r="M1632" t="s">
        <v>70</v>
      </c>
      <c r="N1632" t="s">
        <v>71</v>
      </c>
    </row>
    <row r="1633" spans="1:14" x14ac:dyDescent="0.3">
      <c r="A1633">
        <v>1632</v>
      </c>
      <c r="B1633">
        <v>728</v>
      </c>
      <c r="C1633">
        <f>1/COUNTIF(pizza_sales[[#All],[order_id]],pizza_sales[[#This Row],[order_id]])</f>
        <v>0.33333333333333331</v>
      </c>
      <c r="D1633" t="s">
        <v>151</v>
      </c>
      <c r="E1633">
        <v>1</v>
      </c>
      <c r="F1633" s="1">
        <v>42016</v>
      </c>
      <c r="G1633" s="1" t="str">
        <f>TEXT(pizza_sales[[#This Row],[order_date]],"dddd")</f>
        <v>Monday</v>
      </c>
      <c r="H1633" s="2">
        <v>36526.787002314813</v>
      </c>
      <c r="I1633">
        <v>12.75</v>
      </c>
      <c r="J1633">
        <v>12.75</v>
      </c>
      <c r="K1633" t="s">
        <v>41</v>
      </c>
      <c r="L1633" t="s">
        <v>33</v>
      </c>
      <c r="M1633" t="s">
        <v>34</v>
      </c>
      <c r="N1633" t="s">
        <v>35</v>
      </c>
    </row>
    <row r="1634" spans="1:14" x14ac:dyDescent="0.3">
      <c r="A1634">
        <v>1633</v>
      </c>
      <c r="B1634">
        <v>728</v>
      </c>
      <c r="C1634">
        <f>1/COUNTIF(pizza_sales[[#All],[order_id]],pizza_sales[[#This Row],[order_id]])</f>
        <v>0.33333333333333331</v>
      </c>
      <c r="D1634" t="s">
        <v>155</v>
      </c>
      <c r="E1634">
        <v>1</v>
      </c>
      <c r="F1634" s="1">
        <v>42016</v>
      </c>
      <c r="G1634" s="1" t="str">
        <f>TEXT(pizza_sales[[#This Row],[order_date]],"dddd")</f>
        <v>Monday</v>
      </c>
      <c r="H1634" s="2">
        <v>36526.787002314813</v>
      </c>
      <c r="I1634">
        <v>16</v>
      </c>
      <c r="J1634">
        <v>16</v>
      </c>
      <c r="K1634" t="s">
        <v>13</v>
      </c>
      <c r="L1634" t="s">
        <v>14</v>
      </c>
      <c r="M1634" t="s">
        <v>45</v>
      </c>
      <c r="N1634" t="s">
        <v>46</v>
      </c>
    </row>
    <row r="1635" spans="1:14" x14ac:dyDescent="0.3">
      <c r="A1635">
        <v>1634</v>
      </c>
      <c r="B1635">
        <v>729</v>
      </c>
      <c r="C1635">
        <f>1/COUNTIF(pizza_sales[[#All],[order_id]],pizza_sales[[#This Row],[order_id]])</f>
        <v>0.33333333333333331</v>
      </c>
      <c r="D1635" t="s">
        <v>17</v>
      </c>
      <c r="E1635">
        <v>1</v>
      </c>
      <c r="F1635" s="1">
        <v>42016</v>
      </c>
      <c r="G1635" s="1" t="str">
        <f>TEXT(pizza_sales[[#This Row],[order_date]],"dddd")</f>
        <v>Monday</v>
      </c>
      <c r="H1635" s="2">
        <v>36526.806030092594</v>
      </c>
      <c r="I1635">
        <v>16</v>
      </c>
      <c r="J1635">
        <v>16</v>
      </c>
      <c r="K1635" t="s">
        <v>13</v>
      </c>
      <c r="L1635" t="s">
        <v>14</v>
      </c>
      <c r="M1635" t="s">
        <v>18</v>
      </c>
      <c r="N1635" t="s">
        <v>19</v>
      </c>
    </row>
    <row r="1636" spans="1:14" x14ac:dyDescent="0.3">
      <c r="A1636">
        <v>1635</v>
      </c>
      <c r="B1636">
        <v>729</v>
      </c>
      <c r="C1636">
        <f>1/COUNTIF(pizza_sales[[#All],[order_id]],pizza_sales[[#This Row],[order_id]])</f>
        <v>0.33333333333333331</v>
      </c>
      <c r="D1636" t="s">
        <v>142</v>
      </c>
      <c r="E1636">
        <v>1</v>
      </c>
      <c r="F1636" s="1">
        <v>42016</v>
      </c>
      <c r="G1636" s="1" t="str">
        <f>TEXT(pizza_sales[[#This Row],[order_date]],"dddd")</f>
        <v>Monday</v>
      </c>
      <c r="H1636" s="2">
        <v>36526.806030092594</v>
      </c>
      <c r="I1636">
        <v>16.5</v>
      </c>
      <c r="J1636">
        <v>16.5</v>
      </c>
      <c r="K1636" t="s">
        <v>21</v>
      </c>
      <c r="L1636" t="s">
        <v>14</v>
      </c>
      <c r="M1636" t="s">
        <v>15</v>
      </c>
      <c r="N1636" t="s">
        <v>16</v>
      </c>
    </row>
    <row r="1637" spans="1:14" x14ac:dyDescent="0.3">
      <c r="A1637">
        <v>1636</v>
      </c>
      <c r="B1637">
        <v>729</v>
      </c>
      <c r="C1637">
        <f>1/COUNTIF(pizza_sales[[#All],[order_id]],pizza_sales[[#This Row],[order_id]])</f>
        <v>0.33333333333333331</v>
      </c>
      <c r="D1637" t="s">
        <v>149</v>
      </c>
      <c r="E1637">
        <v>1</v>
      </c>
      <c r="F1637" s="1">
        <v>42016</v>
      </c>
      <c r="G1637" s="1" t="str">
        <f>TEXT(pizza_sales[[#This Row],[order_date]],"dddd")</f>
        <v>Monday</v>
      </c>
      <c r="H1637" s="2">
        <v>36526.806030092594</v>
      </c>
      <c r="I1637">
        <v>12.25</v>
      </c>
      <c r="J1637">
        <v>12.25</v>
      </c>
      <c r="K1637" t="s">
        <v>41</v>
      </c>
      <c r="L1637" t="s">
        <v>26</v>
      </c>
      <c r="M1637" t="s">
        <v>114</v>
      </c>
      <c r="N1637" t="s">
        <v>115</v>
      </c>
    </row>
    <row r="1638" spans="1:14" x14ac:dyDescent="0.3">
      <c r="A1638">
        <v>1637</v>
      </c>
      <c r="B1638">
        <v>730</v>
      </c>
      <c r="C1638">
        <f>1/COUNTIF(pizza_sales[[#All],[order_id]],pizza_sales[[#This Row],[order_id]])</f>
        <v>1</v>
      </c>
      <c r="D1638" t="s">
        <v>36</v>
      </c>
      <c r="E1638">
        <v>1</v>
      </c>
      <c r="F1638" s="1">
        <v>42016</v>
      </c>
      <c r="G1638" s="1" t="str">
        <f>TEXT(pizza_sales[[#This Row],[order_date]],"dddd")</f>
        <v>Monday</v>
      </c>
      <c r="H1638" s="2">
        <v>36526.806944444441</v>
      </c>
      <c r="I1638">
        <v>16.5</v>
      </c>
      <c r="J1638">
        <v>16.5</v>
      </c>
      <c r="K1638" t="s">
        <v>13</v>
      </c>
      <c r="L1638" t="s">
        <v>26</v>
      </c>
      <c r="M1638" t="s">
        <v>27</v>
      </c>
      <c r="N1638" t="s">
        <v>28</v>
      </c>
    </row>
    <row r="1639" spans="1:14" x14ac:dyDescent="0.3">
      <c r="A1639">
        <v>1638</v>
      </c>
      <c r="B1639">
        <v>731</v>
      </c>
      <c r="C1639">
        <f>1/COUNTIF(pizza_sales[[#All],[order_id]],pizza_sales[[#This Row],[order_id]])</f>
        <v>0.5</v>
      </c>
      <c r="D1639" t="s">
        <v>121</v>
      </c>
      <c r="E1639">
        <v>1</v>
      </c>
      <c r="F1639" s="1">
        <v>42016</v>
      </c>
      <c r="G1639" s="1" t="str">
        <f>TEXT(pizza_sales[[#This Row],[order_date]],"dddd")</f>
        <v>Monday</v>
      </c>
      <c r="H1639" s="2">
        <v>36526.810960648145</v>
      </c>
      <c r="I1639">
        <v>16.25</v>
      </c>
      <c r="J1639">
        <v>16.25</v>
      </c>
      <c r="K1639" t="s">
        <v>13</v>
      </c>
      <c r="L1639" t="s">
        <v>26</v>
      </c>
      <c r="M1639" t="s">
        <v>114</v>
      </c>
      <c r="N1639" t="s">
        <v>115</v>
      </c>
    </row>
    <row r="1640" spans="1:14" x14ac:dyDescent="0.3">
      <c r="A1640">
        <v>1639</v>
      </c>
      <c r="B1640">
        <v>731</v>
      </c>
      <c r="C1640">
        <f>1/COUNTIF(pizza_sales[[#All],[order_id]],pizza_sales[[#This Row],[order_id]])</f>
        <v>0.5</v>
      </c>
      <c r="D1640" t="s">
        <v>65</v>
      </c>
      <c r="E1640">
        <v>1</v>
      </c>
      <c r="F1640" s="1">
        <v>42016</v>
      </c>
      <c r="G1640" s="1" t="str">
        <f>TEXT(pizza_sales[[#This Row],[order_date]],"dddd")</f>
        <v>Monday</v>
      </c>
      <c r="H1640" s="2">
        <v>36526.810960648145</v>
      </c>
      <c r="I1640">
        <v>12</v>
      </c>
      <c r="J1640">
        <v>12</v>
      </c>
      <c r="K1640" t="s">
        <v>41</v>
      </c>
      <c r="L1640" t="s">
        <v>22</v>
      </c>
      <c r="M1640" t="s">
        <v>66</v>
      </c>
      <c r="N1640" t="s">
        <v>67</v>
      </c>
    </row>
    <row r="1641" spans="1:14" x14ac:dyDescent="0.3">
      <c r="A1641">
        <v>1640</v>
      </c>
      <c r="B1641">
        <v>732</v>
      </c>
      <c r="C1641">
        <f>1/COUNTIF(pizza_sales[[#All],[order_id]],pizza_sales[[#This Row],[order_id]])</f>
        <v>1</v>
      </c>
      <c r="D1641" t="s">
        <v>109</v>
      </c>
      <c r="E1641">
        <v>1</v>
      </c>
      <c r="F1641" s="1">
        <v>42016</v>
      </c>
      <c r="G1641" s="1" t="str">
        <f>TEXT(pizza_sales[[#This Row],[order_date]],"dddd")</f>
        <v>Monday</v>
      </c>
      <c r="H1641" s="2">
        <v>36526.812696759262</v>
      </c>
      <c r="I1641">
        <v>20.25</v>
      </c>
      <c r="J1641">
        <v>20.25</v>
      </c>
      <c r="K1641" t="s">
        <v>21</v>
      </c>
      <c r="L1641" t="s">
        <v>22</v>
      </c>
      <c r="M1641" t="s">
        <v>110</v>
      </c>
      <c r="N1641" t="s">
        <v>111</v>
      </c>
    </row>
    <row r="1642" spans="1:14" x14ac:dyDescent="0.3">
      <c r="A1642">
        <v>1641</v>
      </c>
      <c r="B1642">
        <v>733</v>
      </c>
      <c r="C1642">
        <f>1/COUNTIF(pizza_sales[[#All],[order_id]],pizza_sales[[#This Row],[order_id]])</f>
        <v>0.25</v>
      </c>
      <c r="D1642" t="s">
        <v>80</v>
      </c>
      <c r="E1642">
        <v>1</v>
      </c>
      <c r="F1642" s="1">
        <v>42016</v>
      </c>
      <c r="G1642" s="1" t="str">
        <f>TEXT(pizza_sales[[#This Row],[order_date]],"dddd")</f>
        <v>Monday</v>
      </c>
      <c r="H1642" s="2">
        <v>36526.831666666665</v>
      </c>
      <c r="I1642">
        <v>12.75</v>
      </c>
      <c r="J1642">
        <v>12.75</v>
      </c>
      <c r="K1642" t="s">
        <v>41</v>
      </c>
      <c r="L1642" t="s">
        <v>33</v>
      </c>
      <c r="M1642" t="s">
        <v>74</v>
      </c>
      <c r="N1642" t="s">
        <v>75</v>
      </c>
    </row>
    <row r="1643" spans="1:14" x14ac:dyDescent="0.3">
      <c r="A1643">
        <v>1642</v>
      </c>
      <c r="B1643">
        <v>733</v>
      </c>
      <c r="C1643">
        <f>1/COUNTIF(pizza_sales[[#All],[order_id]],pizza_sales[[#This Row],[order_id]])</f>
        <v>0.25</v>
      </c>
      <c r="D1643" t="s">
        <v>54</v>
      </c>
      <c r="E1643">
        <v>1</v>
      </c>
      <c r="F1643" s="1">
        <v>42016</v>
      </c>
      <c r="G1643" s="1" t="str">
        <f>TEXT(pizza_sales[[#This Row],[order_date]],"dddd")</f>
        <v>Monday</v>
      </c>
      <c r="H1643" s="2">
        <v>36526.831666666665</v>
      </c>
      <c r="I1643">
        <v>20.5</v>
      </c>
      <c r="J1643">
        <v>20.5</v>
      </c>
      <c r="K1643" t="s">
        <v>21</v>
      </c>
      <c r="L1643" t="s">
        <v>14</v>
      </c>
      <c r="M1643" t="s">
        <v>55</v>
      </c>
      <c r="N1643" t="s">
        <v>56</v>
      </c>
    </row>
    <row r="1644" spans="1:14" x14ac:dyDescent="0.3">
      <c r="A1644">
        <v>1643</v>
      </c>
      <c r="B1644">
        <v>733</v>
      </c>
      <c r="C1644">
        <f>1/COUNTIF(pizza_sales[[#All],[order_id]],pizza_sales[[#This Row],[order_id]])</f>
        <v>0.25</v>
      </c>
      <c r="D1644" t="s">
        <v>126</v>
      </c>
      <c r="E1644">
        <v>1</v>
      </c>
      <c r="F1644" s="1">
        <v>42016</v>
      </c>
      <c r="G1644" s="1" t="str">
        <f>TEXT(pizza_sales[[#This Row],[order_date]],"dddd")</f>
        <v>Monday</v>
      </c>
      <c r="H1644" s="2">
        <v>36526.831666666665</v>
      </c>
      <c r="I1644">
        <v>9.75</v>
      </c>
      <c r="J1644">
        <v>9.75</v>
      </c>
      <c r="K1644" t="s">
        <v>41</v>
      </c>
      <c r="L1644" t="s">
        <v>14</v>
      </c>
      <c r="M1644" t="s">
        <v>78</v>
      </c>
      <c r="N1644" t="s">
        <v>79</v>
      </c>
    </row>
    <row r="1645" spans="1:14" x14ac:dyDescent="0.3">
      <c r="A1645">
        <v>1644</v>
      </c>
      <c r="B1645">
        <v>733</v>
      </c>
      <c r="C1645">
        <f>1/COUNTIF(pizza_sales[[#All],[order_id]],pizza_sales[[#This Row],[order_id]])</f>
        <v>0.25</v>
      </c>
      <c r="D1645" t="s">
        <v>32</v>
      </c>
      <c r="E1645">
        <v>1</v>
      </c>
      <c r="F1645" s="1">
        <v>42016</v>
      </c>
      <c r="G1645" s="1" t="str">
        <f>TEXT(pizza_sales[[#This Row],[order_date]],"dddd")</f>
        <v>Monday</v>
      </c>
      <c r="H1645" s="2">
        <v>36526.831666666665</v>
      </c>
      <c r="I1645">
        <v>20.75</v>
      </c>
      <c r="J1645">
        <v>20.75</v>
      </c>
      <c r="K1645" t="s">
        <v>21</v>
      </c>
      <c r="L1645" t="s">
        <v>33</v>
      </c>
      <c r="M1645" t="s">
        <v>34</v>
      </c>
      <c r="N1645" t="s">
        <v>35</v>
      </c>
    </row>
    <row r="1646" spans="1:14" x14ac:dyDescent="0.3">
      <c r="A1646">
        <v>1645</v>
      </c>
      <c r="B1646">
        <v>734</v>
      </c>
      <c r="C1646">
        <f>1/COUNTIF(pizza_sales[[#All],[order_id]],pizza_sales[[#This Row],[order_id]])</f>
        <v>1</v>
      </c>
      <c r="D1646" t="s">
        <v>126</v>
      </c>
      <c r="E1646">
        <v>1</v>
      </c>
      <c r="F1646" s="1">
        <v>42016</v>
      </c>
      <c r="G1646" s="1" t="str">
        <f>TEXT(pizza_sales[[#This Row],[order_date]],"dddd")</f>
        <v>Monday</v>
      </c>
      <c r="H1646" s="2">
        <v>36526.833680555559</v>
      </c>
      <c r="I1646">
        <v>9.75</v>
      </c>
      <c r="J1646">
        <v>9.75</v>
      </c>
      <c r="K1646" t="s">
        <v>41</v>
      </c>
      <c r="L1646" t="s">
        <v>14</v>
      </c>
      <c r="M1646" t="s">
        <v>78</v>
      </c>
      <c r="N1646" t="s">
        <v>79</v>
      </c>
    </row>
    <row r="1647" spans="1:14" x14ac:dyDescent="0.3">
      <c r="A1647">
        <v>1646</v>
      </c>
      <c r="B1647">
        <v>735</v>
      </c>
      <c r="C1647">
        <f>1/COUNTIF(pizza_sales[[#All],[order_id]],pizza_sales[[#This Row],[order_id]])</f>
        <v>0.33333333333333331</v>
      </c>
      <c r="D1647" t="s">
        <v>156</v>
      </c>
      <c r="E1647">
        <v>1</v>
      </c>
      <c r="F1647" s="1">
        <v>42016</v>
      </c>
      <c r="G1647" s="1" t="str">
        <f>TEXT(pizza_sales[[#This Row],[order_date]],"dddd")</f>
        <v>Monday</v>
      </c>
      <c r="H1647" s="2">
        <v>36526.858032407406</v>
      </c>
      <c r="I1647">
        <v>12.75</v>
      </c>
      <c r="J1647">
        <v>12.75</v>
      </c>
      <c r="K1647" t="s">
        <v>41</v>
      </c>
      <c r="L1647" t="s">
        <v>33</v>
      </c>
      <c r="M1647" t="s">
        <v>82</v>
      </c>
      <c r="N1647" t="s">
        <v>83</v>
      </c>
    </row>
    <row r="1648" spans="1:14" x14ac:dyDescent="0.3">
      <c r="A1648">
        <v>1647</v>
      </c>
      <c r="B1648">
        <v>735</v>
      </c>
      <c r="C1648">
        <f>1/COUNTIF(pizza_sales[[#All],[order_id]],pizza_sales[[#This Row],[order_id]])</f>
        <v>0.33333333333333331</v>
      </c>
      <c r="D1648" t="s">
        <v>148</v>
      </c>
      <c r="E1648">
        <v>1</v>
      </c>
      <c r="F1648" s="1">
        <v>42016</v>
      </c>
      <c r="G1648" s="1" t="str">
        <f>TEXT(pizza_sales[[#This Row],[order_date]],"dddd")</f>
        <v>Monday</v>
      </c>
      <c r="H1648" s="2">
        <v>36526.858032407406</v>
      </c>
      <c r="I1648">
        <v>14.5</v>
      </c>
      <c r="J1648">
        <v>14.5</v>
      </c>
      <c r="K1648" t="s">
        <v>13</v>
      </c>
      <c r="L1648" t="s">
        <v>14</v>
      </c>
      <c r="M1648" t="s">
        <v>130</v>
      </c>
      <c r="N1648" t="s">
        <v>131</v>
      </c>
    </row>
    <row r="1649" spans="1:14" x14ac:dyDescent="0.3">
      <c r="A1649">
        <v>1648</v>
      </c>
      <c r="B1649">
        <v>735</v>
      </c>
      <c r="C1649">
        <f>1/COUNTIF(pizza_sales[[#All],[order_id]],pizza_sales[[#This Row],[order_id]])</f>
        <v>0.33333333333333331</v>
      </c>
      <c r="D1649" t="s">
        <v>143</v>
      </c>
      <c r="E1649">
        <v>1</v>
      </c>
      <c r="F1649" s="1">
        <v>42016</v>
      </c>
      <c r="G1649" s="1" t="str">
        <f>TEXT(pizza_sales[[#This Row],[order_date]],"dddd")</f>
        <v>Monday</v>
      </c>
      <c r="H1649" s="2">
        <v>36526.858032407406</v>
      </c>
      <c r="I1649">
        <v>11</v>
      </c>
      <c r="J1649">
        <v>11</v>
      </c>
      <c r="K1649" t="s">
        <v>41</v>
      </c>
      <c r="L1649" t="s">
        <v>14</v>
      </c>
      <c r="M1649" t="s">
        <v>130</v>
      </c>
      <c r="N1649" t="s">
        <v>131</v>
      </c>
    </row>
    <row r="1650" spans="1:14" x14ac:dyDescent="0.3">
      <c r="A1650">
        <v>1649</v>
      </c>
      <c r="B1650">
        <v>736</v>
      </c>
      <c r="C1650">
        <f>1/COUNTIF(pizza_sales[[#All],[order_id]],pizza_sales[[#This Row],[order_id]])</f>
        <v>0.5</v>
      </c>
      <c r="D1650" t="s">
        <v>20</v>
      </c>
      <c r="E1650">
        <v>1</v>
      </c>
      <c r="F1650" s="1">
        <v>42016</v>
      </c>
      <c r="G1650" s="1" t="str">
        <f>TEXT(pizza_sales[[#This Row],[order_date]],"dddd")</f>
        <v>Monday</v>
      </c>
      <c r="H1650" s="2">
        <v>36526.899467592593</v>
      </c>
      <c r="I1650">
        <v>18.5</v>
      </c>
      <c r="J1650">
        <v>18.5</v>
      </c>
      <c r="K1650" t="s">
        <v>21</v>
      </c>
      <c r="L1650" t="s">
        <v>22</v>
      </c>
      <c r="M1650" t="s">
        <v>23</v>
      </c>
      <c r="N1650" t="s">
        <v>24</v>
      </c>
    </row>
    <row r="1651" spans="1:14" x14ac:dyDescent="0.3">
      <c r="A1651">
        <v>1650</v>
      </c>
      <c r="B1651">
        <v>736</v>
      </c>
      <c r="C1651">
        <f>1/COUNTIF(pizza_sales[[#All],[order_id]],pizza_sales[[#This Row],[order_id]])</f>
        <v>0.5</v>
      </c>
      <c r="D1651" t="s">
        <v>65</v>
      </c>
      <c r="E1651">
        <v>1</v>
      </c>
      <c r="F1651" s="1">
        <v>42016</v>
      </c>
      <c r="G1651" s="1" t="str">
        <f>TEXT(pizza_sales[[#This Row],[order_date]],"dddd")</f>
        <v>Monday</v>
      </c>
      <c r="H1651" s="2">
        <v>36526.899467592593</v>
      </c>
      <c r="I1651">
        <v>12</v>
      </c>
      <c r="J1651">
        <v>12</v>
      </c>
      <c r="K1651" t="s">
        <v>41</v>
      </c>
      <c r="L1651" t="s">
        <v>22</v>
      </c>
      <c r="M1651" t="s">
        <v>66</v>
      </c>
      <c r="N1651" t="s">
        <v>67</v>
      </c>
    </row>
    <row r="1652" spans="1:14" x14ac:dyDescent="0.3">
      <c r="A1652">
        <v>1651</v>
      </c>
      <c r="B1652">
        <v>737</v>
      </c>
      <c r="C1652">
        <f>1/COUNTIF(pizza_sales[[#All],[order_id]],pizza_sales[[#This Row],[order_id]])</f>
        <v>0.5</v>
      </c>
      <c r="D1652" t="s">
        <v>118</v>
      </c>
      <c r="E1652">
        <v>1</v>
      </c>
      <c r="F1652" s="1">
        <v>42017</v>
      </c>
      <c r="G1652" s="1" t="str">
        <f>TEXT(pizza_sales[[#This Row],[order_date]],"dddd")</f>
        <v>Tuesday</v>
      </c>
      <c r="H1652" s="2">
        <v>36526.480254629627</v>
      </c>
      <c r="I1652">
        <v>16.75</v>
      </c>
      <c r="J1652">
        <v>16.75</v>
      </c>
      <c r="K1652" t="s">
        <v>13</v>
      </c>
      <c r="L1652" t="s">
        <v>33</v>
      </c>
      <c r="M1652" t="s">
        <v>42</v>
      </c>
      <c r="N1652" t="s">
        <v>43</v>
      </c>
    </row>
    <row r="1653" spans="1:14" x14ac:dyDescent="0.3">
      <c r="A1653">
        <v>1652</v>
      </c>
      <c r="B1653">
        <v>737</v>
      </c>
      <c r="C1653">
        <f>1/COUNTIF(pizza_sales[[#All],[order_id]],pizza_sales[[#This Row],[order_id]])</f>
        <v>0.5</v>
      </c>
      <c r="D1653" t="s">
        <v>137</v>
      </c>
      <c r="E1653">
        <v>1</v>
      </c>
      <c r="F1653" s="1">
        <v>42017</v>
      </c>
      <c r="G1653" s="1" t="str">
        <f>TEXT(pizza_sales[[#This Row],[order_date]],"dddd")</f>
        <v>Tuesday</v>
      </c>
      <c r="H1653" s="2">
        <v>36526.480254629627</v>
      </c>
      <c r="I1653">
        <v>16.75</v>
      </c>
      <c r="J1653">
        <v>16.75</v>
      </c>
      <c r="K1653" t="s">
        <v>13</v>
      </c>
      <c r="L1653" t="s">
        <v>33</v>
      </c>
      <c r="M1653" t="s">
        <v>34</v>
      </c>
      <c r="N1653" t="s">
        <v>35</v>
      </c>
    </row>
    <row r="1654" spans="1:14" x14ac:dyDescent="0.3">
      <c r="A1654">
        <v>1653</v>
      </c>
      <c r="B1654">
        <v>738</v>
      </c>
      <c r="C1654">
        <f>1/COUNTIF(pizza_sales[[#All],[order_id]],pizza_sales[[#This Row],[order_id]])</f>
        <v>1</v>
      </c>
      <c r="D1654" t="s">
        <v>147</v>
      </c>
      <c r="E1654">
        <v>1</v>
      </c>
      <c r="F1654" s="1">
        <v>42017</v>
      </c>
      <c r="G1654" s="1" t="str">
        <f>TEXT(pizza_sales[[#This Row],[order_date]],"dddd")</f>
        <v>Tuesday</v>
      </c>
      <c r="H1654" s="2">
        <v>36526.511655092596</v>
      </c>
      <c r="I1654">
        <v>16.75</v>
      </c>
      <c r="J1654">
        <v>16.75</v>
      </c>
      <c r="K1654" t="s">
        <v>13</v>
      </c>
      <c r="L1654" t="s">
        <v>33</v>
      </c>
      <c r="M1654" t="s">
        <v>70</v>
      </c>
      <c r="N1654" t="s">
        <v>71</v>
      </c>
    </row>
    <row r="1655" spans="1:14" x14ac:dyDescent="0.3">
      <c r="A1655">
        <v>1654</v>
      </c>
      <c r="B1655">
        <v>739</v>
      </c>
      <c r="C1655">
        <f>1/COUNTIF(pizza_sales[[#All],[order_id]],pizza_sales[[#This Row],[order_id]])</f>
        <v>1</v>
      </c>
      <c r="D1655" t="s">
        <v>84</v>
      </c>
      <c r="E1655">
        <v>1</v>
      </c>
      <c r="F1655" s="1">
        <v>42017</v>
      </c>
      <c r="G1655" s="1" t="str">
        <f>TEXT(pizza_sales[[#This Row],[order_date]],"dddd")</f>
        <v>Tuesday</v>
      </c>
      <c r="H1655" s="2">
        <v>36526.51363425926</v>
      </c>
      <c r="I1655">
        <v>12</v>
      </c>
      <c r="J1655">
        <v>12</v>
      </c>
      <c r="K1655" t="s">
        <v>41</v>
      </c>
      <c r="L1655" t="s">
        <v>14</v>
      </c>
      <c r="M1655" t="s">
        <v>85</v>
      </c>
      <c r="N1655" t="s">
        <v>86</v>
      </c>
    </row>
    <row r="1656" spans="1:14" x14ac:dyDescent="0.3">
      <c r="A1656">
        <v>1655</v>
      </c>
      <c r="B1656">
        <v>740</v>
      </c>
      <c r="C1656">
        <f>1/COUNTIF(pizza_sales[[#All],[order_id]],pizza_sales[[#This Row],[order_id]])</f>
        <v>7.6923076923076927E-2</v>
      </c>
      <c r="D1656" t="s">
        <v>76</v>
      </c>
      <c r="E1656">
        <v>1</v>
      </c>
      <c r="F1656" s="1">
        <v>42017</v>
      </c>
      <c r="G1656" s="1" t="str">
        <f>TEXT(pizza_sales[[#This Row],[order_date]],"dddd")</f>
        <v>Tuesday</v>
      </c>
      <c r="H1656" s="2">
        <v>36526.520729166667</v>
      </c>
      <c r="I1656">
        <v>16.75</v>
      </c>
      <c r="J1656">
        <v>16.75</v>
      </c>
      <c r="K1656" t="s">
        <v>13</v>
      </c>
      <c r="L1656" t="s">
        <v>33</v>
      </c>
      <c r="M1656" t="s">
        <v>74</v>
      </c>
      <c r="N1656" t="s">
        <v>75</v>
      </c>
    </row>
    <row r="1657" spans="1:14" x14ac:dyDescent="0.3">
      <c r="A1657">
        <v>1656</v>
      </c>
      <c r="B1657">
        <v>740</v>
      </c>
      <c r="C1657">
        <f>1/COUNTIF(pizza_sales[[#All],[order_id]],pizza_sales[[#This Row],[order_id]])</f>
        <v>7.6923076923076927E-2</v>
      </c>
      <c r="D1657" t="s">
        <v>81</v>
      </c>
      <c r="E1657">
        <v>1</v>
      </c>
      <c r="F1657" s="1">
        <v>42017</v>
      </c>
      <c r="G1657" s="1" t="str">
        <f>TEXT(pizza_sales[[#This Row],[order_date]],"dddd")</f>
        <v>Tuesday</v>
      </c>
      <c r="H1657" s="2">
        <v>36526.520729166667</v>
      </c>
      <c r="I1657">
        <v>20.75</v>
      </c>
      <c r="J1657">
        <v>20.75</v>
      </c>
      <c r="K1657" t="s">
        <v>21</v>
      </c>
      <c r="L1657" t="s">
        <v>33</v>
      </c>
      <c r="M1657" t="s">
        <v>82</v>
      </c>
      <c r="N1657" t="s">
        <v>83</v>
      </c>
    </row>
    <row r="1658" spans="1:14" x14ac:dyDescent="0.3">
      <c r="A1658">
        <v>1657</v>
      </c>
      <c r="B1658">
        <v>740</v>
      </c>
      <c r="C1658">
        <f>1/COUNTIF(pizza_sales[[#All],[order_id]],pizza_sales[[#This Row],[order_id]])</f>
        <v>7.6923076923076927E-2</v>
      </c>
      <c r="D1658" t="s">
        <v>20</v>
      </c>
      <c r="E1658">
        <v>2</v>
      </c>
      <c r="F1658" s="1">
        <v>42017</v>
      </c>
      <c r="G1658" s="1" t="str">
        <f>TEXT(pizza_sales[[#This Row],[order_date]],"dddd")</f>
        <v>Tuesday</v>
      </c>
      <c r="H1658" s="2">
        <v>36526.520729166667</v>
      </c>
      <c r="I1658">
        <v>18.5</v>
      </c>
      <c r="J1658">
        <v>37</v>
      </c>
      <c r="K1658" t="s">
        <v>21</v>
      </c>
      <c r="L1658" t="s">
        <v>22</v>
      </c>
      <c r="M1658" t="s">
        <v>23</v>
      </c>
      <c r="N1658" t="s">
        <v>24</v>
      </c>
    </row>
    <row r="1659" spans="1:14" x14ac:dyDescent="0.3">
      <c r="A1659">
        <v>1658</v>
      </c>
      <c r="B1659">
        <v>740</v>
      </c>
      <c r="C1659">
        <f>1/COUNTIF(pizza_sales[[#All],[order_id]],pizza_sales[[#This Row],[order_id]])</f>
        <v>7.6923076923076927E-2</v>
      </c>
      <c r="D1659" t="s">
        <v>90</v>
      </c>
      <c r="E1659">
        <v>1</v>
      </c>
      <c r="F1659" s="1">
        <v>42017</v>
      </c>
      <c r="G1659" s="1" t="str">
        <f>TEXT(pizza_sales[[#This Row],[order_date]],"dddd")</f>
        <v>Tuesday</v>
      </c>
      <c r="H1659" s="2">
        <v>36526.520729166667</v>
      </c>
      <c r="I1659">
        <v>17.95</v>
      </c>
      <c r="J1659">
        <v>17.95</v>
      </c>
      <c r="K1659" t="s">
        <v>21</v>
      </c>
      <c r="L1659" t="s">
        <v>22</v>
      </c>
      <c r="M1659" t="s">
        <v>91</v>
      </c>
      <c r="N1659" t="s">
        <v>92</v>
      </c>
    </row>
    <row r="1660" spans="1:14" x14ac:dyDescent="0.3">
      <c r="A1660">
        <v>1659</v>
      </c>
      <c r="B1660">
        <v>740</v>
      </c>
      <c r="C1660">
        <f>1/COUNTIF(pizza_sales[[#All],[order_id]],pizza_sales[[#This Row],[order_id]])</f>
        <v>7.6923076923076927E-2</v>
      </c>
      <c r="D1660" t="s">
        <v>54</v>
      </c>
      <c r="E1660">
        <v>2</v>
      </c>
      <c r="F1660" s="1">
        <v>42017</v>
      </c>
      <c r="G1660" s="1" t="str">
        <f>TEXT(pizza_sales[[#This Row],[order_date]],"dddd")</f>
        <v>Tuesday</v>
      </c>
      <c r="H1660" s="2">
        <v>36526.520729166667</v>
      </c>
      <c r="I1660">
        <v>20.5</v>
      </c>
      <c r="J1660">
        <v>41</v>
      </c>
      <c r="K1660" t="s">
        <v>21</v>
      </c>
      <c r="L1660" t="s">
        <v>14</v>
      </c>
      <c r="M1660" t="s">
        <v>55</v>
      </c>
      <c r="N1660" t="s">
        <v>56</v>
      </c>
    </row>
    <row r="1661" spans="1:14" x14ac:dyDescent="0.3">
      <c r="A1661">
        <v>1660</v>
      </c>
      <c r="B1661">
        <v>740</v>
      </c>
      <c r="C1661">
        <f>1/COUNTIF(pizza_sales[[#All],[order_id]],pizza_sales[[#This Row],[order_id]])</f>
        <v>7.6923076923076927E-2</v>
      </c>
      <c r="D1661" t="s">
        <v>36</v>
      </c>
      <c r="E1661">
        <v>1</v>
      </c>
      <c r="F1661" s="1">
        <v>42017</v>
      </c>
      <c r="G1661" s="1" t="str">
        <f>TEXT(pizza_sales[[#This Row],[order_date]],"dddd")</f>
        <v>Tuesday</v>
      </c>
      <c r="H1661" s="2">
        <v>36526.520729166667</v>
      </c>
      <c r="I1661">
        <v>16.5</v>
      </c>
      <c r="J1661">
        <v>16.5</v>
      </c>
      <c r="K1661" t="s">
        <v>13</v>
      </c>
      <c r="L1661" t="s">
        <v>26</v>
      </c>
      <c r="M1661" t="s">
        <v>27</v>
      </c>
      <c r="N1661" t="s">
        <v>28</v>
      </c>
    </row>
    <row r="1662" spans="1:14" x14ac:dyDescent="0.3">
      <c r="A1662">
        <v>1661</v>
      </c>
      <c r="B1662">
        <v>740</v>
      </c>
      <c r="C1662">
        <f>1/COUNTIF(pizza_sales[[#All],[order_id]],pizza_sales[[#This Row],[order_id]])</f>
        <v>7.6923076923076927E-2</v>
      </c>
      <c r="D1662" t="s">
        <v>112</v>
      </c>
      <c r="E1662">
        <v>1</v>
      </c>
      <c r="F1662" s="1">
        <v>42017</v>
      </c>
      <c r="G1662" s="1" t="str">
        <f>TEXT(pizza_sales[[#This Row],[order_date]],"dddd")</f>
        <v>Tuesday</v>
      </c>
      <c r="H1662" s="2">
        <v>36526.520729166667</v>
      </c>
      <c r="I1662">
        <v>20.5</v>
      </c>
      <c r="J1662">
        <v>20.5</v>
      </c>
      <c r="K1662" t="s">
        <v>21</v>
      </c>
      <c r="L1662" t="s">
        <v>14</v>
      </c>
      <c r="M1662" t="s">
        <v>94</v>
      </c>
      <c r="N1662" t="s">
        <v>95</v>
      </c>
    </row>
    <row r="1663" spans="1:14" x14ac:dyDescent="0.3">
      <c r="A1663">
        <v>1662</v>
      </c>
      <c r="B1663">
        <v>740</v>
      </c>
      <c r="C1663">
        <f>1/COUNTIF(pizza_sales[[#All],[order_id]],pizza_sales[[#This Row],[order_id]])</f>
        <v>7.6923076923076927E-2</v>
      </c>
      <c r="D1663" t="s">
        <v>145</v>
      </c>
      <c r="E1663">
        <v>1</v>
      </c>
      <c r="F1663" s="1">
        <v>42017</v>
      </c>
      <c r="G1663" s="1" t="str">
        <f>TEXT(pizza_sales[[#This Row],[order_date]],"dddd")</f>
        <v>Tuesday</v>
      </c>
      <c r="H1663" s="2">
        <v>36526.520729166667</v>
      </c>
      <c r="I1663">
        <v>16.5</v>
      </c>
      <c r="J1663">
        <v>16.5</v>
      </c>
      <c r="K1663" t="s">
        <v>13</v>
      </c>
      <c r="L1663" t="s">
        <v>26</v>
      </c>
      <c r="M1663" t="s">
        <v>38</v>
      </c>
      <c r="N1663" t="s">
        <v>39</v>
      </c>
    </row>
    <row r="1664" spans="1:14" x14ac:dyDescent="0.3">
      <c r="A1664">
        <v>1663</v>
      </c>
      <c r="B1664">
        <v>740</v>
      </c>
      <c r="C1664">
        <f>1/COUNTIF(pizza_sales[[#All],[order_id]],pizza_sales[[#This Row],[order_id]])</f>
        <v>7.6923076923076927E-2</v>
      </c>
      <c r="D1664" t="s">
        <v>113</v>
      </c>
      <c r="E1664">
        <v>1</v>
      </c>
      <c r="F1664" s="1">
        <v>42017</v>
      </c>
      <c r="G1664" s="1" t="str">
        <f>TEXT(pizza_sales[[#This Row],[order_date]],"dddd")</f>
        <v>Tuesday</v>
      </c>
      <c r="H1664" s="2">
        <v>36526.520729166667</v>
      </c>
      <c r="I1664">
        <v>20.25</v>
      </c>
      <c r="J1664">
        <v>20.25</v>
      </c>
      <c r="K1664" t="s">
        <v>21</v>
      </c>
      <c r="L1664" t="s">
        <v>26</v>
      </c>
      <c r="M1664" t="s">
        <v>114</v>
      </c>
      <c r="N1664" t="s">
        <v>115</v>
      </c>
    </row>
    <row r="1665" spans="1:14" x14ac:dyDescent="0.3">
      <c r="A1665">
        <v>1664</v>
      </c>
      <c r="B1665">
        <v>740</v>
      </c>
      <c r="C1665">
        <f>1/COUNTIF(pizza_sales[[#All],[order_id]],pizza_sales[[#This Row],[order_id]])</f>
        <v>7.6923076923076927E-2</v>
      </c>
      <c r="D1665" t="s">
        <v>109</v>
      </c>
      <c r="E1665">
        <v>1</v>
      </c>
      <c r="F1665" s="1">
        <v>42017</v>
      </c>
      <c r="G1665" s="1" t="str">
        <f>TEXT(pizza_sales[[#This Row],[order_date]],"dddd")</f>
        <v>Tuesday</v>
      </c>
      <c r="H1665" s="2">
        <v>36526.520729166667</v>
      </c>
      <c r="I1665">
        <v>20.25</v>
      </c>
      <c r="J1665">
        <v>20.25</v>
      </c>
      <c r="K1665" t="s">
        <v>21</v>
      </c>
      <c r="L1665" t="s">
        <v>22</v>
      </c>
      <c r="M1665" t="s">
        <v>110</v>
      </c>
      <c r="N1665" t="s">
        <v>111</v>
      </c>
    </row>
    <row r="1666" spans="1:14" x14ac:dyDescent="0.3">
      <c r="A1666">
        <v>1665</v>
      </c>
      <c r="B1666">
        <v>740</v>
      </c>
      <c r="C1666">
        <f>1/COUNTIF(pizza_sales[[#All],[order_id]],pizza_sales[[#This Row],[order_id]])</f>
        <v>7.6923076923076927E-2</v>
      </c>
      <c r="D1666" t="s">
        <v>162</v>
      </c>
      <c r="E1666">
        <v>1</v>
      </c>
      <c r="F1666" s="1">
        <v>42017</v>
      </c>
      <c r="G1666" s="1" t="str">
        <f>TEXT(pizza_sales[[#This Row],[order_date]],"dddd")</f>
        <v>Tuesday</v>
      </c>
      <c r="H1666" s="2">
        <v>36526.520729166667</v>
      </c>
      <c r="I1666">
        <v>16</v>
      </c>
      <c r="J1666">
        <v>16</v>
      </c>
      <c r="K1666" t="s">
        <v>13</v>
      </c>
      <c r="L1666" t="s">
        <v>22</v>
      </c>
      <c r="M1666" t="s">
        <v>110</v>
      </c>
      <c r="N1666" t="s">
        <v>111</v>
      </c>
    </row>
    <row r="1667" spans="1:14" x14ac:dyDescent="0.3">
      <c r="A1667">
        <v>1666</v>
      </c>
      <c r="B1667">
        <v>740</v>
      </c>
      <c r="C1667">
        <f>1/COUNTIF(pizza_sales[[#All],[order_id]],pizza_sales[[#This Row],[order_id]])</f>
        <v>7.6923076923076927E-2</v>
      </c>
      <c r="D1667" t="s">
        <v>157</v>
      </c>
      <c r="E1667">
        <v>1</v>
      </c>
      <c r="F1667" s="1">
        <v>42017</v>
      </c>
      <c r="G1667" s="1" t="str">
        <f>TEXT(pizza_sales[[#This Row],[order_date]],"dddd")</f>
        <v>Tuesday</v>
      </c>
      <c r="H1667" s="2">
        <v>36526.520729166667</v>
      </c>
      <c r="I1667">
        <v>12</v>
      </c>
      <c r="J1667">
        <v>12</v>
      </c>
      <c r="K1667" t="s">
        <v>41</v>
      </c>
      <c r="L1667" t="s">
        <v>22</v>
      </c>
      <c r="M1667" t="s">
        <v>110</v>
      </c>
      <c r="N1667" t="s">
        <v>111</v>
      </c>
    </row>
    <row r="1668" spans="1:14" x14ac:dyDescent="0.3">
      <c r="A1668">
        <v>1667</v>
      </c>
      <c r="B1668">
        <v>740</v>
      </c>
      <c r="C1668">
        <f>1/COUNTIF(pizza_sales[[#All],[order_id]],pizza_sales[[#This Row],[order_id]])</f>
        <v>7.6923076923076927E-2</v>
      </c>
      <c r="D1668" t="s">
        <v>140</v>
      </c>
      <c r="E1668">
        <v>1</v>
      </c>
      <c r="F1668" s="1">
        <v>42017</v>
      </c>
      <c r="G1668" s="1" t="str">
        <f>TEXT(pizza_sales[[#This Row],[order_date]],"dddd")</f>
        <v>Tuesday</v>
      </c>
      <c r="H1668" s="2">
        <v>36526.520729166667</v>
      </c>
      <c r="I1668">
        <v>25.5</v>
      </c>
      <c r="J1668">
        <v>25.5</v>
      </c>
      <c r="K1668" t="s">
        <v>141</v>
      </c>
      <c r="L1668" t="s">
        <v>14</v>
      </c>
      <c r="M1668" t="s">
        <v>45</v>
      </c>
      <c r="N1668" t="s">
        <v>46</v>
      </c>
    </row>
    <row r="1669" spans="1:14" x14ac:dyDescent="0.3">
      <c r="A1669">
        <v>1668</v>
      </c>
      <c r="B1669">
        <v>741</v>
      </c>
      <c r="C1669">
        <f>1/COUNTIF(pizza_sales[[#All],[order_id]],pizza_sales[[#This Row],[order_id]])</f>
        <v>1</v>
      </c>
      <c r="D1669" t="s">
        <v>163</v>
      </c>
      <c r="E1669">
        <v>1</v>
      </c>
      <c r="F1669" s="1">
        <v>42017</v>
      </c>
      <c r="G1669" s="1" t="str">
        <f>TEXT(pizza_sales[[#This Row],[order_date]],"dddd")</f>
        <v>Tuesday</v>
      </c>
      <c r="H1669" s="2">
        <v>36526.534131944441</v>
      </c>
      <c r="I1669">
        <v>16</v>
      </c>
      <c r="J1669">
        <v>16</v>
      </c>
      <c r="K1669" t="s">
        <v>13</v>
      </c>
      <c r="L1669" t="s">
        <v>14</v>
      </c>
      <c r="M1669" t="s">
        <v>94</v>
      </c>
      <c r="N1669" t="s">
        <v>95</v>
      </c>
    </row>
    <row r="1670" spans="1:14" x14ac:dyDescent="0.3">
      <c r="A1670">
        <v>1669</v>
      </c>
      <c r="B1670">
        <v>742</v>
      </c>
      <c r="C1670">
        <f>1/COUNTIF(pizza_sales[[#All],[order_id]],pizza_sales[[#This Row],[order_id]])</f>
        <v>1</v>
      </c>
      <c r="D1670" t="s">
        <v>72</v>
      </c>
      <c r="E1670">
        <v>1</v>
      </c>
      <c r="F1670" s="1">
        <v>42017</v>
      </c>
      <c r="G1670" s="1" t="str">
        <f>TEXT(pizza_sales[[#This Row],[order_date]],"dddd")</f>
        <v>Tuesday</v>
      </c>
      <c r="H1670" s="2">
        <v>36526.536817129629</v>
      </c>
      <c r="I1670">
        <v>20.75</v>
      </c>
      <c r="J1670">
        <v>20.75</v>
      </c>
      <c r="K1670" t="s">
        <v>21</v>
      </c>
      <c r="L1670" t="s">
        <v>33</v>
      </c>
      <c r="M1670" t="s">
        <v>42</v>
      </c>
      <c r="N1670" t="s">
        <v>43</v>
      </c>
    </row>
    <row r="1671" spans="1:14" x14ac:dyDescent="0.3">
      <c r="A1671">
        <v>1670</v>
      </c>
      <c r="B1671">
        <v>743</v>
      </c>
      <c r="C1671">
        <f>1/COUNTIF(pizza_sales[[#All],[order_id]],pizza_sales[[#This Row],[order_id]])</f>
        <v>1</v>
      </c>
      <c r="D1671" t="s">
        <v>112</v>
      </c>
      <c r="E1671">
        <v>1</v>
      </c>
      <c r="F1671" s="1">
        <v>42017</v>
      </c>
      <c r="G1671" s="1" t="str">
        <f>TEXT(pizza_sales[[#This Row],[order_date]],"dddd")</f>
        <v>Tuesday</v>
      </c>
      <c r="H1671" s="2">
        <v>36526.547592592593</v>
      </c>
      <c r="I1671">
        <v>20.5</v>
      </c>
      <c r="J1671">
        <v>20.5</v>
      </c>
      <c r="K1671" t="s">
        <v>21</v>
      </c>
      <c r="L1671" t="s">
        <v>14</v>
      </c>
      <c r="M1671" t="s">
        <v>94</v>
      </c>
      <c r="N1671" t="s">
        <v>95</v>
      </c>
    </row>
    <row r="1672" spans="1:14" x14ac:dyDescent="0.3">
      <c r="A1672">
        <v>1671</v>
      </c>
      <c r="B1672">
        <v>744</v>
      </c>
      <c r="C1672">
        <f>1/COUNTIF(pizza_sales[[#All],[order_id]],pizza_sales[[#This Row],[order_id]])</f>
        <v>1</v>
      </c>
      <c r="D1672" t="s">
        <v>133</v>
      </c>
      <c r="E1672">
        <v>1</v>
      </c>
      <c r="F1672" s="1">
        <v>42017</v>
      </c>
      <c r="G1672" s="1" t="str">
        <f>TEXT(pizza_sales[[#This Row],[order_date]],"dddd")</f>
        <v>Tuesday</v>
      </c>
      <c r="H1672" s="2">
        <v>36526.565833333334</v>
      </c>
      <c r="I1672">
        <v>16.5</v>
      </c>
      <c r="J1672">
        <v>16.5</v>
      </c>
      <c r="K1672" t="s">
        <v>13</v>
      </c>
      <c r="L1672" t="s">
        <v>26</v>
      </c>
      <c r="M1672" t="s">
        <v>107</v>
      </c>
      <c r="N1672" t="s">
        <v>108</v>
      </c>
    </row>
    <row r="1673" spans="1:14" x14ac:dyDescent="0.3">
      <c r="A1673">
        <v>1672</v>
      </c>
      <c r="B1673">
        <v>745</v>
      </c>
      <c r="C1673">
        <f>1/COUNTIF(pizza_sales[[#All],[order_id]],pizza_sales[[#This Row],[order_id]])</f>
        <v>0.14285714285714285</v>
      </c>
      <c r="D1673" t="s">
        <v>72</v>
      </c>
      <c r="E1673">
        <v>1</v>
      </c>
      <c r="F1673" s="1">
        <v>42017</v>
      </c>
      <c r="G1673" s="1" t="str">
        <f>TEXT(pizza_sales[[#This Row],[order_date]],"dddd")</f>
        <v>Tuesday</v>
      </c>
      <c r="H1673" s="2">
        <v>36526.567280092589</v>
      </c>
      <c r="I1673">
        <v>20.75</v>
      </c>
      <c r="J1673">
        <v>20.75</v>
      </c>
      <c r="K1673" t="s">
        <v>21</v>
      </c>
      <c r="L1673" t="s">
        <v>33</v>
      </c>
      <c r="M1673" t="s">
        <v>42</v>
      </c>
      <c r="N1673" t="s">
        <v>43</v>
      </c>
    </row>
    <row r="1674" spans="1:14" x14ac:dyDescent="0.3">
      <c r="A1674">
        <v>1673</v>
      </c>
      <c r="B1674">
        <v>745</v>
      </c>
      <c r="C1674">
        <f>1/COUNTIF(pizza_sales[[#All],[order_id]],pizza_sales[[#This Row],[order_id]])</f>
        <v>0.14285714285714285</v>
      </c>
      <c r="D1674" t="s">
        <v>76</v>
      </c>
      <c r="E1674">
        <v>1</v>
      </c>
      <c r="F1674" s="1">
        <v>42017</v>
      </c>
      <c r="G1674" s="1" t="str">
        <f>TEXT(pizza_sales[[#This Row],[order_date]],"dddd")</f>
        <v>Tuesday</v>
      </c>
      <c r="H1674" s="2">
        <v>36526.567280092589</v>
      </c>
      <c r="I1674">
        <v>16.75</v>
      </c>
      <c r="J1674">
        <v>16.75</v>
      </c>
      <c r="K1674" t="s">
        <v>13</v>
      </c>
      <c r="L1674" t="s">
        <v>33</v>
      </c>
      <c r="M1674" t="s">
        <v>74</v>
      </c>
      <c r="N1674" t="s">
        <v>75</v>
      </c>
    </row>
    <row r="1675" spans="1:14" x14ac:dyDescent="0.3">
      <c r="A1675">
        <v>1674</v>
      </c>
      <c r="B1675">
        <v>745</v>
      </c>
      <c r="C1675">
        <f>1/COUNTIF(pizza_sales[[#All],[order_id]],pizza_sales[[#This Row],[order_id]])</f>
        <v>0.14285714285714285</v>
      </c>
      <c r="D1675" t="s">
        <v>17</v>
      </c>
      <c r="E1675">
        <v>1</v>
      </c>
      <c r="F1675" s="1">
        <v>42017</v>
      </c>
      <c r="G1675" s="1" t="str">
        <f>TEXT(pizza_sales[[#This Row],[order_date]],"dddd")</f>
        <v>Tuesday</v>
      </c>
      <c r="H1675" s="2">
        <v>36526.567280092589</v>
      </c>
      <c r="I1675">
        <v>16</v>
      </c>
      <c r="J1675">
        <v>16</v>
      </c>
      <c r="K1675" t="s">
        <v>13</v>
      </c>
      <c r="L1675" t="s">
        <v>14</v>
      </c>
      <c r="M1675" t="s">
        <v>18</v>
      </c>
      <c r="N1675" t="s">
        <v>19</v>
      </c>
    </row>
    <row r="1676" spans="1:14" x14ac:dyDescent="0.3">
      <c r="A1676">
        <v>1675</v>
      </c>
      <c r="B1676">
        <v>745</v>
      </c>
      <c r="C1676">
        <f>1/COUNTIF(pizza_sales[[#All],[order_id]],pizza_sales[[#This Row],[order_id]])</f>
        <v>0.14285714285714285</v>
      </c>
      <c r="D1676" t="s">
        <v>99</v>
      </c>
      <c r="E1676">
        <v>1</v>
      </c>
      <c r="F1676" s="1">
        <v>42017</v>
      </c>
      <c r="G1676" s="1" t="str">
        <f>TEXT(pizza_sales[[#This Row],[order_date]],"dddd")</f>
        <v>Tuesday</v>
      </c>
      <c r="H1676" s="2">
        <v>36526.567280092589</v>
      </c>
      <c r="I1676">
        <v>14.75</v>
      </c>
      <c r="J1676">
        <v>14.75</v>
      </c>
      <c r="K1676" t="s">
        <v>13</v>
      </c>
      <c r="L1676" t="s">
        <v>22</v>
      </c>
      <c r="M1676" t="s">
        <v>91</v>
      </c>
      <c r="N1676" t="s">
        <v>92</v>
      </c>
    </row>
    <row r="1677" spans="1:14" x14ac:dyDescent="0.3">
      <c r="A1677">
        <v>1676</v>
      </c>
      <c r="B1677">
        <v>745</v>
      </c>
      <c r="C1677">
        <f>1/COUNTIF(pizza_sales[[#All],[order_id]],pizza_sales[[#This Row],[order_id]])</f>
        <v>0.14285714285714285</v>
      </c>
      <c r="D1677" t="s">
        <v>103</v>
      </c>
      <c r="E1677">
        <v>1</v>
      </c>
      <c r="F1677" s="1">
        <v>42017</v>
      </c>
      <c r="G1677" s="1" t="str">
        <f>TEXT(pizza_sales[[#This Row],[order_date]],"dddd")</f>
        <v>Tuesday</v>
      </c>
      <c r="H1677" s="2">
        <v>36526.567280092589</v>
      </c>
      <c r="I1677">
        <v>16</v>
      </c>
      <c r="J1677">
        <v>16</v>
      </c>
      <c r="K1677" t="s">
        <v>13</v>
      </c>
      <c r="L1677" t="s">
        <v>22</v>
      </c>
      <c r="M1677" t="s">
        <v>104</v>
      </c>
      <c r="N1677" t="s">
        <v>105</v>
      </c>
    </row>
    <row r="1678" spans="1:14" x14ac:dyDescent="0.3">
      <c r="A1678">
        <v>1677</v>
      </c>
      <c r="B1678">
        <v>745</v>
      </c>
      <c r="C1678">
        <f>1/COUNTIF(pizza_sales[[#All],[order_id]],pizza_sales[[#This Row],[order_id]])</f>
        <v>0.14285714285714285</v>
      </c>
      <c r="D1678" t="s">
        <v>112</v>
      </c>
      <c r="E1678">
        <v>1</v>
      </c>
      <c r="F1678" s="1">
        <v>42017</v>
      </c>
      <c r="G1678" s="1" t="str">
        <f>TEXT(pizza_sales[[#This Row],[order_date]],"dddd")</f>
        <v>Tuesday</v>
      </c>
      <c r="H1678" s="2">
        <v>36526.567280092589</v>
      </c>
      <c r="I1678">
        <v>20.5</v>
      </c>
      <c r="J1678">
        <v>20.5</v>
      </c>
      <c r="K1678" t="s">
        <v>21</v>
      </c>
      <c r="L1678" t="s">
        <v>14</v>
      </c>
      <c r="M1678" t="s">
        <v>94</v>
      </c>
      <c r="N1678" t="s">
        <v>95</v>
      </c>
    </row>
    <row r="1679" spans="1:14" x14ac:dyDescent="0.3">
      <c r="A1679">
        <v>1678</v>
      </c>
      <c r="B1679">
        <v>745</v>
      </c>
      <c r="C1679">
        <f>1/COUNTIF(pizza_sales[[#All],[order_id]],pizza_sales[[#This Row],[order_id]])</f>
        <v>0.14285714285714285</v>
      </c>
      <c r="D1679" t="s">
        <v>155</v>
      </c>
      <c r="E1679">
        <v>1</v>
      </c>
      <c r="F1679" s="1">
        <v>42017</v>
      </c>
      <c r="G1679" s="1" t="str">
        <f>TEXT(pizza_sales[[#This Row],[order_date]],"dddd")</f>
        <v>Tuesday</v>
      </c>
      <c r="H1679" s="2">
        <v>36526.567280092589</v>
      </c>
      <c r="I1679">
        <v>16</v>
      </c>
      <c r="J1679">
        <v>16</v>
      </c>
      <c r="K1679" t="s">
        <v>13</v>
      </c>
      <c r="L1679" t="s">
        <v>14</v>
      </c>
      <c r="M1679" t="s">
        <v>45</v>
      </c>
      <c r="N1679" t="s">
        <v>46</v>
      </c>
    </row>
    <row r="1680" spans="1:14" x14ac:dyDescent="0.3">
      <c r="A1680">
        <v>1679</v>
      </c>
      <c r="B1680">
        <v>746</v>
      </c>
      <c r="C1680">
        <f>1/COUNTIF(pizza_sales[[#All],[order_id]],pizza_sales[[#This Row],[order_id]])</f>
        <v>0.5</v>
      </c>
      <c r="D1680" t="s">
        <v>59</v>
      </c>
      <c r="E1680">
        <v>1</v>
      </c>
      <c r="F1680" s="1">
        <v>42017</v>
      </c>
      <c r="G1680" s="1" t="str">
        <f>TEXT(pizza_sales[[#This Row],[order_date]],"dddd")</f>
        <v>Tuesday</v>
      </c>
      <c r="H1680" s="2">
        <v>36526.570289351854</v>
      </c>
      <c r="I1680">
        <v>20.75</v>
      </c>
      <c r="J1680">
        <v>20.75</v>
      </c>
      <c r="K1680" t="s">
        <v>21</v>
      </c>
      <c r="L1680" t="s">
        <v>26</v>
      </c>
      <c r="M1680" t="s">
        <v>60</v>
      </c>
      <c r="N1680" t="s">
        <v>61</v>
      </c>
    </row>
    <row r="1681" spans="1:14" x14ac:dyDescent="0.3">
      <c r="A1681">
        <v>1680</v>
      </c>
      <c r="B1681">
        <v>746</v>
      </c>
      <c r="C1681">
        <f>1/COUNTIF(pizza_sales[[#All],[order_id]],pizza_sales[[#This Row],[order_id]])</f>
        <v>0.5</v>
      </c>
      <c r="D1681" t="s">
        <v>154</v>
      </c>
      <c r="E1681">
        <v>1</v>
      </c>
      <c r="F1681" s="1">
        <v>42017</v>
      </c>
      <c r="G1681" s="1" t="str">
        <f>TEXT(pizza_sales[[#This Row],[order_date]],"dddd")</f>
        <v>Tuesday</v>
      </c>
      <c r="H1681" s="2">
        <v>36526.570289351854</v>
      </c>
      <c r="I1681">
        <v>16</v>
      </c>
      <c r="J1681">
        <v>16</v>
      </c>
      <c r="K1681" t="s">
        <v>13</v>
      </c>
      <c r="L1681" t="s">
        <v>22</v>
      </c>
      <c r="M1681" t="s">
        <v>66</v>
      </c>
      <c r="N1681" t="s">
        <v>67</v>
      </c>
    </row>
    <row r="1682" spans="1:14" x14ac:dyDescent="0.3">
      <c r="A1682">
        <v>1681</v>
      </c>
      <c r="B1682">
        <v>747</v>
      </c>
      <c r="C1682">
        <f>1/COUNTIF(pizza_sales[[#All],[order_id]],pizza_sales[[#This Row],[order_id]])</f>
        <v>0.33333333333333331</v>
      </c>
      <c r="D1682" t="s">
        <v>68</v>
      </c>
      <c r="E1682">
        <v>1</v>
      </c>
      <c r="F1682" s="1">
        <v>42017</v>
      </c>
      <c r="G1682" s="1" t="str">
        <f>TEXT(pizza_sales[[#This Row],[order_date]],"dddd")</f>
        <v>Tuesday</v>
      </c>
      <c r="H1682" s="2">
        <v>36526.593773148146</v>
      </c>
      <c r="I1682">
        <v>20.25</v>
      </c>
      <c r="J1682">
        <v>20.25</v>
      </c>
      <c r="K1682" t="s">
        <v>21</v>
      </c>
      <c r="L1682" t="s">
        <v>22</v>
      </c>
      <c r="M1682" t="s">
        <v>30</v>
      </c>
      <c r="N1682" t="s">
        <v>31</v>
      </c>
    </row>
    <row r="1683" spans="1:14" x14ac:dyDescent="0.3">
      <c r="A1683">
        <v>1682</v>
      </c>
      <c r="B1683">
        <v>747</v>
      </c>
      <c r="C1683">
        <f>1/COUNTIF(pizza_sales[[#All],[order_id]],pizza_sales[[#This Row],[order_id]])</f>
        <v>0.33333333333333331</v>
      </c>
      <c r="D1683" t="s">
        <v>149</v>
      </c>
      <c r="E1683">
        <v>1</v>
      </c>
      <c r="F1683" s="1">
        <v>42017</v>
      </c>
      <c r="G1683" s="1" t="str">
        <f>TEXT(pizza_sales[[#This Row],[order_date]],"dddd")</f>
        <v>Tuesday</v>
      </c>
      <c r="H1683" s="2">
        <v>36526.593773148146</v>
      </c>
      <c r="I1683">
        <v>12.25</v>
      </c>
      <c r="J1683">
        <v>12.25</v>
      </c>
      <c r="K1683" t="s">
        <v>41</v>
      </c>
      <c r="L1683" t="s">
        <v>26</v>
      </c>
      <c r="M1683" t="s">
        <v>114</v>
      </c>
      <c r="N1683" t="s">
        <v>115</v>
      </c>
    </row>
    <row r="1684" spans="1:14" x14ac:dyDescent="0.3">
      <c r="A1684">
        <v>1683</v>
      </c>
      <c r="B1684">
        <v>747</v>
      </c>
      <c r="C1684">
        <f>1/COUNTIF(pizza_sales[[#All],[order_id]],pizza_sales[[#This Row],[order_id]])</f>
        <v>0.33333333333333331</v>
      </c>
      <c r="D1684" t="s">
        <v>59</v>
      </c>
      <c r="E1684">
        <v>1</v>
      </c>
      <c r="F1684" s="1">
        <v>42017</v>
      </c>
      <c r="G1684" s="1" t="str">
        <f>TEXT(pizza_sales[[#This Row],[order_date]],"dddd")</f>
        <v>Tuesday</v>
      </c>
      <c r="H1684" s="2">
        <v>36526.593773148146</v>
      </c>
      <c r="I1684">
        <v>20.75</v>
      </c>
      <c r="J1684">
        <v>20.75</v>
      </c>
      <c r="K1684" t="s">
        <v>21</v>
      </c>
      <c r="L1684" t="s">
        <v>26</v>
      </c>
      <c r="M1684" t="s">
        <v>60</v>
      </c>
      <c r="N1684" t="s">
        <v>61</v>
      </c>
    </row>
    <row r="1685" spans="1:14" x14ac:dyDescent="0.3">
      <c r="A1685">
        <v>1684</v>
      </c>
      <c r="B1685">
        <v>748</v>
      </c>
      <c r="C1685">
        <f>1/COUNTIF(pizza_sales[[#All],[order_id]],pizza_sales[[#This Row],[order_id]])</f>
        <v>1</v>
      </c>
      <c r="D1685" t="s">
        <v>20</v>
      </c>
      <c r="E1685">
        <v>1</v>
      </c>
      <c r="F1685" s="1">
        <v>42017</v>
      </c>
      <c r="G1685" s="1" t="str">
        <f>TEXT(pizza_sales[[#This Row],[order_date]],"dddd")</f>
        <v>Tuesday</v>
      </c>
      <c r="H1685" s="2">
        <v>36526.602442129632</v>
      </c>
      <c r="I1685">
        <v>18.5</v>
      </c>
      <c r="J1685">
        <v>18.5</v>
      </c>
      <c r="K1685" t="s">
        <v>21</v>
      </c>
      <c r="L1685" t="s">
        <v>22</v>
      </c>
      <c r="M1685" t="s">
        <v>23</v>
      </c>
      <c r="N1685" t="s">
        <v>24</v>
      </c>
    </row>
    <row r="1686" spans="1:14" x14ac:dyDescent="0.3">
      <c r="A1686">
        <v>1685</v>
      </c>
      <c r="B1686">
        <v>749</v>
      </c>
      <c r="C1686">
        <f>1/COUNTIF(pizza_sales[[#All],[order_id]],pizza_sales[[#This Row],[order_id]])</f>
        <v>1</v>
      </c>
      <c r="D1686" t="s">
        <v>119</v>
      </c>
      <c r="E1686">
        <v>1</v>
      </c>
      <c r="F1686" s="1">
        <v>42017</v>
      </c>
      <c r="G1686" s="1" t="str">
        <f>TEXT(pizza_sales[[#This Row],[order_date]],"dddd")</f>
        <v>Tuesday</v>
      </c>
      <c r="H1686" s="2">
        <v>36526.603738425925</v>
      </c>
      <c r="I1686">
        <v>12.5</v>
      </c>
      <c r="J1686">
        <v>12.5</v>
      </c>
      <c r="K1686" t="s">
        <v>13</v>
      </c>
      <c r="L1686" t="s">
        <v>14</v>
      </c>
      <c r="M1686" t="s">
        <v>78</v>
      </c>
      <c r="N1686" t="s">
        <v>79</v>
      </c>
    </row>
    <row r="1687" spans="1:14" x14ac:dyDescent="0.3">
      <c r="A1687">
        <v>1686</v>
      </c>
      <c r="B1687">
        <v>750</v>
      </c>
      <c r="C1687">
        <f>1/COUNTIF(pizza_sales[[#All],[order_id]],pizza_sales[[#This Row],[order_id]])</f>
        <v>1</v>
      </c>
      <c r="D1687" t="s">
        <v>148</v>
      </c>
      <c r="E1687">
        <v>1</v>
      </c>
      <c r="F1687" s="1">
        <v>42017</v>
      </c>
      <c r="G1687" s="1" t="str">
        <f>TEXT(pizza_sales[[#This Row],[order_date]],"dddd")</f>
        <v>Tuesday</v>
      </c>
      <c r="H1687" s="2">
        <v>36526.616770833331</v>
      </c>
      <c r="I1687">
        <v>14.5</v>
      </c>
      <c r="J1687">
        <v>14.5</v>
      </c>
      <c r="K1687" t="s">
        <v>13</v>
      </c>
      <c r="L1687" t="s">
        <v>14</v>
      </c>
      <c r="M1687" t="s">
        <v>130</v>
      </c>
      <c r="N1687" t="s">
        <v>131</v>
      </c>
    </row>
    <row r="1688" spans="1:14" x14ac:dyDescent="0.3">
      <c r="A1688">
        <v>1687</v>
      </c>
      <c r="B1688">
        <v>751</v>
      </c>
      <c r="C1688">
        <f>1/COUNTIF(pizza_sales[[#All],[order_id]],pizza_sales[[#This Row],[order_id]])</f>
        <v>0.25</v>
      </c>
      <c r="D1688" t="s">
        <v>173</v>
      </c>
      <c r="E1688">
        <v>1</v>
      </c>
      <c r="F1688" s="1">
        <v>42017</v>
      </c>
      <c r="G1688" s="1" t="str">
        <f>TEXT(pizza_sales[[#This Row],[order_date]],"dddd")</f>
        <v>Tuesday</v>
      </c>
      <c r="H1688" s="2">
        <v>36526.630266203705</v>
      </c>
      <c r="I1688">
        <v>20.25</v>
      </c>
      <c r="J1688">
        <v>20.25</v>
      </c>
      <c r="K1688" t="s">
        <v>21</v>
      </c>
      <c r="L1688" t="s">
        <v>26</v>
      </c>
      <c r="M1688" t="s">
        <v>97</v>
      </c>
      <c r="N1688" t="s">
        <v>98</v>
      </c>
    </row>
    <row r="1689" spans="1:14" x14ac:dyDescent="0.3">
      <c r="A1689">
        <v>1688</v>
      </c>
      <c r="B1689">
        <v>751</v>
      </c>
      <c r="C1689">
        <f>1/COUNTIF(pizza_sales[[#All],[order_id]],pizza_sales[[#This Row],[order_id]])</f>
        <v>0.25</v>
      </c>
      <c r="D1689" t="s">
        <v>132</v>
      </c>
      <c r="E1689">
        <v>1</v>
      </c>
      <c r="F1689" s="1">
        <v>42017</v>
      </c>
      <c r="G1689" s="1" t="str">
        <f>TEXT(pizza_sales[[#This Row],[order_date]],"dddd")</f>
        <v>Tuesday</v>
      </c>
      <c r="H1689" s="2">
        <v>36526.630266203705</v>
      </c>
      <c r="I1689">
        <v>10.5</v>
      </c>
      <c r="J1689">
        <v>10.5</v>
      </c>
      <c r="K1689" t="s">
        <v>41</v>
      </c>
      <c r="L1689" t="s">
        <v>14</v>
      </c>
      <c r="M1689" t="s">
        <v>15</v>
      </c>
      <c r="N1689" t="s">
        <v>16</v>
      </c>
    </row>
    <row r="1690" spans="1:14" x14ac:dyDescent="0.3">
      <c r="A1690">
        <v>1689</v>
      </c>
      <c r="B1690">
        <v>751</v>
      </c>
      <c r="C1690">
        <f>1/COUNTIF(pizza_sales[[#All],[order_id]],pizza_sales[[#This Row],[order_id]])</f>
        <v>0.25</v>
      </c>
      <c r="D1690" t="s">
        <v>93</v>
      </c>
      <c r="E1690">
        <v>1</v>
      </c>
      <c r="F1690" s="1">
        <v>42017</v>
      </c>
      <c r="G1690" s="1" t="str">
        <f>TEXT(pizza_sales[[#This Row],[order_date]],"dddd")</f>
        <v>Tuesday</v>
      </c>
      <c r="H1690" s="2">
        <v>36526.630266203705</v>
      </c>
      <c r="I1690">
        <v>12</v>
      </c>
      <c r="J1690">
        <v>12</v>
      </c>
      <c r="K1690" t="s">
        <v>41</v>
      </c>
      <c r="L1690" t="s">
        <v>14</v>
      </c>
      <c r="M1690" t="s">
        <v>94</v>
      </c>
      <c r="N1690" t="s">
        <v>95</v>
      </c>
    </row>
    <row r="1691" spans="1:14" x14ac:dyDescent="0.3">
      <c r="A1691">
        <v>1690</v>
      </c>
      <c r="B1691">
        <v>751</v>
      </c>
      <c r="C1691">
        <f>1/COUNTIF(pizza_sales[[#All],[order_id]],pizza_sales[[#This Row],[order_id]])</f>
        <v>0.25</v>
      </c>
      <c r="D1691" t="s">
        <v>154</v>
      </c>
      <c r="E1691">
        <v>1</v>
      </c>
      <c r="F1691" s="1">
        <v>42017</v>
      </c>
      <c r="G1691" s="1" t="str">
        <f>TEXT(pizza_sales[[#This Row],[order_date]],"dddd")</f>
        <v>Tuesday</v>
      </c>
      <c r="H1691" s="2">
        <v>36526.630266203705</v>
      </c>
      <c r="I1691">
        <v>16</v>
      </c>
      <c r="J1691">
        <v>16</v>
      </c>
      <c r="K1691" t="s">
        <v>13</v>
      </c>
      <c r="L1691" t="s">
        <v>22</v>
      </c>
      <c r="M1691" t="s">
        <v>66</v>
      </c>
      <c r="N1691" t="s">
        <v>67</v>
      </c>
    </row>
    <row r="1692" spans="1:14" x14ac:dyDescent="0.3">
      <c r="A1692">
        <v>1691</v>
      </c>
      <c r="B1692">
        <v>752</v>
      </c>
      <c r="C1692">
        <f>1/COUNTIF(pizza_sales[[#All],[order_id]],pizza_sales[[#This Row],[order_id]])</f>
        <v>0.5</v>
      </c>
      <c r="D1692" t="s">
        <v>132</v>
      </c>
      <c r="E1692">
        <v>1</v>
      </c>
      <c r="F1692" s="1">
        <v>42017</v>
      </c>
      <c r="G1692" s="1" t="str">
        <f>TEXT(pizza_sales[[#This Row],[order_date]],"dddd")</f>
        <v>Tuesday</v>
      </c>
      <c r="H1692" s="2">
        <v>36526.638483796298</v>
      </c>
      <c r="I1692">
        <v>10.5</v>
      </c>
      <c r="J1692">
        <v>10.5</v>
      </c>
      <c r="K1692" t="s">
        <v>41</v>
      </c>
      <c r="L1692" t="s">
        <v>14</v>
      </c>
      <c r="M1692" t="s">
        <v>15</v>
      </c>
      <c r="N1692" t="s">
        <v>16</v>
      </c>
    </row>
    <row r="1693" spans="1:14" x14ac:dyDescent="0.3">
      <c r="A1693">
        <v>1692</v>
      </c>
      <c r="B1693">
        <v>752</v>
      </c>
      <c r="C1693">
        <f>1/COUNTIF(pizza_sales[[#All],[order_id]],pizza_sales[[#This Row],[order_id]])</f>
        <v>0.5</v>
      </c>
      <c r="D1693" t="s">
        <v>172</v>
      </c>
      <c r="E1693">
        <v>1</v>
      </c>
      <c r="F1693" s="1">
        <v>42017</v>
      </c>
      <c r="G1693" s="1" t="str">
        <f>TEXT(pizza_sales[[#This Row],[order_date]],"dddd")</f>
        <v>Tuesday</v>
      </c>
      <c r="H1693" s="2">
        <v>36526.638483796298</v>
      </c>
      <c r="I1693">
        <v>12.5</v>
      </c>
      <c r="J1693">
        <v>12.5</v>
      </c>
      <c r="K1693" t="s">
        <v>41</v>
      </c>
      <c r="L1693" t="s">
        <v>26</v>
      </c>
      <c r="M1693" t="s">
        <v>88</v>
      </c>
      <c r="N1693" t="s">
        <v>89</v>
      </c>
    </row>
    <row r="1694" spans="1:14" x14ac:dyDescent="0.3">
      <c r="A1694">
        <v>1693</v>
      </c>
      <c r="B1694">
        <v>753</v>
      </c>
      <c r="C1694">
        <f>1/COUNTIF(pizza_sales[[#All],[order_id]],pizza_sales[[#This Row],[order_id]])</f>
        <v>0.25</v>
      </c>
      <c r="D1694" t="s">
        <v>51</v>
      </c>
      <c r="E1694">
        <v>1</v>
      </c>
      <c r="F1694" s="1">
        <v>42017</v>
      </c>
      <c r="G1694" s="1" t="str">
        <f>TEXT(pizza_sales[[#This Row],[order_date]],"dddd")</f>
        <v>Tuesday</v>
      </c>
      <c r="H1694" s="2">
        <v>36526.640405092592</v>
      </c>
      <c r="I1694">
        <v>12</v>
      </c>
      <c r="J1694">
        <v>12</v>
      </c>
      <c r="K1694" t="s">
        <v>41</v>
      </c>
      <c r="L1694" t="s">
        <v>22</v>
      </c>
      <c r="M1694" t="s">
        <v>52</v>
      </c>
      <c r="N1694" t="s">
        <v>53</v>
      </c>
    </row>
    <row r="1695" spans="1:14" x14ac:dyDescent="0.3">
      <c r="A1695">
        <v>1694</v>
      </c>
      <c r="B1695">
        <v>753</v>
      </c>
      <c r="C1695">
        <f>1/COUNTIF(pizza_sales[[#All],[order_id]],pizza_sales[[#This Row],[order_id]])</f>
        <v>0.25</v>
      </c>
      <c r="D1695" t="s">
        <v>132</v>
      </c>
      <c r="E1695">
        <v>1</v>
      </c>
      <c r="F1695" s="1">
        <v>42017</v>
      </c>
      <c r="G1695" s="1" t="str">
        <f>TEXT(pizza_sales[[#This Row],[order_date]],"dddd")</f>
        <v>Tuesday</v>
      </c>
      <c r="H1695" s="2">
        <v>36526.640405092592</v>
      </c>
      <c r="I1695">
        <v>10.5</v>
      </c>
      <c r="J1695">
        <v>10.5</v>
      </c>
      <c r="K1695" t="s">
        <v>41</v>
      </c>
      <c r="L1695" t="s">
        <v>14</v>
      </c>
      <c r="M1695" t="s">
        <v>15</v>
      </c>
      <c r="N1695" t="s">
        <v>16</v>
      </c>
    </row>
    <row r="1696" spans="1:14" x14ac:dyDescent="0.3">
      <c r="A1696">
        <v>1695</v>
      </c>
      <c r="B1696">
        <v>753</v>
      </c>
      <c r="C1696">
        <f>1/COUNTIF(pizza_sales[[#All],[order_id]],pizza_sales[[#This Row],[order_id]])</f>
        <v>0.25</v>
      </c>
      <c r="D1696" t="s">
        <v>36</v>
      </c>
      <c r="E1696">
        <v>1</v>
      </c>
      <c r="F1696" s="1">
        <v>42017</v>
      </c>
      <c r="G1696" s="1" t="str">
        <f>TEXT(pizza_sales[[#This Row],[order_date]],"dddd")</f>
        <v>Tuesday</v>
      </c>
      <c r="H1696" s="2">
        <v>36526.640405092592</v>
      </c>
      <c r="I1696">
        <v>16.5</v>
      </c>
      <c r="J1696">
        <v>16.5</v>
      </c>
      <c r="K1696" t="s">
        <v>13</v>
      </c>
      <c r="L1696" t="s">
        <v>26</v>
      </c>
      <c r="M1696" t="s">
        <v>27</v>
      </c>
      <c r="N1696" t="s">
        <v>28</v>
      </c>
    </row>
    <row r="1697" spans="1:14" x14ac:dyDescent="0.3">
      <c r="A1697">
        <v>1696</v>
      </c>
      <c r="B1697">
        <v>753</v>
      </c>
      <c r="C1697">
        <f>1/COUNTIF(pizza_sales[[#All],[order_id]],pizza_sales[[#This Row],[order_id]])</f>
        <v>0.25</v>
      </c>
      <c r="D1697" t="s">
        <v>37</v>
      </c>
      <c r="E1697">
        <v>1</v>
      </c>
      <c r="F1697" s="1">
        <v>42017</v>
      </c>
      <c r="G1697" s="1" t="str">
        <f>TEXT(pizza_sales[[#This Row],[order_date]],"dddd")</f>
        <v>Tuesday</v>
      </c>
      <c r="H1697" s="2">
        <v>36526.640405092592</v>
      </c>
      <c r="I1697">
        <v>20.75</v>
      </c>
      <c r="J1697">
        <v>20.75</v>
      </c>
      <c r="K1697" t="s">
        <v>21</v>
      </c>
      <c r="L1697" t="s">
        <v>26</v>
      </c>
      <c r="M1697" t="s">
        <v>38</v>
      </c>
      <c r="N1697" t="s">
        <v>39</v>
      </c>
    </row>
    <row r="1698" spans="1:14" x14ac:dyDescent="0.3">
      <c r="A1698">
        <v>1697</v>
      </c>
      <c r="B1698">
        <v>754</v>
      </c>
      <c r="C1698">
        <f>1/COUNTIF(pizza_sales[[#All],[order_id]],pizza_sales[[#This Row],[order_id]])</f>
        <v>0.5</v>
      </c>
      <c r="D1698" t="s">
        <v>148</v>
      </c>
      <c r="E1698">
        <v>1</v>
      </c>
      <c r="F1698" s="1">
        <v>42017</v>
      </c>
      <c r="G1698" s="1" t="str">
        <f>TEXT(pizza_sales[[#This Row],[order_date]],"dddd")</f>
        <v>Tuesday</v>
      </c>
      <c r="H1698" s="2">
        <v>36526.65828703704</v>
      </c>
      <c r="I1698">
        <v>14.5</v>
      </c>
      <c r="J1698">
        <v>14.5</v>
      </c>
      <c r="K1698" t="s">
        <v>13</v>
      </c>
      <c r="L1698" t="s">
        <v>14</v>
      </c>
      <c r="M1698" t="s">
        <v>130</v>
      </c>
      <c r="N1698" t="s">
        <v>131</v>
      </c>
    </row>
    <row r="1699" spans="1:14" x14ac:dyDescent="0.3">
      <c r="A1699">
        <v>1698</v>
      </c>
      <c r="B1699">
        <v>754</v>
      </c>
      <c r="C1699">
        <f>1/COUNTIF(pizza_sales[[#All],[order_id]],pizza_sales[[#This Row],[order_id]])</f>
        <v>0.5</v>
      </c>
      <c r="D1699" t="s">
        <v>69</v>
      </c>
      <c r="E1699">
        <v>1</v>
      </c>
      <c r="F1699" s="1">
        <v>42017</v>
      </c>
      <c r="G1699" s="1" t="str">
        <f>TEXT(pizza_sales[[#This Row],[order_date]],"dddd")</f>
        <v>Tuesday</v>
      </c>
      <c r="H1699" s="2">
        <v>36526.65828703704</v>
      </c>
      <c r="I1699">
        <v>20.75</v>
      </c>
      <c r="J1699">
        <v>20.75</v>
      </c>
      <c r="K1699" t="s">
        <v>21</v>
      </c>
      <c r="L1699" t="s">
        <v>33</v>
      </c>
      <c r="M1699" t="s">
        <v>70</v>
      </c>
      <c r="N1699" t="s">
        <v>71</v>
      </c>
    </row>
    <row r="1700" spans="1:14" x14ac:dyDescent="0.3">
      <c r="A1700">
        <v>1699</v>
      </c>
      <c r="B1700">
        <v>755</v>
      </c>
      <c r="C1700">
        <f>1/COUNTIF(pizza_sales[[#All],[order_id]],pizza_sales[[#This Row],[order_id]])</f>
        <v>0.5</v>
      </c>
      <c r="D1700" t="s">
        <v>118</v>
      </c>
      <c r="E1700">
        <v>1</v>
      </c>
      <c r="F1700" s="1">
        <v>42017</v>
      </c>
      <c r="G1700" s="1" t="str">
        <f>TEXT(pizza_sales[[#This Row],[order_date]],"dddd")</f>
        <v>Tuesday</v>
      </c>
      <c r="H1700" s="2">
        <v>36526.66028935185</v>
      </c>
      <c r="I1700">
        <v>16.75</v>
      </c>
      <c r="J1700">
        <v>16.75</v>
      </c>
      <c r="K1700" t="s">
        <v>13</v>
      </c>
      <c r="L1700" t="s">
        <v>33</v>
      </c>
      <c r="M1700" t="s">
        <v>42</v>
      </c>
      <c r="N1700" t="s">
        <v>43</v>
      </c>
    </row>
    <row r="1701" spans="1:14" x14ac:dyDescent="0.3">
      <c r="A1701">
        <v>1700</v>
      </c>
      <c r="B1701">
        <v>755</v>
      </c>
      <c r="C1701">
        <f>1/COUNTIF(pizza_sales[[#All],[order_id]],pizza_sales[[#This Row],[order_id]])</f>
        <v>0.5</v>
      </c>
      <c r="D1701" t="s">
        <v>99</v>
      </c>
      <c r="E1701">
        <v>1</v>
      </c>
      <c r="F1701" s="1">
        <v>42017</v>
      </c>
      <c r="G1701" s="1" t="str">
        <f>TEXT(pizza_sales[[#This Row],[order_date]],"dddd")</f>
        <v>Tuesday</v>
      </c>
      <c r="H1701" s="2">
        <v>36526.66028935185</v>
      </c>
      <c r="I1701">
        <v>14.75</v>
      </c>
      <c r="J1701">
        <v>14.75</v>
      </c>
      <c r="K1701" t="s">
        <v>13</v>
      </c>
      <c r="L1701" t="s">
        <v>22</v>
      </c>
      <c r="M1701" t="s">
        <v>91</v>
      </c>
      <c r="N1701" t="s">
        <v>92</v>
      </c>
    </row>
    <row r="1702" spans="1:14" x14ac:dyDescent="0.3">
      <c r="A1702">
        <v>1701</v>
      </c>
      <c r="B1702">
        <v>756</v>
      </c>
      <c r="C1702">
        <f>1/COUNTIF(pizza_sales[[#All],[order_id]],pizza_sales[[#This Row],[order_id]])</f>
        <v>0.33333333333333331</v>
      </c>
      <c r="D1702" t="s">
        <v>156</v>
      </c>
      <c r="E1702">
        <v>1</v>
      </c>
      <c r="F1702" s="1">
        <v>42017</v>
      </c>
      <c r="G1702" s="1" t="str">
        <f>TEXT(pizza_sales[[#This Row],[order_date]],"dddd")</f>
        <v>Tuesday</v>
      </c>
      <c r="H1702" s="2">
        <v>36526.663321759261</v>
      </c>
      <c r="I1702">
        <v>12.75</v>
      </c>
      <c r="J1702">
        <v>12.75</v>
      </c>
      <c r="K1702" t="s">
        <v>41</v>
      </c>
      <c r="L1702" t="s">
        <v>33</v>
      </c>
      <c r="M1702" t="s">
        <v>82</v>
      </c>
      <c r="N1702" t="s">
        <v>83</v>
      </c>
    </row>
    <row r="1703" spans="1:14" x14ac:dyDescent="0.3">
      <c r="A1703">
        <v>1702</v>
      </c>
      <c r="B1703">
        <v>756</v>
      </c>
      <c r="C1703">
        <f>1/COUNTIF(pizza_sales[[#All],[order_id]],pizza_sales[[#This Row],[order_id]])</f>
        <v>0.33333333333333331</v>
      </c>
      <c r="D1703" t="s">
        <v>164</v>
      </c>
      <c r="E1703">
        <v>1</v>
      </c>
      <c r="F1703" s="1">
        <v>42017</v>
      </c>
      <c r="G1703" s="1" t="str">
        <f>TEXT(pizza_sales[[#This Row],[order_date]],"dddd")</f>
        <v>Tuesday</v>
      </c>
      <c r="H1703" s="2">
        <v>36526.663321759261</v>
      </c>
      <c r="I1703">
        <v>16.5</v>
      </c>
      <c r="J1703">
        <v>16.5</v>
      </c>
      <c r="K1703" t="s">
        <v>13</v>
      </c>
      <c r="L1703" t="s">
        <v>22</v>
      </c>
      <c r="M1703" t="s">
        <v>63</v>
      </c>
      <c r="N1703" t="s">
        <v>64</v>
      </c>
    </row>
    <row r="1704" spans="1:14" x14ac:dyDescent="0.3">
      <c r="A1704">
        <v>1703</v>
      </c>
      <c r="B1704">
        <v>756</v>
      </c>
      <c r="C1704">
        <f>1/COUNTIF(pizza_sales[[#All],[order_id]],pizza_sales[[#This Row],[order_id]])</f>
        <v>0.33333333333333331</v>
      </c>
      <c r="D1704" t="s">
        <v>65</v>
      </c>
      <c r="E1704">
        <v>1</v>
      </c>
      <c r="F1704" s="1">
        <v>42017</v>
      </c>
      <c r="G1704" s="1" t="str">
        <f>TEXT(pizza_sales[[#This Row],[order_date]],"dddd")</f>
        <v>Tuesday</v>
      </c>
      <c r="H1704" s="2">
        <v>36526.663321759261</v>
      </c>
      <c r="I1704">
        <v>12</v>
      </c>
      <c r="J1704">
        <v>12</v>
      </c>
      <c r="K1704" t="s">
        <v>41</v>
      </c>
      <c r="L1704" t="s">
        <v>22</v>
      </c>
      <c r="M1704" t="s">
        <v>66</v>
      </c>
      <c r="N1704" t="s">
        <v>67</v>
      </c>
    </row>
    <row r="1705" spans="1:14" x14ac:dyDescent="0.3">
      <c r="A1705">
        <v>1704</v>
      </c>
      <c r="B1705">
        <v>757</v>
      </c>
      <c r="C1705">
        <f>1/COUNTIF(pizza_sales[[#All],[order_id]],pizza_sales[[#This Row],[order_id]])</f>
        <v>0.25</v>
      </c>
      <c r="D1705" t="s">
        <v>112</v>
      </c>
      <c r="E1705">
        <v>1</v>
      </c>
      <c r="F1705" s="1">
        <v>42017</v>
      </c>
      <c r="G1705" s="1" t="str">
        <f>TEXT(pizza_sales[[#This Row],[order_date]],"dddd")</f>
        <v>Tuesday</v>
      </c>
      <c r="H1705" s="2">
        <v>36526.674004629633</v>
      </c>
      <c r="I1705">
        <v>20.5</v>
      </c>
      <c r="J1705">
        <v>20.5</v>
      </c>
      <c r="K1705" t="s">
        <v>21</v>
      </c>
      <c r="L1705" t="s">
        <v>14</v>
      </c>
      <c r="M1705" t="s">
        <v>94</v>
      </c>
      <c r="N1705" t="s">
        <v>95</v>
      </c>
    </row>
    <row r="1706" spans="1:14" x14ac:dyDescent="0.3">
      <c r="A1706">
        <v>1705</v>
      </c>
      <c r="B1706">
        <v>757</v>
      </c>
      <c r="C1706">
        <f>1/COUNTIF(pizza_sales[[#All],[order_id]],pizza_sales[[#This Row],[order_id]])</f>
        <v>0.25</v>
      </c>
      <c r="D1706" t="s">
        <v>119</v>
      </c>
      <c r="E1706">
        <v>1</v>
      </c>
      <c r="F1706" s="1">
        <v>42017</v>
      </c>
      <c r="G1706" s="1" t="str">
        <f>TEXT(pizza_sales[[#This Row],[order_date]],"dddd")</f>
        <v>Tuesday</v>
      </c>
      <c r="H1706" s="2">
        <v>36526.674004629633</v>
      </c>
      <c r="I1706">
        <v>12.5</v>
      </c>
      <c r="J1706">
        <v>12.5</v>
      </c>
      <c r="K1706" t="s">
        <v>13</v>
      </c>
      <c r="L1706" t="s">
        <v>14</v>
      </c>
      <c r="M1706" t="s">
        <v>78</v>
      </c>
      <c r="N1706" t="s">
        <v>79</v>
      </c>
    </row>
    <row r="1707" spans="1:14" x14ac:dyDescent="0.3">
      <c r="A1707">
        <v>1706</v>
      </c>
      <c r="B1707">
        <v>757</v>
      </c>
      <c r="C1707">
        <f>1/COUNTIF(pizza_sales[[#All],[order_id]],pizza_sales[[#This Row],[order_id]])</f>
        <v>0.25</v>
      </c>
      <c r="D1707" t="s">
        <v>59</v>
      </c>
      <c r="E1707">
        <v>1</v>
      </c>
      <c r="F1707" s="1">
        <v>42017</v>
      </c>
      <c r="G1707" s="1" t="str">
        <f>TEXT(pizza_sales[[#This Row],[order_date]],"dddd")</f>
        <v>Tuesday</v>
      </c>
      <c r="H1707" s="2">
        <v>36526.674004629633</v>
      </c>
      <c r="I1707">
        <v>20.75</v>
      </c>
      <c r="J1707">
        <v>20.75</v>
      </c>
      <c r="K1707" t="s">
        <v>21</v>
      </c>
      <c r="L1707" t="s">
        <v>26</v>
      </c>
      <c r="M1707" t="s">
        <v>60</v>
      </c>
      <c r="N1707" t="s">
        <v>61</v>
      </c>
    </row>
    <row r="1708" spans="1:14" x14ac:dyDescent="0.3">
      <c r="A1708">
        <v>1707</v>
      </c>
      <c r="B1708">
        <v>757</v>
      </c>
      <c r="C1708">
        <f>1/COUNTIF(pizza_sales[[#All],[order_id]],pizza_sales[[#This Row],[order_id]])</f>
        <v>0.25</v>
      </c>
      <c r="D1708" t="s">
        <v>154</v>
      </c>
      <c r="E1708">
        <v>1</v>
      </c>
      <c r="F1708" s="1">
        <v>42017</v>
      </c>
      <c r="G1708" s="1" t="str">
        <f>TEXT(pizza_sales[[#This Row],[order_date]],"dddd")</f>
        <v>Tuesday</v>
      </c>
      <c r="H1708" s="2">
        <v>36526.674004629633</v>
      </c>
      <c r="I1708">
        <v>16</v>
      </c>
      <c r="J1708">
        <v>16</v>
      </c>
      <c r="K1708" t="s">
        <v>13</v>
      </c>
      <c r="L1708" t="s">
        <v>22</v>
      </c>
      <c r="M1708" t="s">
        <v>66</v>
      </c>
      <c r="N1708" t="s">
        <v>67</v>
      </c>
    </row>
    <row r="1709" spans="1:14" x14ac:dyDescent="0.3">
      <c r="A1709">
        <v>1708</v>
      </c>
      <c r="B1709">
        <v>758</v>
      </c>
      <c r="C1709">
        <f>1/COUNTIF(pizza_sales[[#All],[order_id]],pizza_sales[[#This Row],[order_id]])</f>
        <v>0.5</v>
      </c>
      <c r="D1709" t="s">
        <v>99</v>
      </c>
      <c r="E1709">
        <v>1</v>
      </c>
      <c r="F1709" s="1">
        <v>42017</v>
      </c>
      <c r="G1709" s="1" t="str">
        <f>TEXT(pizza_sales[[#This Row],[order_date]],"dddd")</f>
        <v>Tuesday</v>
      </c>
      <c r="H1709" s="2">
        <v>36526.676886574074</v>
      </c>
      <c r="I1709">
        <v>14.75</v>
      </c>
      <c r="J1709">
        <v>14.75</v>
      </c>
      <c r="K1709" t="s">
        <v>13</v>
      </c>
      <c r="L1709" t="s">
        <v>22</v>
      </c>
      <c r="M1709" t="s">
        <v>91</v>
      </c>
      <c r="N1709" t="s">
        <v>92</v>
      </c>
    </row>
    <row r="1710" spans="1:14" x14ac:dyDescent="0.3">
      <c r="A1710">
        <v>1709</v>
      </c>
      <c r="B1710">
        <v>758</v>
      </c>
      <c r="C1710">
        <f>1/COUNTIF(pizza_sales[[#All],[order_id]],pizza_sales[[#This Row],[order_id]])</f>
        <v>0.5</v>
      </c>
      <c r="D1710" t="s">
        <v>120</v>
      </c>
      <c r="E1710">
        <v>1</v>
      </c>
      <c r="F1710" s="1">
        <v>42017</v>
      </c>
      <c r="G1710" s="1" t="str">
        <f>TEXT(pizza_sales[[#This Row],[order_date]],"dddd")</f>
        <v>Tuesday</v>
      </c>
      <c r="H1710" s="2">
        <v>36526.676886574074</v>
      </c>
      <c r="I1710">
        <v>12.5</v>
      </c>
      <c r="J1710">
        <v>12.5</v>
      </c>
      <c r="K1710" t="s">
        <v>41</v>
      </c>
      <c r="L1710" t="s">
        <v>26</v>
      </c>
      <c r="M1710" t="s">
        <v>38</v>
      </c>
      <c r="N1710" t="s">
        <v>39</v>
      </c>
    </row>
    <row r="1711" spans="1:14" x14ac:dyDescent="0.3">
      <c r="A1711">
        <v>1710</v>
      </c>
      <c r="B1711">
        <v>759</v>
      </c>
      <c r="C1711">
        <f>1/COUNTIF(pizza_sales[[#All],[order_id]],pizza_sales[[#This Row],[order_id]])</f>
        <v>1</v>
      </c>
      <c r="D1711" t="s">
        <v>173</v>
      </c>
      <c r="E1711">
        <v>1</v>
      </c>
      <c r="F1711" s="1">
        <v>42017</v>
      </c>
      <c r="G1711" s="1" t="str">
        <f>TEXT(pizza_sales[[#This Row],[order_date]],"dddd")</f>
        <v>Tuesday</v>
      </c>
      <c r="H1711" s="2">
        <v>36526.677037037036</v>
      </c>
      <c r="I1711">
        <v>20.25</v>
      </c>
      <c r="J1711">
        <v>20.25</v>
      </c>
      <c r="K1711" t="s">
        <v>21</v>
      </c>
      <c r="L1711" t="s">
        <v>26</v>
      </c>
      <c r="M1711" t="s">
        <v>97</v>
      </c>
      <c r="N1711" t="s">
        <v>98</v>
      </c>
    </row>
    <row r="1712" spans="1:14" x14ac:dyDescent="0.3">
      <c r="A1712">
        <v>1711</v>
      </c>
      <c r="B1712">
        <v>760</v>
      </c>
      <c r="C1712">
        <f>1/COUNTIF(pizza_sales[[#All],[order_id]],pizza_sales[[#This Row],[order_id]])</f>
        <v>1</v>
      </c>
      <c r="D1712" t="s">
        <v>80</v>
      </c>
      <c r="E1712">
        <v>1</v>
      </c>
      <c r="F1712" s="1">
        <v>42017</v>
      </c>
      <c r="G1712" s="1" t="str">
        <f>TEXT(pizza_sales[[#This Row],[order_date]],"dddd")</f>
        <v>Tuesday</v>
      </c>
      <c r="H1712" s="2">
        <v>36526.685879629629</v>
      </c>
      <c r="I1712">
        <v>12.75</v>
      </c>
      <c r="J1712">
        <v>12.75</v>
      </c>
      <c r="K1712" t="s">
        <v>41</v>
      </c>
      <c r="L1712" t="s">
        <v>33</v>
      </c>
      <c r="M1712" t="s">
        <v>74</v>
      </c>
      <c r="N1712" t="s">
        <v>75</v>
      </c>
    </row>
    <row r="1713" spans="1:14" x14ac:dyDescent="0.3">
      <c r="A1713">
        <v>1712</v>
      </c>
      <c r="B1713">
        <v>761</v>
      </c>
      <c r="C1713">
        <f>1/COUNTIF(pizza_sales[[#All],[order_id]],pizza_sales[[#This Row],[order_id]])</f>
        <v>0.5</v>
      </c>
      <c r="D1713" t="s">
        <v>149</v>
      </c>
      <c r="E1713">
        <v>1</v>
      </c>
      <c r="F1713" s="1">
        <v>42017</v>
      </c>
      <c r="G1713" s="1" t="str">
        <f>TEXT(pizza_sales[[#This Row],[order_date]],"dddd")</f>
        <v>Tuesday</v>
      </c>
      <c r="H1713" s="2">
        <v>36526.687731481485</v>
      </c>
      <c r="I1713">
        <v>12.25</v>
      </c>
      <c r="J1713">
        <v>12.25</v>
      </c>
      <c r="K1713" t="s">
        <v>41</v>
      </c>
      <c r="L1713" t="s">
        <v>26</v>
      </c>
      <c r="M1713" t="s">
        <v>114</v>
      </c>
      <c r="N1713" t="s">
        <v>115</v>
      </c>
    </row>
    <row r="1714" spans="1:14" x14ac:dyDescent="0.3">
      <c r="A1714">
        <v>1713</v>
      </c>
      <c r="B1714">
        <v>761</v>
      </c>
      <c r="C1714">
        <f>1/COUNTIF(pizza_sales[[#All],[order_id]],pizza_sales[[#This Row],[order_id]])</f>
        <v>0.5</v>
      </c>
      <c r="D1714" t="s">
        <v>171</v>
      </c>
      <c r="E1714">
        <v>1</v>
      </c>
      <c r="F1714" s="1">
        <v>42017</v>
      </c>
      <c r="G1714" s="1" t="str">
        <f>TEXT(pizza_sales[[#This Row],[order_date]],"dddd")</f>
        <v>Tuesday</v>
      </c>
      <c r="H1714" s="2">
        <v>36526.687731481485</v>
      </c>
      <c r="I1714">
        <v>16.5</v>
      </c>
      <c r="J1714">
        <v>16.5</v>
      </c>
      <c r="K1714" t="s">
        <v>13</v>
      </c>
      <c r="L1714" t="s">
        <v>26</v>
      </c>
      <c r="M1714" t="s">
        <v>88</v>
      </c>
      <c r="N1714" t="s">
        <v>89</v>
      </c>
    </row>
    <row r="1715" spans="1:14" x14ac:dyDescent="0.3">
      <c r="A1715">
        <v>1714</v>
      </c>
      <c r="B1715">
        <v>762</v>
      </c>
      <c r="C1715">
        <f>1/COUNTIF(pizza_sales[[#All],[order_id]],pizza_sales[[#This Row],[order_id]])</f>
        <v>0.25</v>
      </c>
      <c r="D1715" t="s">
        <v>54</v>
      </c>
      <c r="E1715">
        <v>1</v>
      </c>
      <c r="F1715" s="1">
        <v>42017</v>
      </c>
      <c r="G1715" s="1" t="str">
        <f>TEXT(pizza_sales[[#This Row],[order_date]],"dddd")</f>
        <v>Tuesday</v>
      </c>
      <c r="H1715" s="2">
        <v>36526.692083333335</v>
      </c>
      <c r="I1715">
        <v>20.5</v>
      </c>
      <c r="J1715">
        <v>20.5</v>
      </c>
      <c r="K1715" t="s">
        <v>21</v>
      </c>
      <c r="L1715" t="s">
        <v>14</v>
      </c>
      <c r="M1715" t="s">
        <v>55</v>
      </c>
      <c r="N1715" t="s">
        <v>56</v>
      </c>
    </row>
    <row r="1716" spans="1:14" x14ac:dyDescent="0.3">
      <c r="A1716">
        <v>1715</v>
      </c>
      <c r="B1716">
        <v>762</v>
      </c>
      <c r="C1716">
        <f>1/COUNTIF(pizza_sales[[#All],[order_id]],pizza_sales[[#This Row],[order_id]])</f>
        <v>0.25</v>
      </c>
      <c r="D1716" t="s">
        <v>87</v>
      </c>
      <c r="E1716">
        <v>1</v>
      </c>
      <c r="F1716" s="1">
        <v>42017</v>
      </c>
      <c r="G1716" s="1" t="str">
        <f>TEXT(pizza_sales[[#This Row],[order_date]],"dddd")</f>
        <v>Tuesday</v>
      </c>
      <c r="H1716" s="2">
        <v>36526.692083333335</v>
      </c>
      <c r="I1716">
        <v>20.75</v>
      </c>
      <c r="J1716">
        <v>20.75</v>
      </c>
      <c r="K1716" t="s">
        <v>21</v>
      </c>
      <c r="L1716" t="s">
        <v>26</v>
      </c>
      <c r="M1716" t="s">
        <v>88</v>
      </c>
      <c r="N1716" t="s">
        <v>89</v>
      </c>
    </row>
    <row r="1717" spans="1:14" x14ac:dyDescent="0.3">
      <c r="A1717">
        <v>1716</v>
      </c>
      <c r="B1717">
        <v>762</v>
      </c>
      <c r="C1717">
        <f>1/COUNTIF(pizza_sales[[#All],[order_id]],pizza_sales[[#This Row],[order_id]])</f>
        <v>0.25</v>
      </c>
      <c r="D1717" t="s">
        <v>32</v>
      </c>
      <c r="E1717">
        <v>1</v>
      </c>
      <c r="F1717" s="1">
        <v>42017</v>
      </c>
      <c r="G1717" s="1" t="str">
        <f>TEXT(pizza_sales[[#This Row],[order_date]],"dddd")</f>
        <v>Tuesday</v>
      </c>
      <c r="H1717" s="2">
        <v>36526.692083333335</v>
      </c>
      <c r="I1717">
        <v>20.75</v>
      </c>
      <c r="J1717">
        <v>20.75</v>
      </c>
      <c r="K1717" t="s">
        <v>21</v>
      </c>
      <c r="L1717" t="s">
        <v>33</v>
      </c>
      <c r="M1717" t="s">
        <v>34</v>
      </c>
      <c r="N1717" t="s">
        <v>35</v>
      </c>
    </row>
    <row r="1718" spans="1:14" x14ac:dyDescent="0.3">
      <c r="A1718">
        <v>1717</v>
      </c>
      <c r="B1718">
        <v>762</v>
      </c>
      <c r="C1718">
        <f>1/COUNTIF(pizza_sales[[#All],[order_id]],pizza_sales[[#This Row],[order_id]])</f>
        <v>0.25</v>
      </c>
      <c r="D1718" t="s">
        <v>140</v>
      </c>
      <c r="E1718">
        <v>1</v>
      </c>
      <c r="F1718" s="1">
        <v>42017</v>
      </c>
      <c r="G1718" s="1" t="str">
        <f>TEXT(pizza_sales[[#This Row],[order_date]],"dddd")</f>
        <v>Tuesday</v>
      </c>
      <c r="H1718" s="2">
        <v>36526.692083333335</v>
      </c>
      <c r="I1718">
        <v>25.5</v>
      </c>
      <c r="J1718">
        <v>25.5</v>
      </c>
      <c r="K1718" t="s">
        <v>141</v>
      </c>
      <c r="L1718" t="s">
        <v>14</v>
      </c>
      <c r="M1718" t="s">
        <v>45</v>
      </c>
      <c r="N1718" t="s">
        <v>46</v>
      </c>
    </row>
    <row r="1719" spans="1:14" x14ac:dyDescent="0.3">
      <c r="A1719">
        <v>1718</v>
      </c>
      <c r="B1719">
        <v>763</v>
      </c>
      <c r="C1719">
        <f>1/COUNTIF(pizza_sales[[#All],[order_id]],pizza_sales[[#This Row],[order_id]])</f>
        <v>1</v>
      </c>
      <c r="D1719" t="s">
        <v>17</v>
      </c>
      <c r="E1719">
        <v>1</v>
      </c>
      <c r="F1719" s="1">
        <v>42017</v>
      </c>
      <c r="G1719" s="1" t="str">
        <f>TEXT(pizza_sales[[#This Row],[order_date]],"dddd")</f>
        <v>Tuesday</v>
      </c>
      <c r="H1719" s="2">
        <v>36526.693715277775</v>
      </c>
      <c r="I1719">
        <v>16</v>
      </c>
      <c r="J1719">
        <v>16</v>
      </c>
      <c r="K1719" t="s">
        <v>13</v>
      </c>
      <c r="L1719" t="s">
        <v>14</v>
      </c>
      <c r="M1719" t="s">
        <v>18</v>
      </c>
      <c r="N1719" t="s">
        <v>19</v>
      </c>
    </row>
    <row r="1720" spans="1:14" x14ac:dyDescent="0.3">
      <c r="A1720">
        <v>1719</v>
      </c>
      <c r="B1720">
        <v>764</v>
      </c>
      <c r="C1720">
        <f>1/COUNTIF(pizza_sales[[#All],[order_id]],pizza_sales[[#This Row],[order_id]])</f>
        <v>0.5</v>
      </c>
      <c r="D1720" t="s">
        <v>36</v>
      </c>
      <c r="E1720">
        <v>1</v>
      </c>
      <c r="F1720" s="1">
        <v>42017</v>
      </c>
      <c r="G1720" s="1" t="str">
        <f>TEXT(pizza_sales[[#This Row],[order_date]],"dddd")</f>
        <v>Tuesday</v>
      </c>
      <c r="H1720" s="2">
        <v>36526.694201388891</v>
      </c>
      <c r="I1720">
        <v>16.5</v>
      </c>
      <c r="J1720">
        <v>16.5</v>
      </c>
      <c r="K1720" t="s">
        <v>13</v>
      </c>
      <c r="L1720" t="s">
        <v>26</v>
      </c>
      <c r="M1720" t="s">
        <v>27</v>
      </c>
      <c r="N1720" t="s">
        <v>28</v>
      </c>
    </row>
    <row r="1721" spans="1:14" x14ac:dyDescent="0.3">
      <c r="A1721">
        <v>1720</v>
      </c>
      <c r="B1721">
        <v>764</v>
      </c>
      <c r="C1721">
        <f>1/COUNTIF(pizza_sales[[#All],[order_id]],pizza_sales[[#This Row],[order_id]])</f>
        <v>0.5</v>
      </c>
      <c r="D1721" t="s">
        <v>140</v>
      </c>
      <c r="E1721">
        <v>1</v>
      </c>
      <c r="F1721" s="1">
        <v>42017</v>
      </c>
      <c r="G1721" s="1" t="str">
        <f>TEXT(pizza_sales[[#This Row],[order_date]],"dddd")</f>
        <v>Tuesday</v>
      </c>
      <c r="H1721" s="2">
        <v>36526.694201388891</v>
      </c>
      <c r="I1721">
        <v>25.5</v>
      </c>
      <c r="J1721">
        <v>25.5</v>
      </c>
      <c r="K1721" t="s">
        <v>141</v>
      </c>
      <c r="L1721" t="s">
        <v>14</v>
      </c>
      <c r="M1721" t="s">
        <v>45</v>
      </c>
      <c r="N1721" t="s">
        <v>46</v>
      </c>
    </row>
    <row r="1722" spans="1:14" x14ac:dyDescent="0.3">
      <c r="A1722">
        <v>1721</v>
      </c>
      <c r="B1722">
        <v>765</v>
      </c>
      <c r="C1722">
        <f>1/COUNTIF(pizza_sales[[#All],[order_id]],pizza_sales[[#This Row],[order_id]])</f>
        <v>0.25</v>
      </c>
      <c r="D1722" t="s">
        <v>80</v>
      </c>
      <c r="E1722">
        <v>1</v>
      </c>
      <c r="F1722" s="1">
        <v>42017</v>
      </c>
      <c r="G1722" s="1" t="str">
        <f>TEXT(pizza_sales[[#This Row],[order_date]],"dddd")</f>
        <v>Tuesday</v>
      </c>
      <c r="H1722" s="2">
        <v>36526.716446759259</v>
      </c>
      <c r="I1722">
        <v>12.75</v>
      </c>
      <c r="J1722">
        <v>12.75</v>
      </c>
      <c r="K1722" t="s">
        <v>41</v>
      </c>
      <c r="L1722" t="s">
        <v>33</v>
      </c>
      <c r="M1722" t="s">
        <v>74</v>
      </c>
      <c r="N1722" t="s">
        <v>75</v>
      </c>
    </row>
    <row r="1723" spans="1:14" x14ac:dyDescent="0.3">
      <c r="A1723">
        <v>1722</v>
      </c>
      <c r="B1723">
        <v>765</v>
      </c>
      <c r="C1723">
        <f>1/COUNTIF(pizza_sales[[#All],[order_id]],pizza_sales[[#This Row],[order_id]])</f>
        <v>0.25</v>
      </c>
      <c r="D1723" t="s">
        <v>54</v>
      </c>
      <c r="E1723">
        <v>1</v>
      </c>
      <c r="F1723" s="1">
        <v>42017</v>
      </c>
      <c r="G1723" s="1" t="str">
        <f>TEXT(pizza_sales[[#This Row],[order_date]],"dddd")</f>
        <v>Tuesday</v>
      </c>
      <c r="H1723" s="2">
        <v>36526.716446759259</v>
      </c>
      <c r="I1723">
        <v>20.5</v>
      </c>
      <c r="J1723">
        <v>20.5</v>
      </c>
      <c r="K1723" t="s">
        <v>21</v>
      </c>
      <c r="L1723" t="s">
        <v>14</v>
      </c>
      <c r="M1723" t="s">
        <v>55</v>
      </c>
      <c r="N1723" t="s">
        <v>56</v>
      </c>
    </row>
    <row r="1724" spans="1:14" x14ac:dyDescent="0.3">
      <c r="A1724">
        <v>1723</v>
      </c>
      <c r="B1724">
        <v>765</v>
      </c>
      <c r="C1724">
        <f>1/COUNTIF(pizza_sales[[#All],[order_id]],pizza_sales[[#This Row],[order_id]])</f>
        <v>0.25</v>
      </c>
      <c r="D1724" t="s">
        <v>106</v>
      </c>
      <c r="E1724">
        <v>1</v>
      </c>
      <c r="F1724" s="1">
        <v>42017</v>
      </c>
      <c r="G1724" s="1" t="str">
        <f>TEXT(pizza_sales[[#This Row],[order_date]],"dddd")</f>
        <v>Tuesday</v>
      </c>
      <c r="H1724" s="2">
        <v>36526.716446759259</v>
      </c>
      <c r="I1724">
        <v>12.5</v>
      </c>
      <c r="J1724">
        <v>12.5</v>
      </c>
      <c r="K1724" t="s">
        <v>41</v>
      </c>
      <c r="L1724" t="s">
        <v>26</v>
      </c>
      <c r="M1724" t="s">
        <v>107</v>
      </c>
      <c r="N1724" t="s">
        <v>108</v>
      </c>
    </row>
    <row r="1725" spans="1:14" x14ac:dyDescent="0.3">
      <c r="A1725">
        <v>1724</v>
      </c>
      <c r="B1725">
        <v>765</v>
      </c>
      <c r="C1725">
        <f>1/COUNTIF(pizza_sales[[#All],[order_id]],pizza_sales[[#This Row],[order_id]])</f>
        <v>0.25</v>
      </c>
      <c r="D1725" t="s">
        <v>149</v>
      </c>
      <c r="E1725">
        <v>1</v>
      </c>
      <c r="F1725" s="1">
        <v>42017</v>
      </c>
      <c r="G1725" s="1" t="str">
        <f>TEXT(pizza_sales[[#This Row],[order_date]],"dddd")</f>
        <v>Tuesday</v>
      </c>
      <c r="H1725" s="2">
        <v>36526.716446759259</v>
      </c>
      <c r="I1725">
        <v>12.25</v>
      </c>
      <c r="J1725">
        <v>12.25</v>
      </c>
      <c r="K1725" t="s">
        <v>41</v>
      </c>
      <c r="L1725" t="s">
        <v>26</v>
      </c>
      <c r="M1725" t="s">
        <v>114</v>
      </c>
      <c r="N1725" t="s">
        <v>115</v>
      </c>
    </row>
    <row r="1726" spans="1:14" x14ac:dyDescent="0.3">
      <c r="A1726">
        <v>1725</v>
      </c>
      <c r="B1726">
        <v>766</v>
      </c>
      <c r="C1726">
        <f>1/COUNTIF(pizza_sales[[#All],[order_id]],pizza_sales[[#This Row],[order_id]])</f>
        <v>0.33333333333333331</v>
      </c>
      <c r="D1726" t="s">
        <v>100</v>
      </c>
      <c r="E1726">
        <v>1</v>
      </c>
      <c r="F1726" s="1">
        <v>42017</v>
      </c>
      <c r="G1726" s="1" t="str">
        <f>TEXT(pizza_sales[[#This Row],[order_date]],"dddd")</f>
        <v>Tuesday</v>
      </c>
      <c r="H1726" s="2">
        <v>36526.723437499997</v>
      </c>
      <c r="I1726">
        <v>12.75</v>
      </c>
      <c r="J1726">
        <v>12.75</v>
      </c>
      <c r="K1726" t="s">
        <v>41</v>
      </c>
      <c r="L1726" t="s">
        <v>22</v>
      </c>
      <c r="M1726" t="s">
        <v>101</v>
      </c>
      <c r="N1726" t="s">
        <v>102</v>
      </c>
    </row>
    <row r="1727" spans="1:14" x14ac:dyDescent="0.3">
      <c r="A1727">
        <v>1726</v>
      </c>
      <c r="B1727">
        <v>766</v>
      </c>
      <c r="C1727">
        <f>1/COUNTIF(pizza_sales[[#All],[order_id]],pizza_sales[[#This Row],[order_id]])</f>
        <v>0.33333333333333331</v>
      </c>
      <c r="D1727" t="s">
        <v>29</v>
      </c>
      <c r="E1727">
        <v>1</v>
      </c>
      <c r="F1727" s="1">
        <v>42017</v>
      </c>
      <c r="G1727" s="1" t="str">
        <f>TEXT(pizza_sales[[#This Row],[order_date]],"dddd")</f>
        <v>Tuesday</v>
      </c>
      <c r="H1727" s="2">
        <v>36526.723437499997</v>
      </c>
      <c r="I1727">
        <v>16</v>
      </c>
      <c r="J1727">
        <v>16</v>
      </c>
      <c r="K1727" t="s">
        <v>13</v>
      </c>
      <c r="L1727" t="s">
        <v>22</v>
      </c>
      <c r="M1727" t="s">
        <v>30</v>
      </c>
      <c r="N1727" t="s">
        <v>31</v>
      </c>
    </row>
    <row r="1728" spans="1:14" x14ac:dyDescent="0.3">
      <c r="A1728">
        <v>1727</v>
      </c>
      <c r="B1728">
        <v>766</v>
      </c>
      <c r="C1728">
        <f>1/COUNTIF(pizza_sales[[#All],[order_id]],pizza_sales[[#This Row],[order_id]])</f>
        <v>0.33333333333333331</v>
      </c>
      <c r="D1728" t="s">
        <v>69</v>
      </c>
      <c r="E1728">
        <v>1</v>
      </c>
      <c r="F1728" s="1">
        <v>42017</v>
      </c>
      <c r="G1728" s="1" t="str">
        <f>TEXT(pizza_sales[[#This Row],[order_date]],"dddd")</f>
        <v>Tuesday</v>
      </c>
      <c r="H1728" s="2">
        <v>36526.723437499997</v>
      </c>
      <c r="I1728">
        <v>20.75</v>
      </c>
      <c r="J1728">
        <v>20.75</v>
      </c>
      <c r="K1728" t="s">
        <v>21</v>
      </c>
      <c r="L1728" t="s">
        <v>33</v>
      </c>
      <c r="M1728" t="s">
        <v>70</v>
      </c>
      <c r="N1728" t="s">
        <v>71</v>
      </c>
    </row>
    <row r="1729" spans="1:14" x14ac:dyDescent="0.3">
      <c r="A1729">
        <v>1728</v>
      </c>
      <c r="B1729">
        <v>767</v>
      </c>
      <c r="C1729">
        <f>1/COUNTIF(pizza_sales[[#All],[order_id]],pizza_sales[[#This Row],[order_id]])</f>
        <v>1</v>
      </c>
      <c r="D1729" t="s">
        <v>138</v>
      </c>
      <c r="E1729">
        <v>1</v>
      </c>
      <c r="F1729" s="1">
        <v>42017</v>
      </c>
      <c r="G1729" s="1" t="str">
        <f>TEXT(pizza_sales[[#This Row],[order_date]],"dddd")</f>
        <v>Tuesday</v>
      </c>
      <c r="H1729" s="2">
        <v>36526.72347222222</v>
      </c>
      <c r="I1729">
        <v>20.5</v>
      </c>
      <c r="J1729">
        <v>20.5</v>
      </c>
      <c r="K1729" t="s">
        <v>21</v>
      </c>
      <c r="L1729" t="s">
        <v>14</v>
      </c>
      <c r="M1729" t="s">
        <v>18</v>
      </c>
      <c r="N1729" t="s">
        <v>19</v>
      </c>
    </row>
    <row r="1730" spans="1:14" x14ac:dyDescent="0.3">
      <c r="A1730">
        <v>1729</v>
      </c>
      <c r="B1730">
        <v>768</v>
      </c>
      <c r="C1730">
        <f>1/COUNTIF(pizza_sales[[#All],[order_id]],pizza_sales[[#This Row],[order_id]])</f>
        <v>1</v>
      </c>
      <c r="D1730" t="s">
        <v>165</v>
      </c>
      <c r="E1730">
        <v>1</v>
      </c>
      <c r="F1730" s="1">
        <v>42017</v>
      </c>
      <c r="G1730" s="1" t="str">
        <f>TEXT(pizza_sales[[#This Row],[order_date]],"dddd")</f>
        <v>Tuesday</v>
      </c>
      <c r="H1730" s="2">
        <v>36526.724699074075</v>
      </c>
      <c r="I1730">
        <v>23.65</v>
      </c>
      <c r="J1730">
        <v>23.65</v>
      </c>
      <c r="K1730" t="s">
        <v>41</v>
      </c>
      <c r="L1730" t="s">
        <v>26</v>
      </c>
      <c r="M1730" t="s">
        <v>166</v>
      </c>
      <c r="N1730" t="s">
        <v>167</v>
      </c>
    </row>
    <row r="1731" spans="1:14" x14ac:dyDescent="0.3">
      <c r="A1731">
        <v>1730</v>
      </c>
      <c r="B1731">
        <v>769</v>
      </c>
      <c r="C1731">
        <f>1/COUNTIF(pizza_sales[[#All],[order_id]],pizza_sales[[#This Row],[order_id]])</f>
        <v>1</v>
      </c>
      <c r="D1731" t="s">
        <v>99</v>
      </c>
      <c r="E1731">
        <v>1</v>
      </c>
      <c r="F1731" s="1">
        <v>42017</v>
      </c>
      <c r="G1731" s="1" t="str">
        <f>TEXT(pizza_sales[[#This Row],[order_date]],"dddd")</f>
        <v>Tuesday</v>
      </c>
      <c r="H1731" s="2">
        <v>36526.738391203704</v>
      </c>
      <c r="I1731">
        <v>14.75</v>
      </c>
      <c r="J1731">
        <v>14.75</v>
      </c>
      <c r="K1731" t="s">
        <v>13</v>
      </c>
      <c r="L1731" t="s">
        <v>22</v>
      </c>
      <c r="M1731" t="s">
        <v>91</v>
      </c>
      <c r="N1731" t="s">
        <v>92</v>
      </c>
    </row>
    <row r="1732" spans="1:14" x14ac:dyDescent="0.3">
      <c r="A1732">
        <v>1731</v>
      </c>
      <c r="B1732">
        <v>770</v>
      </c>
      <c r="C1732">
        <f>1/COUNTIF(pizza_sales[[#All],[order_id]],pizza_sales[[#This Row],[order_id]])</f>
        <v>0.5</v>
      </c>
      <c r="D1732" t="s">
        <v>135</v>
      </c>
      <c r="E1732">
        <v>1</v>
      </c>
      <c r="F1732" s="1">
        <v>42017</v>
      </c>
      <c r="G1732" s="1" t="str">
        <f>TEXT(pizza_sales[[#This Row],[order_date]],"dddd")</f>
        <v>Tuesday</v>
      </c>
      <c r="H1732" s="2">
        <v>36526.739039351851</v>
      </c>
      <c r="I1732">
        <v>20.75</v>
      </c>
      <c r="J1732">
        <v>20.75</v>
      </c>
      <c r="K1732" t="s">
        <v>21</v>
      </c>
      <c r="L1732" t="s">
        <v>26</v>
      </c>
      <c r="M1732" t="s">
        <v>107</v>
      </c>
      <c r="N1732" t="s">
        <v>108</v>
      </c>
    </row>
    <row r="1733" spans="1:14" x14ac:dyDescent="0.3">
      <c r="A1733">
        <v>1732</v>
      </c>
      <c r="B1733">
        <v>770</v>
      </c>
      <c r="C1733">
        <f>1/COUNTIF(pizza_sales[[#All],[order_id]],pizza_sales[[#This Row],[order_id]])</f>
        <v>0.5</v>
      </c>
      <c r="D1733" t="s">
        <v>149</v>
      </c>
      <c r="E1733">
        <v>1</v>
      </c>
      <c r="F1733" s="1">
        <v>42017</v>
      </c>
      <c r="G1733" s="1" t="str">
        <f>TEXT(pizza_sales[[#This Row],[order_date]],"dddd")</f>
        <v>Tuesday</v>
      </c>
      <c r="H1733" s="2">
        <v>36526.739039351851</v>
      </c>
      <c r="I1733">
        <v>12.25</v>
      </c>
      <c r="J1733">
        <v>12.25</v>
      </c>
      <c r="K1733" t="s">
        <v>41</v>
      </c>
      <c r="L1733" t="s">
        <v>26</v>
      </c>
      <c r="M1733" t="s">
        <v>114</v>
      </c>
      <c r="N1733" t="s">
        <v>115</v>
      </c>
    </row>
    <row r="1734" spans="1:14" x14ac:dyDescent="0.3">
      <c r="A1734">
        <v>1733</v>
      </c>
      <c r="B1734">
        <v>771</v>
      </c>
      <c r="C1734">
        <f>1/COUNTIF(pizza_sales[[#All],[order_id]],pizza_sales[[#This Row],[order_id]])</f>
        <v>0.5</v>
      </c>
      <c r="D1734" t="s">
        <v>76</v>
      </c>
      <c r="E1734">
        <v>1</v>
      </c>
      <c r="F1734" s="1">
        <v>42017</v>
      </c>
      <c r="G1734" s="1" t="str">
        <f>TEXT(pizza_sales[[#This Row],[order_date]],"dddd")</f>
        <v>Tuesday</v>
      </c>
      <c r="H1734" s="2">
        <v>36526.749675925923</v>
      </c>
      <c r="I1734">
        <v>16.75</v>
      </c>
      <c r="J1734">
        <v>16.75</v>
      </c>
      <c r="K1734" t="s">
        <v>13</v>
      </c>
      <c r="L1734" t="s">
        <v>33</v>
      </c>
      <c r="M1734" t="s">
        <v>74</v>
      </c>
      <c r="N1734" t="s">
        <v>75</v>
      </c>
    </row>
    <row r="1735" spans="1:14" x14ac:dyDescent="0.3">
      <c r="A1735">
        <v>1734</v>
      </c>
      <c r="B1735">
        <v>771</v>
      </c>
      <c r="C1735">
        <f>1/COUNTIF(pizza_sales[[#All],[order_id]],pizza_sales[[#This Row],[order_id]])</f>
        <v>0.5</v>
      </c>
      <c r="D1735" t="s">
        <v>149</v>
      </c>
      <c r="E1735">
        <v>1</v>
      </c>
      <c r="F1735" s="1">
        <v>42017</v>
      </c>
      <c r="G1735" s="1" t="str">
        <f>TEXT(pizza_sales[[#This Row],[order_date]],"dddd")</f>
        <v>Tuesday</v>
      </c>
      <c r="H1735" s="2">
        <v>36526.749675925923</v>
      </c>
      <c r="I1735">
        <v>12.25</v>
      </c>
      <c r="J1735">
        <v>12.25</v>
      </c>
      <c r="K1735" t="s">
        <v>41</v>
      </c>
      <c r="L1735" t="s">
        <v>26</v>
      </c>
      <c r="M1735" t="s">
        <v>114</v>
      </c>
      <c r="N1735" t="s">
        <v>115</v>
      </c>
    </row>
    <row r="1736" spans="1:14" x14ac:dyDescent="0.3">
      <c r="A1736">
        <v>1735</v>
      </c>
      <c r="B1736">
        <v>772</v>
      </c>
      <c r="C1736">
        <f>1/COUNTIF(pizza_sales[[#All],[order_id]],pizza_sales[[#This Row],[order_id]])</f>
        <v>1</v>
      </c>
      <c r="D1736" t="s">
        <v>159</v>
      </c>
      <c r="E1736">
        <v>1</v>
      </c>
      <c r="F1736" s="1">
        <v>42017</v>
      </c>
      <c r="G1736" s="1" t="str">
        <f>TEXT(pizza_sales[[#This Row],[order_date]],"dddd")</f>
        <v>Tuesday</v>
      </c>
      <c r="H1736" s="2">
        <v>36526.755543981482</v>
      </c>
      <c r="I1736">
        <v>16.75</v>
      </c>
      <c r="J1736">
        <v>16.75</v>
      </c>
      <c r="K1736" t="s">
        <v>13</v>
      </c>
      <c r="L1736" t="s">
        <v>22</v>
      </c>
      <c r="M1736" t="s">
        <v>101</v>
      </c>
      <c r="N1736" t="s">
        <v>102</v>
      </c>
    </row>
    <row r="1737" spans="1:14" x14ac:dyDescent="0.3">
      <c r="A1737">
        <v>1736</v>
      </c>
      <c r="B1737">
        <v>773</v>
      </c>
      <c r="C1737">
        <f>1/COUNTIF(pizza_sales[[#All],[order_id]],pizza_sales[[#This Row],[order_id]])</f>
        <v>0.5</v>
      </c>
      <c r="D1737" t="s">
        <v>17</v>
      </c>
      <c r="E1737">
        <v>1</v>
      </c>
      <c r="F1737" s="1">
        <v>42017</v>
      </c>
      <c r="G1737" s="1" t="str">
        <f>TEXT(pizza_sales[[#This Row],[order_date]],"dddd")</f>
        <v>Tuesday</v>
      </c>
      <c r="H1737" s="2">
        <v>36526.762673611112</v>
      </c>
      <c r="I1737">
        <v>16</v>
      </c>
      <c r="J1737">
        <v>16</v>
      </c>
      <c r="K1737" t="s">
        <v>13</v>
      </c>
      <c r="L1737" t="s">
        <v>14</v>
      </c>
      <c r="M1737" t="s">
        <v>18</v>
      </c>
      <c r="N1737" t="s">
        <v>19</v>
      </c>
    </row>
    <row r="1738" spans="1:14" x14ac:dyDescent="0.3">
      <c r="A1738">
        <v>1737</v>
      </c>
      <c r="B1738">
        <v>773</v>
      </c>
      <c r="C1738">
        <f>1/COUNTIF(pizza_sales[[#All],[order_id]],pizza_sales[[#This Row],[order_id]])</f>
        <v>0.5</v>
      </c>
      <c r="D1738" t="s">
        <v>129</v>
      </c>
      <c r="E1738">
        <v>1</v>
      </c>
      <c r="F1738" s="1">
        <v>42017</v>
      </c>
      <c r="G1738" s="1" t="str">
        <f>TEXT(pizza_sales[[#This Row],[order_date]],"dddd")</f>
        <v>Tuesday</v>
      </c>
      <c r="H1738" s="2">
        <v>36526.762673611112</v>
      </c>
      <c r="I1738">
        <v>17.5</v>
      </c>
      <c r="J1738">
        <v>17.5</v>
      </c>
      <c r="K1738" t="s">
        <v>21</v>
      </c>
      <c r="L1738" t="s">
        <v>14</v>
      </c>
      <c r="M1738" t="s">
        <v>130</v>
      </c>
      <c r="N1738" t="s">
        <v>131</v>
      </c>
    </row>
    <row r="1739" spans="1:14" x14ac:dyDescent="0.3">
      <c r="A1739">
        <v>1738</v>
      </c>
      <c r="B1739">
        <v>774</v>
      </c>
      <c r="C1739">
        <f>1/COUNTIF(pizza_sales[[#All],[order_id]],pizza_sales[[#This Row],[order_id]])</f>
        <v>0.5</v>
      </c>
      <c r="D1739" t="s">
        <v>81</v>
      </c>
      <c r="E1739">
        <v>1</v>
      </c>
      <c r="F1739" s="1">
        <v>42017</v>
      </c>
      <c r="G1739" s="1" t="str">
        <f>TEXT(pizza_sales[[#This Row],[order_date]],"dddd")</f>
        <v>Tuesday</v>
      </c>
      <c r="H1739" s="2">
        <v>36526.771608796298</v>
      </c>
      <c r="I1739">
        <v>20.75</v>
      </c>
      <c r="J1739">
        <v>20.75</v>
      </c>
      <c r="K1739" t="s">
        <v>21</v>
      </c>
      <c r="L1739" t="s">
        <v>33</v>
      </c>
      <c r="M1739" t="s">
        <v>82</v>
      </c>
      <c r="N1739" t="s">
        <v>83</v>
      </c>
    </row>
    <row r="1740" spans="1:14" x14ac:dyDescent="0.3">
      <c r="A1740">
        <v>1739</v>
      </c>
      <c r="B1740">
        <v>774</v>
      </c>
      <c r="C1740">
        <f>1/COUNTIF(pizza_sales[[#All],[order_id]],pizza_sales[[#This Row],[order_id]])</f>
        <v>0.5</v>
      </c>
      <c r="D1740" t="s">
        <v>157</v>
      </c>
      <c r="E1740">
        <v>1</v>
      </c>
      <c r="F1740" s="1">
        <v>42017</v>
      </c>
      <c r="G1740" s="1" t="str">
        <f>TEXT(pizza_sales[[#This Row],[order_date]],"dddd")</f>
        <v>Tuesday</v>
      </c>
      <c r="H1740" s="2">
        <v>36526.771608796298</v>
      </c>
      <c r="I1740">
        <v>12</v>
      </c>
      <c r="J1740">
        <v>12</v>
      </c>
      <c r="K1740" t="s">
        <v>41</v>
      </c>
      <c r="L1740" t="s">
        <v>22</v>
      </c>
      <c r="M1740" t="s">
        <v>110</v>
      </c>
      <c r="N1740" t="s">
        <v>111</v>
      </c>
    </row>
    <row r="1741" spans="1:14" x14ac:dyDescent="0.3">
      <c r="A1741">
        <v>1740</v>
      </c>
      <c r="B1741">
        <v>775</v>
      </c>
      <c r="C1741">
        <f>1/COUNTIF(pizza_sales[[#All],[order_id]],pizza_sales[[#This Row],[order_id]])</f>
        <v>0.25</v>
      </c>
      <c r="D1741" t="s">
        <v>72</v>
      </c>
      <c r="E1741">
        <v>1</v>
      </c>
      <c r="F1741" s="1">
        <v>42017</v>
      </c>
      <c r="G1741" s="1" t="str">
        <f>TEXT(pizza_sales[[#This Row],[order_date]],"dddd")</f>
        <v>Tuesday</v>
      </c>
      <c r="H1741" s="2">
        <v>36526.779305555552</v>
      </c>
      <c r="I1741">
        <v>20.75</v>
      </c>
      <c r="J1741">
        <v>20.75</v>
      </c>
      <c r="K1741" t="s">
        <v>21</v>
      </c>
      <c r="L1741" t="s">
        <v>33</v>
      </c>
      <c r="M1741" t="s">
        <v>42</v>
      </c>
      <c r="N1741" t="s">
        <v>43</v>
      </c>
    </row>
    <row r="1742" spans="1:14" x14ac:dyDescent="0.3">
      <c r="A1742">
        <v>1741</v>
      </c>
      <c r="B1742">
        <v>775</v>
      </c>
      <c r="C1742">
        <f>1/COUNTIF(pizza_sales[[#All],[order_id]],pizza_sales[[#This Row],[order_id]])</f>
        <v>0.25</v>
      </c>
      <c r="D1742" t="s">
        <v>20</v>
      </c>
      <c r="E1742">
        <v>1</v>
      </c>
      <c r="F1742" s="1">
        <v>42017</v>
      </c>
      <c r="G1742" s="1" t="str">
        <f>TEXT(pizza_sales[[#This Row],[order_date]],"dddd")</f>
        <v>Tuesday</v>
      </c>
      <c r="H1742" s="2">
        <v>36526.779305555552</v>
      </c>
      <c r="I1742">
        <v>18.5</v>
      </c>
      <c r="J1742">
        <v>18.5</v>
      </c>
      <c r="K1742" t="s">
        <v>21</v>
      </c>
      <c r="L1742" t="s">
        <v>22</v>
      </c>
      <c r="M1742" t="s">
        <v>23</v>
      </c>
      <c r="N1742" t="s">
        <v>24</v>
      </c>
    </row>
    <row r="1743" spans="1:14" x14ac:dyDescent="0.3">
      <c r="A1743">
        <v>1742</v>
      </c>
      <c r="B1743">
        <v>775</v>
      </c>
      <c r="C1743">
        <f>1/COUNTIF(pizza_sales[[#All],[order_id]],pizza_sales[[#This Row],[order_id]])</f>
        <v>0.25</v>
      </c>
      <c r="D1743" t="s">
        <v>143</v>
      </c>
      <c r="E1743">
        <v>1</v>
      </c>
      <c r="F1743" s="1">
        <v>42017</v>
      </c>
      <c r="G1743" s="1" t="str">
        <f>TEXT(pizza_sales[[#This Row],[order_date]],"dddd")</f>
        <v>Tuesday</v>
      </c>
      <c r="H1743" s="2">
        <v>36526.779305555552</v>
      </c>
      <c r="I1743">
        <v>11</v>
      </c>
      <c r="J1743">
        <v>11</v>
      </c>
      <c r="K1743" t="s">
        <v>41</v>
      </c>
      <c r="L1743" t="s">
        <v>14</v>
      </c>
      <c r="M1743" t="s">
        <v>130</v>
      </c>
      <c r="N1743" t="s">
        <v>131</v>
      </c>
    </row>
    <row r="1744" spans="1:14" x14ac:dyDescent="0.3">
      <c r="A1744">
        <v>1743</v>
      </c>
      <c r="B1744">
        <v>775</v>
      </c>
      <c r="C1744">
        <f>1/COUNTIF(pizza_sales[[#All],[order_id]],pizza_sales[[#This Row],[order_id]])</f>
        <v>0.25</v>
      </c>
      <c r="D1744" t="s">
        <v>145</v>
      </c>
      <c r="E1744">
        <v>1</v>
      </c>
      <c r="F1744" s="1">
        <v>42017</v>
      </c>
      <c r="G1744" s="1" t="str">
        <f>TEXT(pizza_sales[[#This Row],[order_date]],"dddd")</f>
        <v>Tuesday</v>
      </c>
      <c r="H1744" s="2">
        <v>36526.779305555552</v>
      </c>
      <c r="I1744">
        <v>16.5</v>
      </c>
      <c r="J1744">
        <v>16.5</v>
      </c>
      <c r="K1744" t="s">
        <v>13</v>
      </c>
      <c r="L1744" t="s">
        <v>26</v>
      </c>
      <c r="M1744" t="s">
        <v>38</v>
      </c>
      <c r="N1744" t="s">
        <v>39</v>
      </c>
    </row>
    <row r="1745" spans="1:14" x14ac:dyDescent="0.3">
      <c r="A1745">
        <v>1744</v>
      </c>
      <c r="B1745">
        <v>776</v>
      </c>
      <c r="C1745">
        <f>1/COUNTIF(pizza_sales[[#All],[order_id]],pizza_sales[[#This Row],[order_id]])</f>
        <v>0.5</v>
      </c>
      <c r="D1745" t="s">
        <v>157</v>
      </c>
      <c r="E1745">
        <v>1</v>
      </c>
      <c r="F1745" s="1">
        <v>42017</v>
      </c>
      <c r="G1745" s="1" t="str">
        <f>TEXT(pizza_sales[[#This Row],[order_date]],"dddd")</f>
        <v>Tuesday</v>
      </c>
      <c r="H1745" s="2">
        <v>36526.785219907404</v>
      </c>
      <c r="I1745">
        <v>12</v>
      </c>
      <c r="J1745">
        <v>12</v>
      </c>
      <c r="K1745" t="s">
        <v>41</v>
      </c>
      <c r="L1745" t="s">
        <v>22</v>
      </c>
      <c r="M1745" t="s">
        <v>110</v>
      </c>
      <c r="N1745" t="s">
        <v>111</v>
      </c>
    </row>
    <row r="1746" spans="1:14" x14ac:dyDescent="0.3">
      <c r="A1746">
        <v>1745</v>
      </c>
      <c r="B1746">
        <v>776</v>
      </c>
      <c r="C1746">
        <f>1/COUNTIF(pizza_sales[[#All],[order_id]],pizza_sales[[#This Row],[order_id]])</f>
        <v>0.5</v>
      </c>
      <c r="D1746" t="s">
        <v>32</v>
      </c>
      <c r="E1746">
        <v>2</v>
      </c>
      <c r="F1746" s="1">
        <v>42017</v>
      </c>
      <c r="G1746" s="1" t="str">
        <f>TEXT(pizza_sales[[#This Row],[order_date]],"dddd")</f>
        <v>Tuesday</v>
      </c>
      <c r="H1746" s="2">
        <v>36526.785219907404</v>
      </c>
      <c r="I1746">
        <v>20.75</v>
      </c>
      <c r="J1746">
        <v>41.5</v>
      </c>
      <c r="K1746" t="s">
        <v>21</v>
      </c>
      <c r="L1746" t="s">
        <v>33</v>
      </c>
      <c r="M1746" t="s">
        <v>34</v>
      </c>
      <c r="N1746" t="s">
        <v>35</v>
      </c>
    </row>
    <row r="1747" spans="1:14" x14ac:dyDescent="0.3">
      <c r="A1747">
        <v>1746</v>
      </c>
      <c r="B1747">
        <v>777</v>
      </c>
      <c r="C1747">
        <f>1/COUNTIF(pizza_sales[[#All],[order_id]],pizza_sales[[#This Row],[order_id]])</f>
        <v>0.5</v>
      </c>
      <c r="D1747" t="s">
        <v>72</v>
      </c>
      <c r="E1747">
        <v>1</v>
      </c>
      <c r="F1747" s="1">
        <v>42017</v>
      </c>
      <c r="G1747" s="1" t="str">
        <f>TEXT(pizza_sales[[#This Row],[order_date]],"dddd")</f>
        <v>Tuesday</v>
      </c>
      <c r="H1747" s="2">
        <v>36526.798842592594</v>
      </c>
      <c r="I1747">
        <v>20.75</v>
      </c>
      <c r="J1747">
        <v>20.75</v>
      </c>
      <c r="K1747" t="s">
        <v>21</v>
      </c>
      <c r="L1747" t="s">
        <v>33</v>
      </c>
      <c r="M1747" t="s">
        <v>42</v>
      </c>
      <c r="N1747" t="s">
        <v>43</v>
      </c>
    </row>
    <row r="1748" spans="1:14" x14ac:dyDescent="0.3">
      <c r="A1748">
        <v>1747</v>
      </c>
      <c r="B1748">
        <v>777</v>
      </c>
      <c r="C1748">
        <f>1/COUNTIF(pizza_sales[[#All],[order_id]],pizza_sales[[#This Row],[order_id]])</f>
        <v>0.5</v>
      </c>
      <c r="D1748" t="s">
        <v>155</v>
      </c>
      <c r="E1748">
        <v>1</v>
      </c>
      <c r="F1748" s="1">
        <v>42017</v>
      </c>
      <c r="G1748" s="1" t="str">
        <f>TEXT(pizza_sales[[#This Row],[order_date]],"dddd")</f>
        <v>Tuesday</v>
      </c>
      <c r="H1748" s="2">
        <v>36526.798842592594</v>
      </c>
      <c r="I1748">
        <v>16</v>
      </c>
      <c r="J1748">
        <v>16</v>
      </c>
      <c r="K1748" t="s">
        <v>13</v>
      </c>
      <c r="L1748" t="s">
        <v>14</v>
      </c>
      <c r="M1748" t="s">
        <v>45</v>
      </c>
      <c r="N1748" t="s">
        <v>46</v>
      </c>
    </row>
    <row r="1749" spans="1:14" x14ac:dyDescent="0.3">
      <c r="A1749">
        <v>1748</v>
      </c>
      <c r="B1749">
        <v>778</v>
      </c>
      <c r="C1749">
        <f>1/COUNTIF(pizza_sales[[#All],[order_id]],pizza_sales[[#This Row],[order_id]])</f>
        <v>0.25</v>
      </c>
      <c r="D1749" t="s">
        <v>99</v>
      </c>
      <c r="E1749">
        <v>1</v>
      </c>
      <c r="F1749" s="1">
        <v>42017</v>
      </c>
      <c r="G1749" s="1" t="str">
        <f>TEXT(pizza_sales[[#This Row],[order_date]],"dddd")</f>
        <v>Tuesday</v>
      </c>
      <c r="H1749" s="2">
        <v>36526.804259259261</v>
      </c>
      <c r="I1749">
        <v>14.75</v>
      </c>
      <c r="J1749">
        <v>14.75</v>
      </c>
      <c r="K1749" t="s">
        <v>13</v>
      </c>
      <c r="L1749" t="s">
        <v>22</v>
      </c>
      <c r="M1749" t="s">
        <v>91</v>
      </c>
      <c r="N1749" t="s">
        <v>92</v>
      </c>
    </row>
    <row r="1750" spans="1:14" x14ac:dyDescent="0.3">
      <c r="A1750">
        <v>1749</v>
      </c>
      <c r="B1750">
        <v>778</v>
      </c>
      <c r="C1750">
        <f>1/COUNTIF(pizza_sales[[#All],[order_id]],pizza_sales[[#This Row],[order_id]])</f>
        <v>0.25</v>
      </c>
      <c r="D1750" t="s">
        <v>36</v>
      </c>
      <c r="E1750">
        <v>1</v>
      </c>
      <c r="F1750" s="1">
        <v>42017</v>
      </c>
      <c r="G1750" s="1" t="str">
        <f>TEXT(pizza_sales[[#This Row],[order_date]],"dddd")</f>
        <v>Tuesday</v>
      </c>
      <c r="H1750" s="2">
        <v>36526.804259259261</v>
      </c>
      <c r="I1750">
        <v>16.5</v>
      </c>
      <c r="J1750">
        <v>16.5</v>
      </c>
      <c r="K1750" t="s">
        <v>13</v>
      </c>
      <c r="L1750" t="s">
        <v>26</v>
      </c>
      <c r="M1750" t="s">
        <v>27</v>
      </c>
      <c r="N1750" t="s">
        <v>28</v>
      </c>
    </row>
    <row r="1751" spans="1:14" x14ac:dyDescent="0.3">
      <c r="A1751">
        <v>1750</v>
      </c>
      <c r="B1751">
        <v>778</v>
      </c>
      <c r="C1751">
        <f>1/COUNTIF(pizza_sales[[#All],[order_id]],pizza_sales[[#This Row],[order_id]])</f>
        <v>0.25</v>
      </c>
      <c r="D1751" t="s">
        <v>145</v>
      </c>
      <c r="E1751">
        <v>1</v>
      </c>
      <c r="F1751" s="1">
        <v>42017</v>
      </c>
      <c r="G1751" s="1" t="str">
        <f>TEXT(pizza_sales[[#This Row],[order_date]],"dddd")</f>
        <v>Tuesday</v>
      </c>
      <c r="H1751" s="2">
        <v>36526.804259259261</v>
      </c>
      <c r="I1751">
        <v>16.5</v>
      </c>
      <c r="J1751">
        <v>16.5</v>
      </c>
      <c r="K1751" t="s">
        <v>13</v>
      </c>
      <c r="L1751" t="s">
        <v>26</v>
      </c>
      <c r="M1751" t="s">
        <v>38</v>
      </c>
      <c r="N1751" t="s">
        <v>39</v>
      </c>
    </row>
    <row r="1752" spans="1:14" x14ac:dyDescent="0.3">
      <c r="A1752">
        <v>1751</v>
      </c>
      <c r="B1752">
        <v>778</v>
      </c>
      <c r="C1752">
        <f>1/COUNTIF(pizza_sales[[#All],[order_id]],pizza_sales[[#This Row],[order_id]])</f>
        <v>0.25</v>
      </c>
      <c r="D1752" t="s">
        <v>147</v>
      </c>
      <c r="E1752">
        <v>1</v>
      </c>
      <c r="F1752" s="1">
        <v>42017</v>
      </c>
      <c r="G1752" s="1" t="str">
        <f>TEXT(pizza_sales[[#This Row],[order_date]],"dddd")</f>
        <v>Tuesday</v>
      </c>
      <c r="H1752" s="2">
        <v>36526.804259259261</v>
      </c>
      <c r="I1752">
        <v>16.75</v>
      </c>
      <c r="J1752">
        <v>16.75</v>
      </c>
      <c r="K1752" t="s">
        <v>13</v>
      </c>
      <c r="L1752" t="s">
        <v>33</v>
      </c>
      <c r="M1752" t="s">
        <v>70</v>
      </c>
      <c r="N1752" t="s">
        <v>71</v>
      </c>
    </row>
    <row r="1753" spans="1:14" x14ac:dyDescent="0.3">
      <c r="A1753">
        <v>1752</v>
      </c>
      <c r="B1753">
        <v>779</v>
      </c>
      <c r="C1753">
        <f>1/COUNTIF(pizza_sales[[#All],[order_id]],pizza_sales[[#This Row],[order_id]])</f>
        <v>0.25</v>
      </c>
      <c r="D1753" t="s">
        <v>17</v>
      </c>
      <c r="E1753">
        <v>1</v>
      </c>
      <c r="F1753" s="1">
        <v>42017</v>
      </c>
      <c r="G1753" s="1" t="str">
        <f>TEXT(pizza_sales[[#This Row],[order_date]],"dddd")</f>
        <v>Tuesday</v>
      </c>
      <c r="H1753" s="2">
        <v>36526.805532407408</v>
      </c>
      <c r="I1753">
        <v>16</v>
      </c>
      <c r="J1753">
        <v>16</v>
      </c>
      <c r="K1753" t="s">
        <v>13</v>
      </c>
      <c r="L1753" t="s">
        <v>14</v>
      </c>
      <c r="M1753" t="s">
        <v>18</v>
      </c>
      <c r="N1753" t="s">
        <v>19</v>
      </c>
    </row>
    <row r="1754" spans="1:14" x14ac:dyDescent="0.3">
      <c r="A1754">
        <v>1753</v>
      </c>
      <c r="B1754">
        <v>779</v>
      </c>
      <c r="C1754">
        <f>1/COUNTIF(pizza_sales[[#All],[order_id]],pizza_sales[[#This Row],[order_id]])</f>
        <v>0.25</v>
      </c>
      <c r="D1754" t="s">
        <v>116</v>
      </c>
      <c r="E1754">
        <v>1</v>
      </c>
      <c r="F1754" s="1">
        <v>42017</v>
      </c>
      <c r="G1754" s="1" t="str">
        <f>TEXT(pizza_sales[[#This Row],[order_date]],"dddd")</f>
        <v>Tuesday</v>
      </c>
      <c r="H1754" s="2">
        <v>36526.805532407408</v>
      </c>
      <c r="I1754">
        <v>16</v>
      </c>
      <c r="J1754">
        <v>16</v>
      </c>
      <c r="K1754" t="s">
        <v>13</v>
      </c>
      <c r="L1754" t="s">
        <v>14</v>
      </c>
      <c r="M1754" t="s">
        <v>55</v>
      </c>
      <c r="N1754" t="s">
        <v>56</v>
      </c>
    </row>
    <row r="1755" spans="1:14" x14ac:dyDescent="0.3">
      <c r="A1755">
        <v>1754</v>
      </c>
      <c r="B1755">
        <v>779</v>
      </c>
      <c r="C1755">
        <f>1/COUNTIF(pizza_sales[[#All],[order_id]],pizza_sales[[#This Row],[order_id]])</f>
        <v>0.25</v>
      </c>
      <c r="D1755" t="s">
        <v>25</v>
      </c>
      <c r="E1755">
        <v>1</v>
      </c>
      <c r="F1755" s="1">
        <v>42017</v>
      </c>
      <c r="G1755" s="1" t="str">
        <f>TEXT(pizza_sales[[#This Row],[order_date]],"dddd")</f>
        <v>Tuesday</v>
      </c>
      <c r="H1755" s="2">
        <v>36526.805532407408</v>
      </c>
      <c r="I1755">
        <v>20.75</v>
      </c>
      <c r="J1755">
        <v>20.75</v>
      </c>
      <c r="K1755" t="s">
        <v>21</v>
      </c>
      <c r="L1755" t="s">
        <v>26</v>
      </c>
      <c r="M1755" t="s">
        <v>27</v>
      </c>
      <c r="N1755" t="s">
        <v>28</v>
      </c>
    </row>
    <row r="1756" spans="1:14" x14ac:dyDescent="0.3">
      <c r="A1756">
        <v>1755</v>
      </c>
      <c r="B1756">
        <v>779</v>
      </c>
      <c r="C1756">
        <f>1/COUNTIF(pizza_sales[[#All],[order_id]],pizza_sales[[#This Row],[order_id]])</f>
        <v>0.25</v>
      </c>
      <c r="D1756" t="s">
        <v>36</v>
      </c>
      <c r="E1756">
        <v>1</v>
      </c>
      <c r="F1756" s="1">
        <v>42017</v>
      </c>
      <c r="G1756" s="1" t="str">
        <f>TEXT(pizza_sales[[#This Row],[order_date]],"dddd")</f>
        <v>Tuesday</v>
      </c>
      <c r="H1756" s="2">
        <v>36526.805532407408</v>
      </c>
      <c r="I1756">
        <v>16.5</v>
      </c>
      <c r="J1756">
        <v>16.5</v>
      </c>
      <c r="K1756" t="s">
        <v>13</v>
      </c>
      <c r="L1756" t="s">
        <v>26</v>
      </c>
      <c r="M1756" t="s">
        <v>27</v>
      </c>
      <c r="N1756" t="s">
        <v>28</v>
      </c>
    </row>
    <row r="1757" spans="1:14" x14ac:dyDescent="0.3">
      <c r="A1757">
        <v>1756</v>
      </c>
      <c r="B1757">
        <v>780</v>
      </c>
      <c r="C1757">
        <f>1/COUNTIF(pizza_sales[[#All],[order_id]],pizza_sales[[#This Row],[order_id]])</f>
        <v>0.5</v>
      </c>
      <c r="D1757" t="s">
        <v>84</v>
      </c>
      <c r="E1757">
        <v>1</v>
      </c>
      <c r="F1757" s="1">
        <v>42017</v>
      </c>
      <c r="G1757" s="1" t="str">
        <f>TEXT(pizza_sales[[#This Row],[order_date]],"dddd")</f>
        <v>Tuesday</v>
      </c>
      <c r="H1757" s="2">
        <v>36526.842233796298</v>
      </c>
      <c r="I1757">
        <v>12</v>
      </c>
      <c r="J1757">
        <v>12</v>
      </c>
      <c r="K1757" t="s">
        <v>41</v>
      </c>
      <c r="L1757" t="s">
        <v>14</v>
      </c>
      <c r="M1757" t="s">
        <v>85</v>
      </c>
      <c r="N1757" t="s">
        <v>86</v>
      </c>
    </row>
    <row r="1758" spans="1:14" x14ac:dyDescent="0.3">
      <c r="A1758">
        <v>1757</v>
      </c>
      <c r="B1758">
        <v>780</v>
      </c>
      <c r="C1758">
        <f>1/COUNTIF(pizza_sales[[#All],[order_id]],pizza_sales[[#This Row],[order_id]])</f>
        <v>0.5</v>
      </c>
      <c r="D1758" t="s">
        <v>54</v>
      </c>
      <c r="E1758">
        <v>1</v>
      </c>
      <c r="F1758" s="1">
        <v>42017</v>
      </c>
      <c r="G1758" s="1" t="str">
        <f>TEXT(pizza_sales[[#This Row],[order_date]],"dddd")</f>
        <v>Tuesday</v>
      </c>
      <c r="H1758" s="2">
        <v>36526.842233796298</v>
      </c>
      <c r="I1758">
        <v>20.5</v>
      </c>
      <c r="J1758">
        <v>20.5</v>
      </c>
      <c r="K1758" t="s">
        <v>21</v>
      </c>
      <c r="L1758" t="s">
        <v>14</v>
      </c>
      <c r="M1758" t="s">
        <v>55</v>
      </c>
      <c r="N1758" t="s">
        <v>56</v>
      </c>
    </row>
    <row r="1759" spans="1:14" x14ac:dyDescent="0.3">
      <c r="A1759">
        <v>1758</v>
      </c>
      <c r="B1759">
        <v>781</v>
      </c>
      <c r="C1759">
        <f>1/COUNTIF(pizza_sales[[#All],[order_id]],pizza_sales[[#This Row],[order_id]])</f>
        <v>0.25</v>
      </c>
      <c r="D1759" t="s">
        <v>54</v>
      </c>
      <c r="E1759">
        <v>1</v>
      </c>
      <c r="F1759" s="1">
        <v>42017</v>
      </c>
      <c r="G1759" s="1" t="str">
        <f>TEXT(pizza_sales[[#This Row],[order_date]],"dddd")</f>
        <v>Tuesday</v>
      </c>
      <c r="H1759" s="2">
        <v>36526.855057870373</v>
      </c>
      <c r="I1759">
        <v>20.5</v>
      </c>
      <c r="J1759">
        <v>20.5</v>
      </c>
      <c r="K1759" t="s">
        <v>21</v>
      </c>
      <c r="L1759" t="s">
        <v>14</v>
      </c>
      <c r="M1759" t="s">
        <v>55</v>
      </c>
      <c r="N1759" t="s">
        <v>56</v>
      </c>
    </row>
    <row r="1760" spans="1:14" x14ac:dyDescent="0.3">
      <c r="A1760">
        <v>1759</v>
      </c>
      <c r="B1760">
        <v>781</v>
      </c>
      <c r="C1760">
        <f>1/COUNTIF(pizza_sales[[#All],[order_id]],pizza_sales[[#This Row],[order_id]])</f>
        <v>0.25</v>
      </c>
      <c r="D1760" t="s">
        <v>69</v>
      </c>
      <c r="E1760">
        <v>1</v>
      </c>
      <c r="F1760" s="1">
        <v>42017</v>
      </c>
      <c r="G1760" s="1" t="str">
        <f>TEXT(pizza_sales[[#This Row],[order_date]],"dddd")</f>
        <v>Tuesday</v>
      </c>
      <c r="H1760" s="2">
        <v>36526.855057870373</v>
      </c>
      <c r="I1760">
        <v>20.75</v>
      </c>
      <c r="J1760">
        <v>20.75</v>
      </c>
      <c r="K1760" t="s">
        <v>21</v>
      </c>
      <c r="L1760" t="s">
        <v>33</v>
      </c>
      <c r="M1760" t="s">
        <v>70</v>
      </c>
      <c r="N1760" t="s">
        <v>71</v>
      </c>
    </row>
    <row r="1761" spans="1:14" x14ac:dyDescent="0.3">
      <c r="A1761">
        <v>1760</v>
      </c>
      <c r="B1761">
        <v>781</v>
      </c>
      <c r="C1761">
        <f>1/COUNTIF(pizza_sales[[#All],[order_id]],pizza_sales[[#This Row],[order_id]])</f>
        <v>0.25</v>
      </c>
      <c r="D1761" t="s">
        <v>147</v>
      </c>
      <c r="E1761">
        <v>1</v>
      </c>
      <c r="F1761" s="1">
        <v>42017</v>
      </c>
      <c r="G1761" s="1" t="str">
        <f>TEXT(pizza_sales[[#This Row],[order_date]],"dddd")</f>
        <v>Tuesday</v>
      </c>
      <c r="H1761" s="2">
        <v>36526.855057870373</v>
      </c>
      <c r="I1761">
        <v>16.75</v>
      </c>
      <c r="J1761">
        <v>16.75</v>
      </c>
      <c r="K1761" t="s">
        <v>13</v>
      </c>
      <c r="L1761" t="s">
        <v>33</v>
      </c>
      <c r="M1761" t="s">
        <v>70</v>
      </c>
      <c r="N1761" t="s">
        <v>71</v>
      </c>
    </row>
    <row r="1762" spans="1:14" x14ac:dyDescent="0.3">
      <c r="A1762">
        <v>1761</v>
      </c>
      <c r="B1762">
        <v>781</v>
      </c>
      <c r="C1762">
        <f>1/COUNTIF(pizza_sales[[#All],[order_id]],pizza_sales[[#This Row],[order_id]])</f>
        <v>0.25</v>
      </c>
      <c r="D1762" t="s">
        <v>122</v>
      </c>
      <c r="E1762">
        <v>1</v>
      </c>
      <c r="F1762" s="1">
        <v>42017</v>
      </c>
      <c r="G1762" s="1" t="str">
        <f>TEXT(pizza_sales[[#This Row],[order_date]],"dddd")</f>
        <v>Tuesday</v>
      </c>
      <c r="H1762" s="2">
        <v>36526.855057870373</v>
      </c>
      <c r="I1762">
        <v>20.25</v>
      </c>
      <c r="J1762">
        <v>20.25</v>
      </c>
      <c r="K1762" t="s">
        <v>21</v>
      </c>
      <c r="L1762" t="s">
        <v>22</v>
      </c>
      <c r="M1762" t="s">
        <v>66</v>
      </c>
      <c r="N1762" t="s">
        <v>67</v>
      </c>
    </row>
    <row r="1763" spans="1:14" x14ac:dyDescent="0.3">
      <c r="A1763">
        <v>1762</v>
      </c>
      <c r="B1763">
        <v>782</v>
      </c>
      <c r="C1763">
        <f>1/COUNTIF(pizza_sales[[#All],[order_id]],pizza_sales[[#This Row],[order_id]])</f>
        <v>0.5</v>
      </c>
      <c r="D1763" t="s">
        <v>173</v>
      </c>
      <c r="E1763">
        <v>1</v>
      </c>
      <c r="F1763" s="1">
        <v>42017</v>
      </c>
      <c r="G1763" s="1" t="str">
        <f>TEXT(pizza_sales[[#This Row],[order_date]],"dddd")</f>
        <v>Tuesday</v>
      </c>
      <c r="H1763" s="2">
        <v>36526.85864583333</v>
      </c>
      <c r="I1763">
        <v>20.25</v>
      </c>
      <c r="J1763">
        <v>20.25</v>
      </c>
      <c r="K1763" t="s">
        <v>21</v>
      </c>
      <c r="L1763" t="s">
        <v>26</v>
      </c>
      <c r="M1763" t="s">
        <v>97</v>
      </c>
      <c r="N1763" t="s">
        <v>98</v>
      </c>
    </row>
    <row r="1764" spans="1:14" x14ac:dyDescent="0.3">
      <c r="A1764">
        <v>1763</v>
      </c>
      <c r="B1764">
        <v>782</v>
      </c>
      <c r="C1764">
        <f>1/COUNTIF(pizza_sales[[#All],[order_id]],pizza_sales[[#This Row],[order_id]])</f>
        <v>0.5</v>
      </c>
      <c r="D1764" t="s">
        <v>32</v>
      </c>
      <c r="E1764">
        <v>1</v>
      </c>
      <c r="F1764" s="1">
        <v>42017</v>
      </c>
      <c r="G1764" s="1" t="str">
        <f>TEXT(pizza_sales[[#This Row],[order_date]],"dddd")</f>
        <v>Tuesday</v>
      </c>
      <c r="H1764" s="2">
        <v>36526.85864583333</v>
      </c>
      <c r="I1764">
        <v>20.75</v>
      </c>
      <c r="J1764">
        <v>20.75</v>
      </c>
      <c r="K1764" t="s">
        <v>21</v>
      </c>
      <c r="L1764" t="s">
        <v>33</v>
      </c>
      <c r="M1764" t="s">
        <v>34</v>
      </c>
      <c r="N1764" t="s">
        <v>35</v>
      </c>
    </row>
    <row r="1765" spans="1:14" x14ac:dyDescent="0.3">
      <c r="A1765">
        <v>1764</v>
      </c>
      <c r="B1765">
        <v>783</v>
      </c>
      <c r="C1765">
        <f>1/COUNTIF(pizza_sales[[#All],[order_id]],pizza_sales[[#This Row],[order_id]])</f>
        <v>0.33333333333333331</v>
      </c>
      <c r="D1765" t="s">
        <v>162</v>
      </c>
      <c r="E1765">
        <v>1</v>
      </c>
      <c r="F1765" s="1">
        <v>42017</v>
      </c>
      <c r="G1765" s="1" t="str">
        <f>TEXT(pizza_sales[[#This Row],[order_date]],"dddd")</f>
        <v>Tuesday</v>
      </c>
      <c r="H1765" s="2">
        <v>36526.88689814815</v>
      </c>
      <c r="I1765">
        <v>16</v>
      </c>
      <c r="J1765">
        <v>16</v>
      </c>
      <c r="K1765" t="s">
        <v>13</v>
      </c>
      <c r="L1765" t="s">
        <v>22</v>
      </c>
      <c r="M1765" t="s">
        <v>110</v>
      </c>
      <c r="N1765" t="s">
        <v>111</v>
      </c>
    </row>
    <row r="1766" spans="1:14" x14ac:dyDescent="0.3">
      <c r="A1766">
        <v>1765</v>
      </c>
      <c r="B1766">
        <v>783</v>
      </c>
      <c r="C1766">
        <f>1/COUNTIF(pizza_sales[[#All],[order_id]],pizza_sales[[#This Row],[order_id]])</f>
        <v>0.33333333333333331</v>
      </c>
      <c r="D1766" t="s">
        <v>32</v>
      </c>
      <c r="E1766">
        <v>1</v>
      </c>
      <c r="F1766" s="1">
        <v>42017</v>
      </c>
      <c r="G1766" s="1" t="str">
        <f>TEXT(pizza_sales[[#This Row],[order_date]],"dddd")</f>
        <v>Tuesday</v>
      </c>
      <c r="H1766" s="2">
        <v>36526.88689814815</v>
      </c>
      <c r="I1766">
        <v>20.75</v>
      </c>
      <c r="J1766">
        <v>20.75</v>
      </c>
      <c r="K1766" t="s">
        <v>21</v>
      </c>
      <c r="L1766" t="s">
        <v>33</v>
      </c>
      <c r="M1766" t="s">
        <v>34</v>
      </c>
      <c r="N1766" t="s">
        <v>35</v>
      </c>
    </row>
    <row r="1767" spans="1:14" x14ac:dyDescent="0.3">
      <c r="A1767">
        <v>1766</v>
      </c>
      <c r="B1767">
        <v>783</v>
      </c>
      <c r="C1767">
        <f>1/COUNTIF(pizza_sales[[#All],[order_id]],pizza_sales[[#This Row],[order_id]])</f>
        <v>0.33333333333333331</v>
      </c>
      <c r="D1767" t="s">
        <v>154</v>
      </c>
      <c r="E1767">
        <v>1</v>
      </c>
      <c r="F1767" s="1">
        <v>42017</v>
      </c>
      <c r="G1767" s="1" t="str">
        <f>TEXT(pizza_sales[[#This Row],[order_date]],"dddd")</f>
        <v>Tuesday</v>
      </c>
      <c r="H1767" s="2">
        <v>36526.88689814815</v>
      </c>
      <c r="I1767">
        <v>16</v>
      </c>
      <c r="J1767">
        <v>16</v>
      </c>
      <c r="K1767" t="s">
        <v>13</v>
      </c>
      <c r="L1767" t="s">
        <v>22</v>
      </c>
      <c r="M1767" t="s">
        <v>66</v>
      </c>
      <c r="N1767" t="s">
        <v>67</v>
      </c>
    </row>
    <row r="1768" spans="1:14" x14ac:dyDescent="0.3">
      <c r="A1768">
        <v>1767</v>
      </c>
      <c r="B1768">
        <v>784</v>
      </c>
      <c r="C1768">
        <f>1/COUNTIF(pizza_sales[[#All],[order_id]],pizza_sales[[#This Row],[order_id]])</f>
        <v>1</v>
      </c>
      <c r="D1768" t="s">
        <v>163</v>
      </c>
      <c r="E1768">
        <v>1</v>
      </c>
      <c r="F1768" s="1">
        <v>42017</v>
      </c>
      <c r="G1768" s="1" t="str">
        <f>TEXT(pizza_sales[[#This Row],[order_date]],"dddd")</f>
        <v>Tuesday</v>
      </c>
      <c r="H1768" s="2">
        <v>36526.902557870373</v>
      </c>
      <c r="I1768">
        <v>16</v>
      </c>
      <c r="J1768">
        <v>16</v>
      </c>
      <c r="K1768" t="s">
        <v>13</v>
      </c>
      <c r="L1768" t="s">
        <v>14</v>
      </c>
      <c r="M1768" t="s">
        <v>94</v>
      </c>
      <c r="N1768" t="s">
        <v>95</v>
      </c>
    </row>
    <row r="1769" spans="1:14" x14ac:dyDescent="0.3">
      <c r="A1769">
        <v>1768</v>
      </c>
      <c r="B1769">
        <v>785</v>
      </c>
      <c r="C1769">
        <f>1/COUNTIF(pizza_sales[[#All],[order_id]],pizza_sales[[#This Row],[order_id]])</f>
        <v>0.5</v>
      </c>
      <c r="D1769" t="s">
        <v>142</v>
      </c>
      <c r="E1769">
        <v>1</v>
      </c>
      <c r="F1769" s="1">
        <v>42018</v>
      </c>
      <c r="G1769" s="1" t="str">
        <f>TEXT(pizza_sales[[#This Row],[order_date]],"dddd")</f>
        <v>Wednesday</v>
      </c>
      <c r="H1769" s="2">
        <v>36526.47828703704</v>
      </c>
      <c r="I1769">
        <v>16.5</v>
      </c>
      <c r="J1769">
        <v>16.5</v>
      </c>
      <c r="K1769" t="s">
        <v>21</v>
      </c>
      <c r="L1769" t="s">
        <v>14</v>
      </c>
      <c r="M1769" t="s">
        <v>15</v>
      </c>
      <c r="N1769" t="s">
        <v>16</v>
      </c>
    </row>
    <row r="1770" spans="1:14" x14ac:dyDescent="0.3">
      <c r="A1770">
        <v>1769</v>
      </c>
      <c r="B1770">
        <v>785</v>
      </c>
      <c r="C1770">
        <f>1/COUNTIF(pizza_sales[[#All],[order_id]],pizza_sales[[#This Row],[order_id]])</f>
        <v>0.5</v>
      </c>
      <c r="D1770" t="s">
        <v>69</v>
      </c>
      <c r="E1770">
        <v>1</v>
      </c>
      <c r="F1770" s="1">
        <v>42018</v>
      </c>
      <c r="G1770" s="1" t="str">
        <f>TEXT(pizza_sales[[#This Row],[order_date]],"dddd")</f>
        <v>Wednesday</v>
      </c>
      <c r="H1770" s="2">
        <v>36526.47828703704</v>
      </c>
      <c r="I1770">
        <v>20.75</v>
      </c>
      <c r="J1770">
        <v>20.75</v>
      </c>
      <c r="K1770" t="s">
        <v>21</v>
      </c>
      <c r="L1770" t="s">
        <v>33</v>
      </c>
      <c r="M1770" t="s">
        <v>70</v>
      </c>
      <c r="N1770" t="s">
        <v>71</v>
      </c>
    </row>
    <row r="1771" spans="1:14" x14ac:dyDescent="0.3">
      <c r="A1771">
        <v>1770</v>
      </c>
      <c r="B1771">
        <v>786</v>
      </c>
      <c r="C1771">
        <f>1/COUNTIF(pizza_sales[[#All],[order_id]],pizza_sales[[#This Row],[order_id]])</f>
        <v>1</v>
      </c>
      <c r="D1771" t="s">
        <v>20</v>
      </c>
      <c r="E1771">
        <v>1</v>
      </c>
      <c r="F1771" s="1">
        <v>42018</v>
      </c>
      <c r="G1771" s="1" t="str">
        <f>TEXT(pizza_sales[[#This Row],[order_date]],"dddd")</f>
        <v>Wednesday</v>
      </c>
      <c r="H1771" s="2">
        <v>36526.482986111114</v>
      </c>
      <c r="I1771">
        <v>18.5</v>
      </c>
      <c r="J1771">
        <v>18.5</v>
      </c>
      <c r="K1771" t="s">
        <v>21</v>
      </c>
      <c r="L1771" t="s">
        <v>22</v>
      </c>
      <c r="M1771" t="s">
        <v>23</v>
      </c>
      <c r="N1771" t="s">
        <v>24</v>
      </c>
    </row>
    <row r="1772" spans="1:14" x14ac:dyDescent="0.3">
      <c r="A1772">
        <v>1771</v>
      </c>
      <c r="B1772">
        <v>787</v>
      </c>
      <c r="C1772">
        <f>1/COUNTIF(pizza_sales[[#All],[order_id]],pizza_sales[[#This Row],[order_id]])</f>
        <v>0.5</v>
      </c>
      <c r="D1772" t="s">
        <v>76</v>
      </c>
      <c r="E1772">
        <v>1</v>
      </c>
      <c r="F1772" s="1">
        <v>42018</v>
      </c>
      <c r="G1772" s="1" t="str">
        <f>TEXT(pizza_sales[[#This Row],[order_date]],"dddd")</f>
        <v>Wednesday</v>
      </c>
      <c r="H1772" s="2">
        <v>36526.489930555559</v>
      </c>
      <c r="I1772">
        <v>16.75</v>
      </c>
      <c r="J1772">
        <v>16.75</v>
      </c>
      <c r="K1772" t="s">
        <v>13</v>
      </c>
      <c r="L1772" t="s">
        <v>33</v>
      </c>
      <c r="M1772" t="s">
        <v>74</v>
      </c>
      <c r="N1772" t="s">
        <v>75</v>
      </c>
    </row>
    <row r="1773" spans="1:14" x14ac:dyDescent="0.3">
      <c r="A1773">
        <v>1772</v>
      </c>
      <c r="B1773">
        <v>787</v>
      </c>
      <c r="C1773">
        <f>1/COUNTIF(pizza_sales[[#All],[order_id]],pizza_sales[[#This Row],[order_id]])</f>
        <v>0.5</v>
      </c>
      <c r="D1773" t="s">
        <v>59</v>
      </c>
      <c r="E1773">
        <v>1</v>
      </c>
      <c r="F1773" s="1">
        <v>42018</v>
      </c>
      <c r="G1773" s="1" t="str">
        <f>TEXT(pizza_sales[[#This Row],[order_date]],"dddd")</f>
        <v>Wednesday</v>
      </c>
      <c r="H1773" s="2">
        <v>36526.489930555559</v>
      </c>
      <c r="I1773">
        <v>20.75</v>
      </c>
      <c r="J1773">
        <v>20.75</v>
      </c>
      <c r="K1773" t="s">
        <v>21</v>
      </c>
      <c r="L1773" t="s">
        <v>26</v>
      </c>
      <c r="M1773" t="s">
        <v>60</v>
      </c>
      <c r="N1773" t="s">
        <v>61</v>
      </c>
    </row>
    <row r="1774" spans="1:14" x14ac:dyDescent="0.3">
      <c r="A1774">
        <v>1773</v>
      </c>
      <c r="B1774">
        <v>788</v>
      </c>
      <c r="C1774">
        <f>1/COUNTIF(pizza_sales[[#All],[order_id]],pizza_sales[[#This Row],[order_id]])</f>
        <v>1</v>
      </c>
      <c r="D1774" t="s">
        <v>149</v>
      </c>
      <c r="E1774">
        <v>1</v>
      </c>
      <c r="F1774" s="1">
        <v>42018</v>
      </c>
      <c r="G1774" s="1" t="str">
        <f>TEXT(pizza_sales[[#This Row],[order_date]],"dddd")</f>
        <v>Wednesday</v>
      </c>
      <c r="H1774" s="2">
        <v>36526.490497685183</v>
      </c>
      <c r="I1774">
        <v>12.25</v>
      </c>
      <c r="J1774">
        <v>12.25</v>
      </c>
      <c r="K1774" t="s">
        <v>41</v>
      </c>
      <c r="L1774" t="s">
        <v>26</v>
      </c>
      <c r="M1774" t="s">
        <v>114</v>
      </c>
      <c r="N1774" t="s">
        <v>115</v>
      </c>
    </row>
    <row r="1775" spans="1:14" x14ac:dyDescent="0.3">
      <c r="A1775">
        <v>1774</v>
      </c>
      <c r="B1775">
        <v>789</v>
      </c>
      <c r="C1775">
        <f>1/COUNTIF(pizza_sales[[#All],[order_id]],pizza_sales[[#This Row],[order_id]])</f>
        <v>1</v>
      </c>
      <c r="D1775" t="s">
        <v>109</v>
      </c>
      <c r="E1775">
        <v>1</v>
      </c>
      <c r="F1775" s="1">
        <v>42018</v>
      </c>
      <c r="G1775" s="1" t="str">
        <f>TEXT(pizza_sales[[#This Row],[order_date]],"dddd")</f>
        <v>Wednesday</v>
      </c>
      <c r="H1775" s="2">
        <v>36526.49417824074</v>
      </c>
      <c r="I1775">
        <v>20.25</v>
      </c>
      <c r="J1775">
        <v>20.25</v>
      </c>
      <c r="K1775" t="s">
        <v>21</v>
      </c>
      <c r="L1775" t="s">
        <v>22</v>
      </c>
      <c r="M1775" t="s">
        <v>110</v>
      </c>
      <c r="N1775" t="s">
        <v>111</v>
      </c>
    </row>
    <row r="1776" spans="1:14" x14ac:dyDescent="0.3">
      <c r="A1776">
        <v>1775</v>
      </c>
      <c r="B1776">
        <v>790</v>
      </c>
      <c r="C1776">
        <f>1/COUNTIF(pizza_sales[[#All],[order_id]],pizza_sales[[#This Row],[order_id]])</f>
        <v>0.5</v>
      </c>
      <c r="D1776" t="s">
        <v>20</v>
      </c>
      <c r="E1776">
        <v>1</v>
      </c>
      <c r="F1776" s="1">
        <v>42018</v>
      </c>
      <c r="G1776" s="1" t="str">
        <f>TEXT(pizza_sales[[#This Row],[order_date]],"dddd")</f>
        <v>Wednesday</v>
      </c>
      <c r="H1776" s="2">
        <v>36526.505208333336</v>
      </c>
      <c r="I1776">
        <v>18.5</v>
      </c>
      <c r="J1776">
        <v>18.5</v>
      </c>
      <c r="K1776" t="s">
        <v>21</v>
      </c>
      <c r="L1776" t="s">
        <v>22</v>
      </c>
      <c r="M1776" t="s">
        <v>23</v>
      </c>
      <c r="N1776" t="s">
        <v>24</v>
      </c>
    </row>
    <row r="1777" spans="1:14" x14ac:dyDescent="0.3">
      <c r="A1777">
        <v>1776</v>
      </c>
      <c r="B1777">
        <v>790</v>
      </c>
      <c r="C1777">
        <f>1/COUNTIF(pizza_sales[[#All],[order_id]],pizza_sales[[#This Row],[order_id]])</f>
        <v>0.5</v>
      </c>
      <c r="D1777" t="s">
        <v>152</v>
      </c>
      <c r="E1777">
        <v>1</v>
      </c>
      <c r="F1777" s="1">
        <v>42018</v>
      </c>
      <c r="G1777" s="1" t="str">
        <f>TEXT(pizza_sales[[#This Row],[order_date]],"dddd")</f>
        <v>Wednesday</v>
      </c>
      <c r="H1777" s="2">
        <v>36526.505208333336</v>
      </c>
      <c r="I1777">
        <v>20.75</v>
      </c>
      <c r="J1777">
        <v>20.75</v>
      </c>
      <c r="K1777" t="s">
        <v>21</v>
      </c>
      <c r="L1777" t="s">
        <v>26</v>
      </c>
      <c r="M1777" t="s">
        <v>48</v>
      </c>
      <c r="N1777" t="s">
        <v>49</v>
      </c>
    </row>
    <row r="1778" spans="1:14" x14ac:dyDescent="0.3">
      <c r="A1778">
        <v>1777</v>
      </c>
      <c r="B1778">
        <v>791</v>
      </c>
      <c r="C1778">
        <f>1/COUNTIF(pizza_sales[[#All],[order_id]],pizza_sales[[#This Row],[order_id]])</f>
        <v>0.5</v>
      </c>
      <c r="D1778" t="s">
        <v>126</v>
      </c>
      <c r="E1778">
        <v>1</v>
      </c>
      <c r="F1778" s="1">
        <v>42018</v>
      </c>
      <c r="G1778" s="1" t="str">
        <f>TEXT(pizza_sales[[#This Row],[order_date]],"dddd")</f>
        <v>Wednesday</v>
      </c>
      <c r="H1778" s="2">
        <v>36526.516597222224</v>
      </c>
      <c r="I1778">
        <v>9.75</v>
      </c>
      <c r="J1778">
        <v>9.75</v>
      </c>
      <c r="K1778" t="s">
        <v>41</v>
      </c>
      <c r="L1778" t="s">
        <v>14</v>
      </c>
      <c r="M1778" t="s">
        <v>78</v>
      </c>
      <c r="N1778" t="s">
        <v>79</v>
      </c>
    </row>
    <row r="1779" spans="1:14" x14ac:dyDescent="0.3">
      <c r="A1779">
        <v>1778</v>
      </c>
      <c r="B1779">
        <v>791</v>
      </c>
      <c r="C1779">
        <f>1/COUNTIF(pizza_sales[[#All],[order_id]],pizza_sales[[#This Row],[order_id]])</f>
        <v>0.5</v>
      </c>
      <c r="D1779" t="s">
        <v>137</v>
      </c>
      <c r="E1779">
        <v>1</v>
      </c>
      <c r="F1779" s="1">
        <v>42018</v>
      </c>
      <c r="G1779" s="1" t="str">
        <f>TEXT(pizza_sales[[#This Row],[order_date]],"dddd")</f>
        <v>Wednesday</v>
      </c>
      <c r="H1779" s="2">
        <v>36526.516597222224</v>
      </c>
      <c r="I1779">
        <v>16.75</v>
      </c>
      <c r="J1779">
        <v>16.75</v>
      </c>
      <c r="K1779" t="s">
        <v>13</v>
      </c>
      <c r="L1779" t="s">
        <v>33</v>
      </c>
      <c r="M1779" t="s">
        <v>34</v>
      </c>
      <c r="N1779" t="s">
        <v>35</v>
      </c>
    </row>
    <row r="1780" spans="1:14" x14ac:dyDescent="0.3">
      <c r="A1780">
        <v>1779</v>
      </c>
      <c r="B1780">
        <v>792</v>
      </c>
      <c r="C1780">
        <f>1/COUNTIF(pizza_sales[[#All],[order_id]],pizza_sales[[#This Row],[order_id]])</f>
        <v>0.14285714285714285</v>
      </c>
      <c r="D1780" t="s">
        <v>134</v>
      </c>
      <c r="E1780">
        <v>1</v>
      </c>
      <c r="F1780" s="1">
        <v>42018</v>
      </c>
      <c r="G1780" s="1" t="str">
        <f>TEXT(pizza_sales[[#This Row],[order_date]],"dddd")</f>
        <v>Wednesday</v>
      </c>
      <c r="H1780" s="2">
        <v>36526.526250000003</v>
      </c>
      <c r="I1780">
        <v>16.75</v>
      </c>
      <c r="J1780">
        <v>16.75</v>
      </c>
      <c r="K1780" t="s">
        <v>13</v>
      </c>
      <c r="L1780" t="s">
        <v>33</v>
      </c>
      <c r="M1780" t="s">
        <v>124</v>
      </c>
      <c r="N1780" t="s">
        <v>125</v>
      </c>
    </row>
    <row r="1781" spans="1:14" x14ac:dyDescent="0.3">
      <c r="A1781">
        <v>1780</v>
      </c>
      <c r="B1781">
        <v>792</v>
      </c>
      <c r="C1781">
        <f>1/COUNTIF(pizza_sales[[#All],[order_id]],pizza_sales[[#This Row],[order_id]])</f>
        <v>0.14285714285714285</v>
      </c>
      <c r="D1781" t="s">
        <v>90</v>
      </c>
      <c r="E1781">
        <v>1</v>
      </c>
      <c r="F1781" s="1">
        <v>42018</v>
      </c>
      <c r="G1781" s="1" t="str">
        <f>TEXT(pizza_sales[[#This Row],[order_date]],"dddd")</f>
        <v>Wednesday</v>
      </c>
      <c r="H1781" s="2">
        <v>36526.526250000003</v>
      </c>
      <c r="I1781">
        <v>17.95</v>
      </c>
      <c r="J1781">
        <v>17.95</v>
      </c>
      <c r="K1781" t="s">
        <v>21</v>
      </c>
      <c r="L1781" t="s">
        <v>22</v>
      </c>
      <c r="M1781" t="s">
        <v>91</v>
      </c>
      <c r="N1781" t="s">
        <v>92</v>
      </c>
    </row>
    <row r="1782" spans="1:14" x14ac:dyDescent="0.3">
      <c r="A1782">
        <v>1781</v>
      </c>
      <c r="B1782">
        <v>792</v>
      </c>
      <c r="C1782">
        <f>1/COUNTIF(pizza_sales[[#All],[order_id]],pizza_sales[[#This Row],[order_id]])</f>
        <v>0.14285714285714285</v>
      </c>
      <c r="D1782" t="s">
        <v>159</v>
      </c>
      <c r="E1782">
        <v>1</v>
      </c>
      <c r="F1782" s="1">
        <v>42018</v>
      </c>
      <c r="G1782" s="1" t="str">
        <f>TEXT(pizza_sales[[#This Row],[order_date]],"dddd")</f>
        <v>Wednesday</v>
      </c>
      <c r="H1782" s="2">
        <v>36526.526250000003</v>
      </c>
      <c r="I1782">
        <v>16.75</v>
      </c>
      <c r="J1782">
        <v>16.75</v>
      </c>
      <c r="K1782" t="s">
        <v>13</v>
      </c>
      <c r="L1782" t="s">
        <v>22</v>
      </c>
      <c r="M1782" t="s">
        <v>101</v>
      </c>
      <c r="N1782" t="s">
        <v>102</v>
      </c>
    </row>
    <row r="1783" spans="1:14" x14ac:dyDescent="0.3">
      <c r="A1783">
        <v>1782</v>
      </c>
      <c r="B1783">
        <v>792</v>
      </c>
      <c r="C1783">
        <f>1/COUNTIF(pizza_sales[[#All],[order_id]],pizza_sales[[#This Row],[order_id]])</f>
        <v>0.14285714285714285</v>
      </c>
      <c r="D1783" t="s">
        <v>68</v>
      </c>
      <c r="E1783">
        <v>1</v>
      </c>
      <c r="F1783" s="1">
        <v>42018</v>
      </c>
      <c r="G1783" s="1" t="str">
        <f>TEXT(pizza_sales[[#This Row],[order_date]],"dddd")</f>
        <v>Wednesday</v>
      </c>
      <c r="H1783" s="2">
        <v>36526.526250000003</v>
      </c>
      <c r="I1783">
        <v>20.25</v>
      </c>
      <c r="J1783">
        <v>20.25</v>
      </c>
      <c r="K1783" t="s">
        <v>21</v>
      </c>
      <c r="L1783" t="s">
        <v>22</v>
      </c>
      <c r="M1783" t="s">
        <v>30</v>
      </c>
      <c r="N1783" t="s">
        <v>31</v>
      </c>
    </row>
    <row r="1784" spans="1:14" x14ac:dyDescent="0.3">
      <c r="A1784">
        <v>1783</v>
      </c>
      <c r="B1784">
        <v>792</v>
      </c>
      <c r="C1784">
        <f>1/COUNTIF(pizza_sales[[#All],[order_id]],pizza_sales[[#This Row],[order_id]])</f>
        <v>0.14285714285714285</v>
      </c>
      <c r="D1784" t="s">
        <v>120</v>
      </c>
      <c r="E1784">
        <v>1</v>
      </c>
      <c r="F1784" s="1">
        <v>42018</v>
      </c>
      <c r="G1784" s="1" t="str">
        <f>TEXT(pizza_sales[[#This Row],[order_date]],"dddd")</f>
        <v>Wednesday</v>
      </c>
      <c r="H1784" s="2">
        <v>36526.526250000003</v>
      </c>
      <c r="I1784">
        <v>12.5</v>
      </c>
      <c r="J1784">
        <v>12.5</v>
      </c>
      <c r="K1784" t="s">
        <v>41</v>
      </c>
      <c r="L1784" t="s">
        <v>26</v>
      </c>
      <c r="M1784" t="s">
        <v>38</v>
      </c>
      <c r="N1784" t="s">
        <v>39</v>
      </c>
    </row>
    <row r="1785" spans="1:14" x14ac:dyDescent="0.3">
      <c r="A1785">
        <v>1784</v>
      </c>
      <c r="B1785">
        <v>792</v>
      </c>
      <c r="C1785">
        <f>1/COUNTIF(pizza_sales[[#All],[order_id]],pizza_sales[[#This Row],[order_id]])</f>
        <v>0.14285714285714285</v>
      </c>
      <c r="D1785" t="s">
        <v>62</v>
      </c>
      <c r="E1785">
        <v>2</v>
      </c>
      <c r="F1785" s="1">
        <v>42018</v>
      </c>
      <c r="G1785" s="1" t="str">
        <f>TEXT(pizza_sales[[#This Row],[order_date]],"dddd")</f>
        <v>Wednesday</v>
      </c>
      <c r="H1785" s="2">
        <v>36526.526250000003</v>
      </c>
      <c r="I1785">
        <v>20.75</v>
      </c>
      <c r="J1785">
        <v>41.5</v>
      </c>
      <c r="K1785" t="s">
        <v>21</v>
      </c>
      <c r="L1785" t="s">
        <v>22</v>
      </c>
      <c r="M1785" t="s">
        <v>63</v>
      </c>
      <c r="N1785" t="s">
        <v>64</v>
      </c>
    </row>
    <row r="1786" spans="1:14" x14ac:dyDescent="0.3">
      <c r="A1786">
        <v>1785</v>
      </c>
      <c r="B1786">
        <v>792</v>
      </c>
      <c r="C1786">
        <f>1/COUNTIF(pizza_sales[[#All],[order_id]],pizza_sales[[#This Row],[order_id]])</f>
        <v>0.14285714285714285</v>
      </c>
      <c r="D1786" t="s">
        <v>154</v>
      </c>
      <c r="E1786">
        <v>1</v>
      </c>
      <c r="F1786" s="1">
        <v>42018</v>
      </c>
      <c r="G1786" s="1" t="str">
        <f>TEXT(pizza_sales[[#This Row],[order_date]],"dddd")</f>
        <v>Wednesday</v>
      </c>
      <c r="H1786" s="2">
        <v>36526.526250000003</v>
      </c>
      <c r="I1786">
        <v>16</v>
      </c>
      <c r="J1786">
        <v>16</v>
      </c>
      <c r="K1786" t="s">
        <v>13</v>
      </c>
      <c r="L1786" t="s">
        <v>22</v>
      </c>
      <c r="M1786" t="s">
        <v>66</v>
      </c>
      <c r="N1786" t="s">
        <v>67</v>
      </c>
    </row>
    <row r="1787" spans="1:14" x14ac:dyDescent="0.3">
      <c r="A1787">
        <v>1786</v>
      </c>
      <c r="B1787">
        <v>793</v>
      </c>
      <c r="C1787">
        <f>1/COUNTIF(pizza_sales[[#All],[order_id]],pizza_sales[[#This Row],[order_id]])</f>
        <v>1</v>
      </c>
      <c r="D1787" t="s">
        <v>37</v>
      </c>
      <c r="E1787">
        <v>1</v>
      </c>
      <c r="F1787" s="1">
        <v>42018</v>
      </c>
      <c r="G1787" s="1" t="str">
        <f>TEXT(pizza_sales[[#This Row],[order_date]],"dddd")</f>
        <v>Wednesday</v>
      </c>
      <c r="H1787" s="2">
        <v>36526.526701388888</v>
      </c>
      <c r="I1787">
        <v>20.75</v>
      </c>
      <c r="J1787">
        <v>20.75</v>
      </c>
      <c r="K1787" t="s">
        <v>21</v>
      </c>
      <c r="L1787" t="s">
        <v>26</v>
      </c>
      <c r="M1787" t="s">
        <v>38</v>
      </c>
      <c r="N1787" t="s">
        <v>39</v>
      </c>
    </row>
    <row r="1788" spans="1:14" x14ac:dyDescent="0.3">
      <c r="A1788">
        <v>1787</v>
      </c>
      <c r="B1788">
        <v>794</v>
      </c>
      <c r="C1788">
        <f>1/COUNTIF(pizza_sales[[#All],[order_id]],pizza_sales[[#This Row],[order_id]])</f>
        <v>1</v>
      </c>
      <c r="D1788" t="s">
        <v>163</v>
      </c>
      <c r="E1788">
        <v>1</v>
      </c>
      <c r="F1788" s="1">
        <v>42018</v>
      </c>
      <c r="G1788" s="1" t="str">
        <f>TEXT(pizza_sales[[#This Row],[order_date]],"dddd")</f>
        <v>Wednesday</v>
      </c>
      <c r="H1788" s="2">
        <v>36526.527268518519</v>
      </c>
      <c r="I1788">
        <v>16</v>
      </c>
      <c r="J1788">
        <v>16</v>
      </c>
      <c r="K1788" t="s">
        <v>13</v>
      </c>
      <c r="L1788" t="s">
        <v>14</v>
      </c>
      <c r="M1788" t="s">
        <v>94</v>
      </c>
      <c r="N1788" t="s">
        <v>95</v>
      </c>
    </row>
    <row r="1789" spans="1:14" x14ac:dyDescent="0.3">
      <c r="A1789">
        <v>1788</v>
      </c>
      <c r="B1789">
        <v>795</v>
      </c>
      <c r="C1789">
        <f>1/COUNTIF(pizza_sales[[#All],[order_id]],pizza_sales[[#This Row],[order_id]])</f>
        <v>1</v>
      </c>
      <c r="D1789" t="s">
        <v>20</v>
      </c>
      <c r="E1789">
        <v>1</v>
      </c>
      <c r="F1789" s="1">
        <v>42018</v>
      </c>
      <c r="G1789" s="1" t="str">
        <f>TEXT(pizza_sales[[#This Row],[order_date]],"dddd")</f>
        <v>Wednesday</v>
      </c>
      <c r="H1789" s="2">
        <v>36526.529363425929</v>
      </c>
      <c r="I1789">
        <v>18.5</v>
      </c>
      <c r="J1789">
        <v>18.5</v>
      </c>
      <c r="K1789" t="s">
        <v>21</v>
      </c>
      <c r="L1789" t="s">
        <v>22</v>
      </c>
      <c r="M1789" t="s">
        <v>23</v>
      </c>
      <c r="N1789" t="s">
        <v>24</v>
      </c>
    </row>
    <row r="1790" spans="1:14" x14ac:dyDescent="0.3">
      <c r="A1790">
        <v>1789</v>
      </c>
      <c r="B1790">
        <v>796</v>
      </c>
      <c r="C1790">
        <f>1/COUNTIF(pizza_sales[[#All],[order_id]],pizza_sales[[#This Row],[order_id]])</f>
        <v>1</v>
      </c>
      <c r="D1790" t="s">
        <v>29</v>
      </c>
      <c r="E1790">
        <v>1</v>
      </c>
      <c r="F1790" s="1">
        <v>42018</v>
      </c>
      <c r="G1790" s="1" t="str">
        <f>TEXT(pizza_sales[[#This Row],[order_date]],"dddd")</f>
        <v>Wednesday</v>
      </c>
      <c r="H1790" s="2">
        <v>36526.529965277776</v>
      </c>
      <c r="I1790">
        <v>16</v>
      </c>
      <c r="J1790">
        <v>16</v>
      </c>
      <c r="K1790" t="s">
        <v>13</v>
      </c>
      <c r="L1790" t="s">
        <v>22</v>
      </c>
      <c r="M1790" t="s">
        <v>30</v>
      </c>
      <c r="N1790" t="s">
        <v>31</v>
      </c>
    </row>
    <row r="1791" spans="1:14" x14ac:dyDescent="0.3">
      <c r="A1791">
        <v>1790</v>
      </c>
      <c r="B1791">
        <v>797</v>
      </c>
      <c r="C1791">
        <f>1/COUNTIF(pizza_sales[[#All],[order_id]],pizza_sales[[#This Row],[order_id]])</f>
        <v>0.33333333333333331</v>
      </c>
      <c r="D1791" t="s">
        <v>133</v>
      </c>
      <c r="E1791">
        <v>1</v>
      </c>
      <c r="F1791" s="1">
        <v>42018</v>
      </c>
      <c r="G1791" s="1" t="str">
        <f>TEXT(pizza_sales[[#This Row],[order_date]],"dddd")</f>
        <v>Wednesday</v>
      </c>
      <c r="H1791" s="2">
        <v>36526.534733796296</v>
      </c>
      <c r="I1791">
        <v>16.5</v>
      </c>
      <c r="J1791">
        <v>16.5</v>
      </c>
      <c r="K1791" t="s">
        <v>13</v>
      </c>
      <c r="L1791" t="s">
        <v>26</v>
      </c>
      <c r="M1791" t="s">
        <v>107</v>
      </c>
      <c r="N1791" t="s">
        <v>108</v>
      </c>
    </row>
    <row r="1792" spans="1:14" x14ac:dyDescent="0.3">
      <c r="A1792">
        <v>1791</v>
      </c>
      <c r="B1792">
        <v>797</v>
      </c>
      <c r="C1792">
        <f>1/COUNTIF(pizza_sales[[#All],[order_id]],pizza_sales[[#This Row],[order_id]])</f>
        <v>0.33333333333333331</v>
      </c>
      <c r="D1792" t="s">
        <v>145</v>
      </c>
      <c r="E1792">
        <v>1</v>
      </c>
      <c r="F1792" s="1">
        <v>42018</v>
      </c>
      <c r="G1792" s="1" t="str">
        <f>TEXT(pizza_sales[[#This Row],[order_date]],"dddd")</f>
        <v>Wednesday</v>
      </c>
      <c r="H1792" s="2">
        <v>36526.534733796296</v>
      </c>
      <c r="I1792">
        <v>16.5</v>
      </c>
      <c r="J1792">
        <v>16.5</v>
      </c>
      <c r="K1792" t="s">
        <v>13</v>
      </c>
      <c r="L1792" t="s">
        <v>26</v>
      </c>
      <c r="M1792" t="s">
        <v>38</v>
      </c>
      <c r="N1792" t="s">
        <v>39</v>
      </c>
    </row>
    <row r="1793" spans="1:14" x14ac:dyDescent="0.3">
      <c r="A1793">
        <v>1792</v>
      </c>
      <c r="B1793">
        <v>797</v>
      </c>
      <c r="C1793">
        <f>1/COUNTIF(pizza_sales[[#All],[order_id]],pizza_sales[[#This Row],[order_id]])</f>
        <v>0.33333333333333331</v>
      </c>
      <c r="D1793" t="s">
        <v>154</v>
      </c>
      <c r="E1793">
        <v>1</v>
      </c>
      <c r="F1793" s="1">
        <v>42018</v>
      </c>
      <c r="G1793" s="1" t="str">
        <f>TEXT(pizza_sales[[#This Row],[order_date]],"dddd")</f>
        <v>Wednesday</v>
      </c>
      <c r="H1793" s="2">
        <v>36526.534733796296</v>
      </c>
      <c r="I1793">
        <v>16</v>
      </c>
      <c r="J1793">
        <v>16</v>
      </c>
      <c r="K1793" t="s">
        <v>13</v>
      </c>
      <c r="L1793" t="s">
        <v>22</v>
      </c>
      <c r="M1793" t="s">
        <v>66</v>
      </c>
      <c r="N1793" t="s">
        <v>67</v>
      </c>
    </row>
    <row r="1794" spans="1:14" x14ac:dyDescent="0.3">
      <c r="A1794">
        <v>1793</v>
      </c>
      <c r="B1794">
        <v>798</v>
      </c>
      <c r="C1794">
        <f>1/COUNTIF(pizza_sales[[#All],[order_id]],pizza_sales[[#This Row],[order_id]])</f>
        <v>0.25</v>
      </c>
      <c r="D1794" t="s">
        <v>20</v>
      </c>
      <c r="E1794">
        <v>1</v>
      </c>
      <c r="F1794" s="1">
        <v>42018</v>
      </c>
      <c r="G1794" s="1" t="str">
        <f>TEXT(pizza_sales[[#This Row],[order_date]],"dddd")</f>
        <v>Wednesday</v>
      </c>
      <c r="H1794" s="2">
        <v>36526.535069444442</v>
      </c>
      <c r="I1794">
        <v>18.5</v>
      </c>
      <c r="J1794">
        <v>18.5</v>
      </c>
      <c r="K1794" t="s">
        <v>21</v>
      </c>
      <c r="L1794" t="s">
        <v>22</v>
      </c>
      <c r="M1794" t="s">
        <v>23</v>
      </c>
      <c r="N1794" t="s">
        <v>24</v>
      </c>
    </row>
    <row r="1795" spans="1:14" x14ac:dyDescent="0.3">
      <c r="A1795">
        <v>1794</v>
      </c>
      <c r="B1795">
        <v>798</v>
      </c>
      <c r="C1795">
        <f>1/COUNTIF(pizza_sales[[#All],[order_id]],pizza_sales[[#This Row],[order_id]])</f>
        <v>0.25</v>
      </c>
      <c r="D1795" t="s">
        <v>51</v>
      </c>
      <c r="E1795">
        <v>1</v>
      </c>
      <c r="F1795" s="1">
        <v>42018</v>
      </c>
      <c r="G1795" s="1" t="str">
        <f>TEXT(pizza_sales[[#This Row],[order_date]],"dddd")</f>
        <v>Wednesday</v>
      </c>
      <c r="H1795" s="2">
        <v>36526.535069444442</v>
      </c>
      <c r="I1795">
        <v>12</v>
      </c>
      <c r="J1795">
        <v>12</v>
      </c>
      <c r="K1795" t="s">
        <v>41</v>
      </c>
      <c r="L1795" t="s">
        <v>22</v>
      </c>
      <c r="M1795" t="s">
        <v>52</v>
      </c>
      <c r="N1795" t="s">
        <v>53</v>
      </c>
    </row>
    <row r="1796" spans="1:14" x14ac:dyDescent="0.3">
      <c r="A1796">
        <v>1795</v>
      </c>
      <c r="B1796">
        <v>798</v>
      </c>
      <c r="C1796">
        <f>1/COUNTIF(pizza_sales[[#All],[order_id]],pizza_sales[[#This Row],[order_id]])</f>
        <v>0.25</v>
      </c>
      <c r="D1796" t="s">
        <v>172</v>
      </c>
      <c r="E1796">
        <v>1</v>
      </c>
      <c r="F1796" s="1">
        <v>42018</v>
      </c>
      <c r="G1796" s="1" t="str">
        <f>TEXT(pizza_sales[[#This Row],[order_date]],"dddd")</f>
        <v>Wednesday</v>
      </c>
      <c r="H1796" s="2">
        <v>36526.535069444442</v>
      </c>
      <c r="I1796">
        <v>12.5</v>
      </c>
      <c r="J1796">
        <v>12.5</v>
      </c>
      <c r="K1796" t="s">
        <v>41</v>
      </c>
      <c r="L1796" t="s">
        <v>26</v>
      </c>
      <c r="M1796" t="s">
        <v>88</v>
      </c>
      <c r="N1796" t="s">
        <v>89</v>
      </c>
    </row>
    <row r="1797" spans="1:14" x14ac:dyDescent="0.3">
      <c r="A1797">
        <v>1796</v>
      </c>
      <c r="B1797">
        <v>798</v>
      </c>
      <c r="C1797">
        <f>1/COUNTIF(pizza_sales[[#All],[order_id]],pizza_sales[[#This Row],[order_id]])</f>
        <v>0.25</v>
      </c>
      <c r="D1797" t="s">
        <v>162</v>
      </c>
      <c r="E1797">
        <v>1</v>
      </c>
      <c r="F1797" s="1">
        <v>42018</v>
      </c>
      <c r="G1797" s="1" t="str">
        <f>TEXT(pizza_sales[[#This Row],[order_date]],"dddd")</f>
        <v>Wednesday</v>
      </c>
      <c r="H1797" s="2">
        <v>36526.535069444442</v>
      </c>
      <c r="I1797">
        <v>16</v>
      </c>
      <c r="J1797">
        <v>16</v>
      </c>
      <c r="K1797" t="s">
        <v>13</v>
      </c>
      <c r="L1797" t="s">
        <v>22</v>
      </c>
      <c r="M1797" t="s">
        <v>110</v>
      </c>
      <c r="N1797" t="s">
        <v>111</v>
      </c>
    </row>
    <row r="1798" spans="1:14" x14ac:dyDescent="0.3">
      <c r="A1798">
        <v>1797</v>
      </c>
      <c r="B1798">
        <v>799</v>
      </c>
      <c r="C1798">
        <f>1/COUNTIF(pizza_sales[[#All],[order_id]],pizza_sales[[#This Row],[order_id]])</f>
        <v>0.33333333333333331</v>
      </c>
      <c r="D1798" t="s">
        <v>36</v>
      </c>
      <c r="E1798">
        <v>1</v>
      </c>
      <c r="F1798" s="1">
        <v>42018</v>
      </c>
      <c r="G1798" s="1" t="str">
        <f>TEXT(pizza_sales[[#This Row],[order_date]],"dddd")</f>
        <v>Wednesday</v>
      </c>
      <c r="H1798" s="2">
        <v>36526.535752314812</v>
      </c>
      <c r="I1798">
        <v>16.5</v>
      </c>
      <c r="J1798">
        <v>16.5</v>
      </c>
      <c r="K1798" t="s">
        <v>13</v>
      </c>
      <c r="L1798" t="s">
        <v>26</v>
      </c>
      <c r="M1798" t="s">
        <v>27</v>
      </c>
      <c r="N1798" t="s">
        <v>28</v>
      </c>
    </row>
    <row r="1799" spans="1:14" x14ac:dyDescent="0.3">
      <c r="A1799">
        <v>1798</v>
      </c>
      <c r="B1799">
        <v>799</v>
      </c>
      <c r="C1799">
        <f>1/COUNTIF(pizza_sales[[#All],[order_id]],pizza_sales[[#This Row],[order_id]])</f>
        <v>0.33333333333333331</v>
      </c>
      <c r="D1799" t="s">
        <v>143</v>
      </c>
      <c r="E1799">
        <v>1</v>
      </c>
      <c r="F1799" s="1">
        <v>42018</v>
      </c>
      <c r="G1799" s="1" t="str">
        <f>TEXT(pizza_sales[[#This Row],[order_date]],"dddd")</f>
        <v>Wednesday</v>
      </c>
      <c r="H1799" s="2">
        <v>36526.535752314812</v>
      </c>
      <c r="I1799">
        <v>11</v>
      </c>
      <c r="J1799">
        <v>11</v>
      </c>
      <c r="K1799" t="s">
        <v>41</v>
      </c>
      <c r="L1799" t="s">
        <v>14</v>
      </c>
      <c r="M1799" t="s">
        <v>130</v>
      </c>
      <c r="N1799" t="s">
        <v>131</v>
      </c>
    </row>
    <row r="1800" spans="1:14" x14ac:dyDescent="0.3">
      <c r="A1800">
        <v>1799</v>
      </c>
      <c r="B1800">
        <v>799</v>
      </c>
      <c r="C1800">
        <f>1/COUNTIF(pizza_sales[[#All],[order_id]],pizza_sales[[#This Row],[order_id]])</f>
        <v>0.33333333333333331</v>
      </c>
      <c r="D1800" t="s">
        <v>137</v>
      </c>
      <c r="E1800">
        <v>1</v>
      </c>
      <c r="F1800" s="1">
        <v>42018</v>
      </c>
      <c r="G1800" s="1" t="str">
        <f>TEXT(pizza_sales[[#This Row],[order_date]],"dddd")</f>
        <v>Wednesday</v>
      </c>
      <c r="H1800" s="2">
        <v>36526.535752314812</v>
      </c>
      <c r="I1800">
        <v>16.75</v>
      </c>
      <c r="J1800">
        <v>16.75</v>
      </c>
      <c r="K1800" t="s">
        <v>13</v>
      </c>
      <c r="L1800" t="s">
        <v>33</v>
      </c>
      <c r="M1800" t="s">
        <v>34</v>
      </c>
      <c r="N1800" t="s">
        <v>35</v>
      </c>
    </row>
    <row r="1801" spans="1:14" x14ac:dyDescent="0.3">
      <c r="A1801">
        <v>1800</v>
      </c>
      <c r="B1801">
        <v>800</v>
      </c>
      <c r="C1801">
        <f>1/COUNTIF(pizza_sales[[#All],[order_id]],pizza_sales[[#This Row],[order_id]])</f>
        <v>0.16666666666666666</v>
      </c>
      <c r="D1801" t="s">
        <v>173</v>
      </c>
      <c r="E1801">
        <v>2</v>
      </c>
      <c r="F1801" s="1">
        <v>42018</v>
      </c>
      <c r="G1801" s="1" t="str">
        <f>TEXT(pizza_sales[[#This Row],[order_date]],"dddd")</f>
        <v>Wednesday</v>
      </c>
      <c r="H1801" s="2">
        <v>36526.537905092591</v>
      </c>
      <c r="I1801">
        <v>20.25</v>
      </c>
      <c r="J1801">
        <v>40.5</v>
      </c>
      <c r="K1801" t="s">
        <v>21</v>
      </c>
      <c r="L1801" t="s">
        <v>26</v>
      </c>
      <c r="M1801" t="s">
        <v>97</v>
      </c>
      <c r="N1801" t="s">
        <v>98</v>
      </c>
    </row>
    <row r="1802" spans="1:14" x14ac:dyDescent="0.3">
      <c r="A1802">
        <v>1801</v>
      </c>
      <c r="B1802">
        <v>800</v>
      </c>
      <c r="C1802">
        <f>1/COUNTIF(pizza_sales[[#All],[order_id]],pizza_sales[[#This Row],[order_id]])</f>
        <v>0.16666666666666666</v>
      </c>
      <c r="D1802" t="s">
        <v>132</v>
      </c>
      <c r="E1802">
        <v>1</v>
      </c>
      <c r="F1802" s="1">
        <v>42018</v>
      </c>
      <c r="G1802" s="1" t="str">
        <f>TEXT(pizza_sales[[#This Row],[order_date]],"dddd")</f>
        <v>Wednesday</v>
      </c>
      <c r="H1802" s="2">
        <v>36526.537905092591</v>
      </c>
      <c r="I1802">
        <v>10.5</v>
      </c>
      <c r="J1802">
        <v>10.5</v>
      </c>
      <c r="K1802" t="s">
        <v>41</v>
      </c>
      <c r="L1802" t="s">
        <v>14</v>
      </c>
      <c r="M1802" t="s">
        <v>15</v>
      </c>
      <c r="N1802" t="s">
        <v>16</v>
      </c>
    </row>
    <row r="1803" spans="1:14" x14ac:dyDescent="0.3">
      <c r="A1803">
        <v>1802</v>
      </c>
      <c r="B1803">
        <v>800</v>
      </c>
      <c r="C1803">
        <f>1/COUNTIF(pizza_sales[[#All],[order_id]],pizza_sales[[#This Row],[order_id]])</f>
        <v>0.16666666666666666</v>
      </c>
      <c r="D1803" t="s">
        <v>100</v>
      </c>
      <c r="E1803">
        <v>1</v>
      </c>
      <c r="F1803" s="1">
        <v>42018</v>
      </c>
      <c r="G1803" s="1" t="str">
        <f>TEXT(pizza_sales[[#This Row],[order_date]],"dddd")</f>
        <v>Wednesday</v>
      </c>
      <c r="H1803" s="2">
        <v>36526.537905092591</v>
      </c>
      <c r="I1803">
        <v>12.75</v>
      </c>
      <c r="J1803">
        <v>12.75</v>
      </c>
      <c r="K1803" t="s">
        <v>41</v>
      </c>
      <c r="L1803" t="s">
        <v>22</v>
      </c>
      <c r="M1803" t="s">
        <v>101</v>
      </c>
      <c r="N1803" t="s">
        <v>102</v>
      </c>
    </row>
    <row r="1804" spans="1:14" x14ac:dyDescent="0.3">
      <c r="A1804">
        <v>1803</v>
      </c>
      <c r="B1804">
        <v>800</v>
      </c>
      <c r="C1804">
        <f>1/COUNTIF(pizza_sales[[#All],[order_id]],pizza_sales[[#This Row],[order_id]])</f>
        <v>0.16666666666666666</v>
      </c>
      <c r="D1804" t="s">
        <v>93</v>
      </c>
      <c r="E1804">
        <v>1</v>
      </c>
      <c r="F1804" s="1">
        <v>42018</v>
      </c>
      <c r="G1804" s="1" t="str">
        <f>TEXT(pizza_sales[[#This Row],[order_date]],"dddd")</f>
        <v>Wednesday</v>
      </c>
      <c r="H1804" s="2">
        <v>36526.537905092591</v>
      </c>
      <c r="I1804">
        <v>12</v>
      </c>
      <c r="J1804">
        <v>12</v>
      </c>
      <c r="K1804" t="s">
        <v>41</v>
      </c>
      <c r="L1804" t="s">
        <v>14</v>
      </c>
      <c r="M1804" t="s">
        <v>94</v>
      </c>
      <c r="N1804" t="s">
        <v>95</v>
      </c>
    </row>
    <row r="1805" spans="1:14" x14ac:dyDescent="0.3">
      <c r="A1805">
        <v>1804</v>
      </c>
      <c r="B1805">
        <v>800</v>
      </c>
      <c r="C1805">
        <f>1/COUNTIF(pizza_sales[[#All],[order_id]],pizza_sales[[#This Row],[order_id]])</f>
        <v>0.16666666666666666</v>
      </c>
      <c r="D1805" t="s">
        <v>117</v>
      </c>
      <c r="E1805">
        <v>2</v>
      </c>
      <c r="F1805" s="1">
        <v>42018</v>
      </c>
      <c r="G1805" s="1" t="str">
        <f>TEXT(pizza_sales[[#This Row],[order_date]],"dddd")</f>
        <v>Wednesday</v>
      </c>
      <c r="H1805" s="2">
        <v>36526.537905092591</v>
      </c>
      <c r="I1805">
        <v>12.75</v>
      </c>
      <c r="J1805">
        <v>25.5</v>
      </c>
      <c r="K1805" t="s">
        <v>41</v>
      </c>
      <c r="L1805" t="s">
        <v>33</v>
      </c>
      <c r="M1805" t="s">
        <v>70</v>
      </c>
      <c r="N1805" t="s">
        <v>71</v>
      </c>
    </row>
    <row r="1806" spans="1:14" x14ac:dyDescent="0.3">
      <c r="A1806">
        <v>1805</v>
      </c>
      <c r="B1806">
        <v>800</v>
      </c>
      <c r="C1806">
        <f>1/COUNTIF(pizza_sales[[#All],[order_id]],pizza_sales[[#This Row],[order_id]])</f>
        <v>0.16666666666666666</v>
      </c>
      <c r="D1806" t="s">
        <v>59</v>
      </c>
      <c r="E1806">
        <v>1</v>
      </c>
      <c r="F1806" s="1">
        <v>42018</v>
      </c>
      <c r="G1806" s="1" t="str">
        <f>TEXT(pizza_sales[[#This Row],[order_date]],"dddd")</f>
        <v>Wednesday</v>
      </c>
      <c r="H1806" s="2">
        <v>36526.537905092591</v>
      </c>
      <c r="I1806">
        <v>20.75</v>
      </c>
      <c r="J1806">
        <v>20.75</v>
      </c>
      <c r="K1806" t="s">
        <v>21</v>
      </c>
      <c r="L1806" t="s">
        <v>26</v>
      </c>
      <c r="M1806" t="s">
        <v>60</v>
      </c>
      <c r="N1806" t="s">
        <v>61</v>
      </c>
    </row>
    <row r="1807" spans="1:14" x14ac:dyDescent="0.3">
      <c r="A1807">
        <v>1806</v>
      </c>
      <c r="B1807">
        <v>801</v>
      </c>
      <c r="C1807">
        <f>1/COUNTIF(pizza_sales[[#All],[order_id]],pizza_sales[[#This Row],[order_id]])</f>
        <v>8.3333333333333329E-2</v>
      </c>
      <c r="D1807" t="s">
        <v>118</v>
      </c>
      <c r="E1807">
        <v>1</v>
      </c>
      <c r="F1807" s="1">
        <v>42018</v>
      </c>
      <c r="G1807" s="1" t="str">
        <f>TEXT(pizza_sales[[#This Row],[order_date]],"dddd")</f>
        <v>Wednesday</v>
      </c>
      <c r="H1807" s="2">
        <v>36526.549224537041</v>
      </c>
      <c r="I1807">
        <v>16.75</v>
      </c>
      <c r="J1807">
        <v>16.75</v>
      </c>
      <c r="K1807" t="s">
        <v>13</v>
      </c>
      <c r="L1807" t="s">
        <v>33</v>
      </c>
      <c r="M1807" t="s">
        <v>42</v>
      </c>
      <c r="N1807" t="s">
        <v>43</v>
      </c>
    </row>
    <row r="1808" spans="1:14" x14ac:dyDescent="0.3">
      <c r="A1808">
        <v>1807</v>
      </c>
      <c r="B1808">
        <v>801</v>
      </c>
      <c r="C1808">
        <f>1/COUNTIF(pizza_sales[[#All],[order_id]],pizza_sales[[#This Row],[order_id]])</f>
        <v>8.3333333333333329E-2</v>
      </c>
      <c r="D1808" t="s">
        <v>138</v>
      </c>
      <c r="E1808">
        <v>1</v>
      </c>
      <c r="F1808" s="1">
        <v>42018</v>
      </c>
      <c r="G1808" s="1" t="str">
        <f>TEXT(pizza_sales[[#This Row],[order_date]],"dddd")</f>
        <v>Wednesday</v>
      </c>
      <c r="H1808" s="2">
        <v>36526.549224537041</v>
      </c>
      <c r="I1808">
        <v>20.5</v>
      </c>
      <c r="J1808">
        <v>20.5</v>
      </c>
      <c r="K1808" t="s">
        <v>21</v>
      </c>
      <c r="L1808" t="s">
        <v>14</v>
      </c>
      <c r="M1808" t="s">
        <v>18</v>
      </c>
      <c r="N1808" t="s">
        <v>19</v>
      </c>
    </row>
    <row r="1809" spans="1:14" x14ac:dyDescent="0.3">
      <c r="A1809">
        <v>1808</v>
      </c>
      <c r="B1809">
        <v>801</v>
      </c>
      <c r="C1809">
        <f>1/COUNTIF(pizza_sales[[#All],[order_id]],pizza_sales[[#This Row],[order_id]])</f>
        <v>8.3333333333333329E-2</v>
      </c>
      <c r="D1809" t="s">
        <v>50</v>
      </c>
      <c r="E1809">
        <v>1</v>
      </c>
      <c r="F1809" s="1">
        <v>42018</v>
      </c>
      <c r="G1809" s="1" t="str">
        <f>TEXT(pizza_sales[[#This Row],[order_date]],"dddd")</f>
        <v>Wednesday</v>
      </c>
      <c r="H1809" s="2">
        <v>36526.549224537041</v>
      </c>
      <c r="I1809">
        <v>12</v>
      </c>
      <c r="J1809">
        <v>12</v>
      </c>
      <c r="K1809" t="s">
        <v>41</v>
      </c>
      <c r="L1809" t="s">
        <v>14</v>
      </c>
      <c r="M1809" t="s">
        <v>18</v>
      </c>
      <c r="N1809" t="s">
        <v>19</v>
      </c>
    </row>
    <row r="1810" spans="1:14" x14ac:dyDescent="0.3">
      <c r="A1810">
        <v>1809</v>
      </c>
      <c r="B1810">
        <v>801</v>
      </c>
      <c r="C1810">
        <f>1/COUNTIF(pizza_sales[[#All],[order_id]],pizza_sales[[#This Row],[order_id]])</f>
        <v>8.3333333333333329E-2</v>
      </c>
      <c r="D1810" t="s">
        <v>36</v>
      </c>
      <c r="E1810">
        <v>1</v>
      </c>
      <c r="F1810" s="1">
        <v>42018</v>
      </c>
      <c r="G1810" s="1" t="str">
        <f>TEXT(pizza_sales[[#This Row],[order_date]],"dddd")</f>
        <v>Wednesday</v>
      </c>
      <c r="H1810" s="2">
        <v>36526.549224537041</v>
      </c>
      <c r="I1810">
        <v>16.5</v>
      </c>
      <c r="J1810">
        <v>16.5</v>
      </c>
      <c r="K1810" t="s">
        <v>13</v>
      </c>
      <c r="L1810" t="s">
        <v>26</v>
      </c>
      <c r="M1810" t="s">
        <v>27</v>
      </c>
      <c r="N1810" t="s">
        <v>28</v>
      </c>
    </row>
    <row r="1811" spans="1:14" x14ac:dyDescent="0.3">
      <c r="A1811">
        <v>1810</v>
      </c>
      <c r="B1811">
        <v>801</v>
      </c>
      <c r="C1811">
        <f>1/COUNTIF(pizza_sales[[#All],[order_id]],pizza_sales[[#This Row],[order_id]])</f>
        <v>8.3333333333333329E-2</v>
      </c>
      <c r="D1811" t="s">
        <v>112</v>
      </c>
      <c r="E1811">
        <v>1</v>
      </c>
      <c r="F1811" s="1">
        <v>42018</v>
      </c>
      <c r="G1811" s="1" t="str">
        <f>TEXT(pizza_sales[[#This Row],[order_date]],"dddd")</f>
        <v>Wednesday</v>
      </c>
      <c r="H1811" s="2">
        <v>36526.549224537041</v>
      </c>
      <c r="I1811">
        <v>20.5</v>
      </c>
      <c r="J1811">
        <v>20.5</v>
      </c>
      <c r="K1811" t="s">
        <v>21</v>
      </c>
      <c r="L1811" t="s">
        <v>14</v>
      </c>
      <c r="M1811" t="s">
        <v>94</v>
      </c>
      <c r="N1811" t="s">
        <v>95</v>
      </c>
    </row>
    <row r="1812" spans="1:14" x14ac:dyDescent="0.3">
      <c r="A1812">
        <v>1811</v>
      </c>
      <c r="B1812">
        <v>801</v>
      </c>
      <c r="C1812">
        <f>1/COUNTIF(pizza_sales[[#All],[order_id]],pizza_sales[[#This Row],[order_id]])</f>
        <v>8.3333333333333329E-2</v>
      </c>
      <c r="D1812" t="s">
        <v>113</v>
      </c>
      <c r="E1812">
        <v>1</v>
      </c>
      <c r="F1812" s="1">
        <v>42018</v>
      </c>
      <c r="G1812" s="1" t="str">
        <f>TEXT(pizza_sales[[#This Row],[order_date]],"dddd")</f>
        <v>Wednesday</v>
      </c>
      <c r="H1812" s="2">
        <v>36526.549224537041</v>
      </c>
      <c r="I1812">
        <v>20.25</v>
      </c>
      <c r="J1812">
        <v>20.25</v>
      </c>
      <c r="K1812" t="s">
        <v>21</v>
      </c>
      <c r="L1812" t="s">
        <v>26</v>
      </c>
      <c r="M1812" t="s">
        <v>114</v>
      </c>
      <c r="N1812" t="s">
        <v>115</v>
      </c>
    </row>
    <row r="1813" spans="1:14" x14ac:dyDescent="0.3">
      <c r="A1813">
        <v>1812</v>
      </c>
      <c r="B1813">
        <v>801</v>
      </c>
      <c r="C1813">
        <f>1/COUNTIF(pizza_sales[[#All],[order_id]],pizza_sales[[#This Row],[order_id]])</f>
        <v>8.3333333333333329E-2</v>
      </c>
      <c r="D1813" t="s">
        <v>149</v>
      </c>
      <c r="E1813">
        <v>2</v>
      </c>
      <c r="F1813" s="1">
        <v>42018</v>
      </c>
      <c r="G1813" s="1" t="str">
        <f>TEXT(pizza_sales[[#This Row],[order_date]],"dddd")</f>
        <v>Wednesday</v>
      </c>
      <c r="H1813" s="2">
        <v>36526.549224537041</v>
      </c>
      <c r="I1813">
        <v>12.25</v>
      </c>
      <c r="J1813">
        <v>24.5</v>
      </c>
      <c r="K1813" t="s">
        <v>41</v>
      </c>
      <c r="L1813" t="s">
        <v>26</v>
      </c>
      <c r="M1813" t="s">
        <v>114</v>
      </c>
      <c r="N1813" t="s">
        <v>115</v>
      </c>
    </row>
    <row r="1814" spans="1:14" x14ac:dyDescent="0.3">
      <c r="A1814">
        <v>1813</v>
      </c>
      <c r="B1814">
        <v>801</v>
      </c>
      <c r="C1814">
        <f>1/COUNTIF(pizza_sales[[#All],[order_id]],pizza_sales[[#This Row],[order_id]])</f>
        <v>8.3333333333333329E-2</v>
      </c>
      <c r="D1814" t="s">
        <v>69</v>
      </c>
      <c r="E1814">
        <v>1</v>
      </c>
      <c r="F1814" s="1">
        <v>42018</v>
      </c>
      <c r="G1814" s="1" t="str">
        <f>TEXT(pizza_sales[[#This Row],[order_date]],"dddd")</f>
        <v>Wednesday</v>
      </c>
      <c r="H1814" s="2">
        <v>36526.549224537041</v>
      </c>
      <c r="I1814">
        <v>20.75</v>
      </c>
      <c r="J1814">
        <v>20.75</v>
      </c>
      <c r="K1814" t="s">
        <v>21</v>
      </c>
      <c r="L1814" t="s">
        <v>33</v>
      </c>
      <c r="M1814" t="s">
        <v>70</v>
      </c>
      <c r="N1814" t="s">
        <v>71</v>
      </c>
    </row>
    <row r="1815" spans="1:14" x14ac:dyDescent="0.3">
      <c r="A1815">
        <v>1814</v>
      </c>
      <c r="B1815">
        <v>801</v>
      </c>
      <c r="C1815">
        <f>1/COUNTIF(pizza_sales[[#All],[order_id]],pizza_sales[[#This Row],[order_id]])</f>
        <v>8.3333333333333329E-2</v>
      </c>
      <c r="D1815" t="s">
        <v>117</v>
      </c>
      <c r="E1815">
        <v>1</v>
      </c>
      <c r="F1815" s="1">
        <v>42018</v>
      </c>
      <c r="G1815" s="1" t="str">
        <f>TEXT(pizza_sales[[#This Row],[order_date]],"dddd")</f>
        <v>Wednesday</v>
      </c>
      <c r="H1815" s="2">
        <v>36526.549224537041</v>
      </c>
      <c r="I1815">
        <v>12.75</v>
      </c>
      <c r="J1815">
        <v>12.75</v>
      </c>
      <c r="K1815" t="s">
        <v>41</v>
      </c>
      <c r="L1815" t="s">
        <v>33</v>
      </c>
      <c r="M1815" t="s">
        <v>70</v>
      </c>
      <c r="N1815" t="s">
        <v>71</v>
      </c>
    </row>
    <row r="1816" spans="1:14" x14ac:dyDescent="0.3">
      <c r="A1816">
        <v>1815</v>
      </c>
      <c r="B1816">
        <v>801</v>
      </c>
      <c r="C1816">
        <f>1/COUNTIF(pizza_sales[[#All],[order_id]],pizza_sales[[#This Row],[order_id]])</f>
        <v>8.3333333333333329E-2</v>
      </c>
      <c r="D1816" t="s">
        <v>62</v>
      </c>
      <c r="E1816">
        <v>1</v>
      </c>
      <c r="F1816" s="1">
        <v>42018</v>
      </c>
      <c r="G1816" s="1" t="str">
        <f>TEXT(pizza_sales[[#This Row],[order_date]],"dddd")</f>
        <v>Wednesday</v>
      </c>
      <c r="H1816" s="2">
        <v>36526.549224537041</v>
      </c>
      <c r="I1816">
        <v>20.75</v>
      </c>
      <c r="J1816">
        <v>20.75</v>
      </c>
      <c r="K1816" t="s">
        <v>21</v>
      </c>
      <c r="L1816" t="s">
        <v>22</v>
      </c>
      <c r="M1816" t="s">
        <v>63</v>
      </c>
      <c r="N1816" t="s">
        <v>64</v>
      </c>
    </row>
    <row r="1817" spans="1:14" x14ac:dyDescent="0.3">
      <c r="A1817">
        <v>1816</v>
      </c>
      <c r="B1817">
        <v>801</v>
      </c>
      <c r="C1817">
        <f>1/COUNTIF(pizza_sales[[#All],[order_id]],pizza_sales[[#This Row],[order_id]])</f>
        <v>8.3333333333333329E-2</v>
      </c>
      <c r="D1817" t="s">
        <v>152</v>
      </c>
      <c r="E1817">
        <v>1</v>
      </c>
      <c r="F1817" s="1">
        <v>42018</v>
      </c>
      <c r="G1817" s="1" t="str">
        <f>TEXT(pizza_sales[[#This Row],[order_date]],"dddd")</f>
        <v>Wednesday</v>
      </c>
      <c r="H1817" s="2">
        <v>36526.549224537041</v>
      </c>
      <c r="I1817">
        <v>20.75</v>
      </c>
      <c r="J1817">
        <v>20.75</v>
      </c>
      <c r="K1817" t="s">
        <v>21</v>
      </c>
      <c r="L1817" t="s">
        <v>26</v>
      </c>
      <c r="M1817" t="s">
        <v>48</v>
      </c>
      <c r="N1817" t="s">
        <v>49</v>
      </c>
    </row>
    <row r="1818" spans="1:14" x14ac:dyDescent="0.3">
      <c r="A1818">
        <v>1817</v>
      </c>
      <c r="B1818">
        <v>801</v>
      </c>
      <c r="C1818">
        <f>1/COUNTIF(pizza_sales[[#All],[order_id]],pizza_sales[[#This Row],[order_id]])</f>
        <v>8.3333333333333329E-2</v>
      </c>
      <c r="D1818" t="s">
        <v>32</v>
      </c>
      <c r="E1818">
        <v>1</v>
      </c>
      <c r="F1818" s="1">
        <v>42018</v>
      </c>
      <c r="G1818" s="1" t="str">
        <f>TEXT(pizza_sales[[#This Row],[order_date]],"dddd")</f>
        <v>Wednesday</v>
      </c>
      <c r="H1818" s="2">
        <v>36526.549224537041</v>
      </c>
      <c r="I1818">
        <v>20.75</v>
      </c>
      <c r="J1818">
        <v>20.75</v>
      </c>
      <c r="K1818" t="s">
        <v>21</v>
      </c>
      <c r="L1818" t="s">
        <v>33</v>
      </c>
      <c r="M1818" t="s">
        <v>34</v>
      </c>
      <c r="N1818" t="s">
        <v>35</v>
      </c>
    </row>
    <row r="1819" spans="1:14" x14ac:dyDescent="0.3">
      <c r="A1819">
        <v>1818</v>
      </c>
      <c r="B1819">
        <v>802</v>
      </c>
      <c r="C1819">
        <f>1/COUNTIF(pizza_sales[[#All],[order_id]],pizza_sales[[#This Row],[order_id]])</f>
        <v>0.5</v>
      </c>
      <c r="D1819" t="s">
        <v>123</v>
      </c>
      <c r="E1819">
        <v>1</v>
      </c>
      <c r="F1819" s="1">
        <v>42018</v>
      </c>
      <c r="G1819" s="1" t="str">
        <f>TEXT(pizza_sales[[#This Row],[order_date]],"dddd")</f>
        <v>Wednesday</v>
      </c>
      <c r="H1819" s="2">
        <v>36526.558182870373</v>
      </c>
      <c r="I1819">
        <v>12.75</v>
      </c>
      <c r="J1819">
        <v>12.75</v>
      </c>
      <c r="K1819" t="s">
        <v>41</v>
      </c>
      <c r="L1819" t="s">
        <v>33</v>
      </c>
      <c r="M1819" t="s">
        <v>124</v>
      </c>
      <c r="N1819" t="s">
        <v>125</v>
      </c>
    </row>
    <row r="1820" spans="1:14" x14ac:dyDescent="0.3">
      <c r="A1820">
        <v>1819</v>
      </c>
      <c r="B1820">
        <v>802</v>
      </c>
      <c r="C1820">
        <f>1/COUNTIF(pizza_sales[[#All],[order_id]],pizza_sales[[#This Row],[order_id]])</f>
        <v>0.5</v>
      </c>
      <c r="D1820" t="s">
        <v>132</v>
      </c>
      <c r="E1820">
        <v>1</v>
      </c>
      <c r="F1820" s="1">
        <v>42018</v>
      </c>
      <c r="G1820" s="1" t="str">
        <f>TEXT(pizza_sales[[#This Row],[order_date]],"dddd")</f>
        <v>Wednesday</v>
      </c>
      <c r="H1820" s="2">
        <v>36526.558182870373</v>
      </c>
      <c r="I1820">
        <v>10.5</v>
      </c>
      <c r="J1820">
        <v>10.5</v>
      </c>
      <c r="K1820" t="s">
        <v>41</v>
      </c>
      <c r="L1820" t="s">
        <v>14</v>
      </c>
      <c r="M1820" t="s">
        <v>15</v>
      </c>
      <c r="N1820" t="s">
        <v>16</v>
      </c>
    </row>
    <row r="1821" spans="1:14" x14ac:dyDescent="0.3">
      <c r="A1821">
        <v>1820</v>
      </c>
      <c r="B1821">
        <v>803</v>
      </c>
      <c r="C1821">
        <f>1/COUNTIF(pizza_sales[[#All],[order_id]],pizza_sales[[#This Row],[order_id]])</f>
        <v>1</v>
      </c>
      <c r="D1821" t="s">
        <v>36</v>
      </c>
      <c r="E1821">
        <v>1</v>
      </c>
      <c r="F1821" s="1">
        <v>42018</v>
      </c>
      <c r="G1821" s="1" t="str">
        <f>TEXT(pizza_sales[[#This Row],[order_date]],"dddd")</f>
        <v>Wednesday</v>
      </c>
      <c r="H1821" s="2">
        <v>36526.56795138889</v>
      </c>
      <c r="I1821">
        <v>16.5</v>
      </c>
      <c r="J1821">
        <v>16.5</v>
      </c>
      <c r="K1821" t="s">
        <v>13</v>
      </c>
      <c r="L1821" t="s">
        <v>26</v>
      </c>
      <c r="M1821" t="s">
        <v>27</v>
      </c>
      <c r="N1821" t="s">
        <v>28</v>
      </c>
    </row>
    <row r="1822" spans="1:14" x14ac:dyDescent="0.3">
      <c r="A1822">
        <v>1821</v>
      </c>
      <c r="B1822">
        <v>804</v>
      </c>
      <c r="C1822">
        <f>1/COUNTIF(pizza_sales[[#All],[order_id]],pizza_sales[[#This Row],[order_id]])</f>
        <v>1</v>
      </c>
      <c r="D1822" t="s">
        <v>120</v>
      </c>
      <c r="E1822">
        <v>1</v>
      </c>
      <c r="F1822" s="1">
        <v>42018</v>
      </c>
      <c r="G1822" s="1" t="str">
        <f>TEXT(pizza_sales[[#This Row],[order_date]],"dddd")</f>
        <v>Wednesday</v>
      </c>
      <c r="H1822" s="2">
        <v>36526.570844907408</v>
      </c>
      <c r="I1822">
        <v>12.5</v>
      </c>
      <c r="J1822">
        <v>12.5</v>
      </c>
      <c r="K1822" t="s">
        <v>41</v>
      </c>
      <c r="L1822" t="s">
        <v>26</v>
      </c>
      <c r="M1822" t="s">
        <v>38</v>
      </c>
      <c r="N1822" t="s">
        <v>39</v>
      </c>
    </row>
    <row r="1823" spans="1:14" x14ac:dyDescent="0.3">
      <c r="A1823">
        <v>1822</v>
      </c>
      <c r="B1823">
        <v>805</v>
      </c>
      <c r="C1823">
        <f>1/COUNTIF(pizza_sales[[#All],[order_id]],pizza_sales[[#This Row],[order_id]])</f>
        <v>0.5</v>
      </c>
      <c r="D1823" t="s">
        <v>84</v>
      </c>
      <c r="E1823">
        <v>1</v>
      </c>
      <c r="F1823" s="1">
        <v>42018</v>
      </c>
      <c r="G1823" s="1" t="str">
        <f>TEXT(pizza_sales[[#This Row],[order_date]],"dddd")</f>
        <v>Wednesday</v>
      </c>
      <c r="H1823" s="2">
        <v>36526.588796296295</v>
      </c>
      <c r="I1823">
        <v>12</v>
      </c>
      <c r="J1823">
        <v>12</v>
      </c>
      <c r="K1823" t="s">
        <v>41</v>
      </c>
      <c r="L1823" t="s">
        <v>14</v>
      </c>
      <c r="M1823" t="s">
        <v>85</v>
      </c>
      <c r="N1823" t="s">
        <v>86</v>
      </c>
    </row>
    <row r="1824" spans="1:14" x14ac:dyDescent="0.3">
      <c r="A1824">
        <v>1823</v>
      </c>
      <c r="B1824">
        <v>805</v>
      </c>
      <c r="C1824">
        <f>1/COUNTIF(pizza_sales[[#All],[order_id]],pizza_sales[[#This Row],[order_id]])</f>
        <v>0.5</v>
      </c>
      <c r="D1824" t="s">
        <v>99</v>
      </c>
      <c r="E1824">
        <v>1</v>
      </c>
      <c r="F1824" s="1">
        <v>42018</v>
      </c>
      <c r="G1824" s="1" t="str">
        <f>TEXT(pizza_sales[[#This Row],[order_date]],"dddd")</f>
        <v>Wednesday</v>
      </c>
      <c r="H1824" s="2">
        <v>36526.588796296295</v>
      </c>
      <c r="I1824">
        <v>14.75</v>
      </c>
      <c r="J1824">
        <v>14.75</v>
      </c>
      <c r="K1824" t="s">
        <v>13</v>
      </c>
      <c r="L1824" t="s">
        <v>22</v>
      </c>
      <c r="M1824" t="s">
        <v>91</v>
      </c>
      <c r="N1824" t="s">
        <v>92</v>
      </c>
    </row>
    <row r="1825" spans="1:14" x14ac:dyDescent="0.3">
      <c r="A1825">
        <v>1824</v>
      </c>
      <c r="B1825">
        <v>806</v>
      </c>
      <c r="C1825">
        <f>1/COUNTIF(pizza_sales[[#All],[order_id]],pizza_sales[[#This Row],[order_id]])</f>
        <v>1</v>
      </c>
      <c r="D1825" t="s">
        <v>72</v>
      </c>
      <c r="E1825">
        <v>1</v>
      </c>
      <c r="F1825" s="1">
        <v>42018</v>
      </c>
      <c r="G1825" s="1" t="str">
        <f>TEXT(pizza_sales[[#This Row],[order_date]],"dddd")</f>
        <v>Wednesday</v>
      </c>
      <c r="H1825" s="2">
        <v>36526.591921296298</v>
      </c>
      <c r="I1825">
        <v>20.75</v>
      </c>
      <c r="J1825">
        <v>20.75</v>
      </c>
      <c r="K1825" t="s">
        <v>21</v>
      </c>
      <c r="L1825" t="s">
        <v>33</v>
      </c>
      <c r="M1825" t="s">
        <v>42</v>
      </c>
      <c r="N1825" t="s">
        <v>43</v>
      </c>
    </row>
    <row r="1826" spans="1:14" x14ac:dyDescent="0.3">
      <c r="A1826">
        <v>1825</v>
      </c>
      <c r="B1826">
        <v>807</v>
      </c>
      <c r="C1826">
        <f>1/COUNTIF(pizza_sales[[#All],[order_id]],pizza_sales[[#This Row],[order_id]])</f>
        <v>1</v>
      </c>
      <c r="D1826" t="s">
        <v>84</v>
      </c>
      <c r="E1826">
        <v>1</v>
      </c>
      <c r="F1826" s="1">
        <v>42018</v>
      </c>
      <c r="G1826" s="1" t="str">
        <f>TEXT(pizza_sales[[#This Row],[order_date]],"dddd")</f>
        <v>Wednesday</v>
      </c>
      <c r="H1826" s="2">
        <v>36526.594085648147</v>
      </c>
      <c r="I1826">
        <v>12</v>
      </c>
      <c r="J1826">
        <v>12</v>
      </c>
      <c r="K1826" t="s">
        <v>41</v>
      </c>
      <c r="L1826" t="s">
        <v>14</v>
      </c>
      <c r="M1826" t="s">
        <v>85</v>
      </c>
      <c r="N1826" t="s">
        <v>86</v>
      </c>
    </row>
    <row r="1827" spans="1:14" x14ac:dyDescent="0.3">
      <c r="A1827">
        <v>1826</v>
      </c>
      <c r="B1827">
        <v>808</v>
      </c>
      <c r="C1827">
        <f>1/COUNTIF(pizza_sales[[#All],[order_id]],pizza_sales[[#This Row],[order_id]])</f>
        <v>1</v>
      </c>
      <c r="D1827" t="s">
        <v>135</v>
      </c>
      <c r="E1827">
        <v>2</v>
      </c>
      <c r="F1827" s="1">
        <v>42018</v>
      </c>
      <c r="G1827" s="1" t="str">
        <f>TEXT(pizza_sales[[#This Row],[order_date]],"dddd")</f>
        <v>Wednesday</v>
      </c>
      <c r="H1827" s="2">
        <v>36526.59412037037</v>
      </c>
      <c r="I1827">
        <v>20.75</v>
      </c>
      <c r="J1827">
        <v>41.5</v>
      </c>
      <c r="K1827" t="s">
        <v>21</v>
      </c>
      <c r="L1827" t="s">
        <v>26</v>
      </c>
      <c r="M1827" t="s">
        <v>107</v>
      </c>
      <c r="N1827" t="s">
        <v>108</v>
      </c>
    </row>
    <row r="1828" spans="1:14" x14ac:dyDescent="0.3">
      <c r="A1828">
        <v>1827</v>
      </c>
      <c r="B1828">
        <v>809</v>
      </c>
      <c r="C1828">
        <f>1/COUNTIF(pizza_sales[[#All],[order_id]],pizza_sales[[#This Row],[order_id]])</f>
        <v>1</v>
      </c>
      <c r="D1828" t="s">
        <v>132</v>
      </c>
      <c r="E1828">
        <v>1</v>
      </c>
      <c r="F1828" s="1">
        <v>42018</v>
      </c>
      <c r="G1828" s="1" t="str">
        <f>TEXT(pizza_sales[[#This Row],[order_date]],"dddd")</f>
        <v>Wednesday</v>
      </c>
      <c r="H1828" s="2">
        <v>36526.601585648146</v>
      </c>
      <c r="I1828">
        <v>10.5</v>
      </c>
      <c r="J1828">
        <v>10.5</v>
      </c>
      <c r="K1828" t="s">
        <v>41</v>
      </c>
      <c r="L1828" t="s">
        <v>14</v>
      </c>
      <c r="M1828" t="s">
        <v>15</v>
      </c>
      <c r="N1828" t="s">
        <v>16</v>
      </c>
    </row>
    <row r="1829" spans="1:14" x14ac:dyDescent="0.3">
      <c r="A1829">
        <v>1828</v>
      </c>
      <c r="B1829">
        <v>810</v>
      </c>
      <c r="C1829">
        <f>1/COUNTIF(pizza_sales[[#All],[order_id]],pizza_sales[[#This Row],[order_id]])</f>
        <v>1</v>
      </c>
      <c r="D1829" t="s">
        <v>159</v>
      </c>
      <c r="E1829">
        <v>1</v>
      </c>
      <c r="F1829" s="1">
        <v>42018</v>
      </c>
      <c r="G1829" s="1" t="str">
        <f>TEXT(pizza_sales[[#This Row],[order_date]],"dddd")</f>
        <v>Wednesday</v>
      </c>
      <c r="H1829" s="2">
        <v>36526.617013888892</v>
      </c>
      <c r="I1829">
        <v>16.75</v>
      </c>
      <c r="J1829">
        <v>16.75</v>
      </c>
      <c r="K1829" t="s">
        <v>13</v>
      </c>
      <c r="L1829" t="s">
        <v>22</v>
      </c>
      <c r="M1829" t="s">
        <v>101</v>
      </c>
      <c r="N1829" t="s">
        <v>102</v>
      </c>
    </row>
    <row r="1830" spans="1:14" x14ac:dyDescent="0.3">
      <c r="A1830">
        <v>1829</v>
      </c>
      <c r="B1830">
        <v>811</v>
      </c>
      <c r="C1830">
        <f>1/COUNTIF(pizza_sales[[#All],[order_id]],pizza_sales[[#This Row],[order_id]])</f>
        <v>1</v>
      </c>
      <c r="D1830" t="s">
        <v>154</v>
      </c>
      <c r="E1830">
        <v>1</v>
      </c>
      <c r="F1830" s="1">
        <v>42018</v>
      </c>
      <c r="G1830" s="1" t="str">
        <f>TEXT(pizza_sales[[#This Row],[order_date]],"dddd")</f>
        <v>Wednesday</v>
      </c>
      <c r="H1830" s="2">
        <v>36526.617314814815</v>
      </c>
      <c r="I1830">
        <v>16</v>
      </c>
      <c r="J1830">
        <v>16</v>
      </c>
      <c r="K1830" t="s">
        <v>13</v>
      </c>
      <c r="L1830" t="s">
        <v>22</v>
      </c>
      <c r="M1830" t="s">
        <v>66</v>
      </c>
      <c r="N1830" t="s">
        <v>67</v>
      </c>
    </row>
    <row r="1831" spans="1:14" x14ac:dyDescent="0.3">
      <c r="A1831">
        <v>1830</v>
      </c>
      <c r="B1831">
        <v>812</v>
      </c>
      <c r="C1831">
        <f>1/COUNTIF(pizza_sales[[#All],[order_id]],pizza_sales[[#This Row],[order_id]])</f>
        <v>0.5</v>
      </c>
      <c r="D1831" t="s">
        <v>169</v>
      </c>
      <c r="E1831">
        <v>1</v>
      </c>
      <c r="F1831" s="1">
        <v>42018</v>
      </c>
      <c r="G1831" s="1" t="str">
        <f>TEXT(pizza_sales[[#This Row],[order_date]],"dddd")</f>
        <v>Wednesday</v>
      </c>
      <c r="H1831" s="2">
        <v>36526.65121527778</v>
      </c>
      <c r="I1831">
        <v>12.25</v>
      </c>
      <c r="J1831">
        <v>12.25</v>
      </c>
      <c r="K1831" t="s">
        <v>41</v>
      </c>
      <c r="L1831" t="s">
        <v>26</v>
      </c>
      <c r="M1831" t="s">
        <v>97</v>
      </c>
      <c r="N1831" t="s">
        <v>98</v>
      </c>
    </row>
    <row r="1832" spans="1:14" x14ac:dyDescent="0.3">
      <c r="A1832">
        <v>1831</v>
      </c>
      <c r="B1832">
        <v>812</v>
      </c>
      <c r="C1832">
        <f>1/COUNTIF(pizza_sales[[#All],[order_id]],pizza_sales[[#This Row],[order_id]])</f>
        <v>0.5</v>
      </c>
      <c r="D1832" t="s">
        <v>148</v>
      </c>
      <c r="E1832">
        <v>1</v>
      </c>
      <c r="F1832" s="1">
        <v>42018</v>
      </c>
      <c r="G1832" s="1" t="str">
        <f>TEXT(pizza_sales[[#This Row],[order_date]],"dddd")</f>
        <v>Wednesday</v>
      </c>
      <c r="H1832" s="2">
        <v>36526.65121527778</v>
      </c>
      <c r="I1832">
        <v>14.5</v>
      </c>
      <c r="J1832">
        <v>14.5</v>
      </c>
      <c r="K1832" t="s">
        <v>13</v>
      </c>
      <c r="L1832" t="s">
        <v>14</v>
      </c>
      <c r="M1832" t="s">
        <v>130</v>
      </c>
      <c r="N1832" t="s">
        <v>131</v>
      </c>
    </row>
    <row r="1833" spans="1:14" x14ac:dyDescent="0.3">
      <c r="A1833">
        <v>1832</v>
      </c>
      <c r="B1833">
        <v>813</v>
      </c>
      <c r="C1833">
        <f>1/COUNTIF(pizza_sales[[#All],[order_id]],pizza_sales[[#This Row],[order_id]])</f>
        <v>0.5</v>
      </c>
      <c r="D1833" t="s">
        <v>80</v>
      </c>
      <c r="E1833">
        <v>1</v>
      </c>
      <c r="F1833" s="1">
        <v>42018</v>
      </c>
      <c r="G1833" s="1" t="str">
        <f>TEXT(pizza_sales[[#This Row],[order_date]],"dddd")</f>
        <v>Wednesday</v>
      </c>
      <c r="H1833" s="2">
        <v>36526.673252314817</v>
      </c>
      <c r="I1833">
        <v>12.75</v>
      </c>
      <c r="J1833">
        <v>12.75</v>
      </c>
      <c r="K1833" t="s">
        <v>41</v>
      </c>
      <c r="L1833" t="s">
        <v>33</v>
      </c>
      <c r="M1833" t="s">
        <v>74</v>
      </c>
      <c r="N1833" t="s">
        <v>75</v>
      </c>
    </row>
    <row r="1834" spans="1:14" x14ac:dyDescent="0.3">
      <c r="A1834">
        <v>1833</v>
      </c>
      <c r="B1834">
        <v>813</v>
      </c>
      <c r="C1834">
        <f>1/COUNTIF(pizza_sales[[#All],[order_id]],pizza_sales[[#This Row],[order_id]])</f>
        <v>0.5</v>
      </c>
      <c r="D1834" t="s">
        <v>69</v>
      </c>
      <c r="E1834">
        <v>1</v>
      </c>
      <c r="F1834" s="1">
        <v>42018</v>
      </c>
      <c r="G1834" s="1" t="str">
        <f>TEXT(pizza_sales[[#This Row],[order_date]],"dddd")</f>
        <v>Wednesday</v>
      </c>
      <c r="H1834" s="2">
        <v>36526.673252314817</v>
      </c>
      <c r="I1834">
        <v>20.75</v>
      </c>
      <c r="J1834">
        <v>20.75</v>
      </c>
      <c r="K1834" t="s">
        <v>21</v>
      </c>
      <c r="L1834" t="s">
        <v>33</v>
      </c>
      <c r="M1834" t="s">
        <v>70</v>
      </c>
      <c r="N1834" t="s">
        <v>71</v>
      </c>
    </row>
    <row r="1835" spans="1:14" x14ac:dyDescent="0.3">
      <c r="A1835">
        <v>1834</v>
      </c>
      <c r="B1835">
        <v>814</v>
      </c>
      <c r="C1835">
        <f>1/COUNTIF(pizza_sales[[#All],[order_id]],pizza_sales[[#This Row],[order_id]])</f>
        <v>0.5</v>
      </c>
      <c r="D1835" t="s">
        <v>50</v>
      </c>
      <c r="E1835">
        <v>1</v>
      </c>
      <c r="F1835" s="1">
        <v>42018</v>
      </c>
      <c r="G1835" s="1" t="str">
        <f>TEXT(pizza_sales[[#This Row],[order_date]],"dddd")</f>
        <v>Wednesday</v>
      </c>
      <c r="H1835" s="2">
        <v>36526.681516203702</v>
      </c>
      <c r="I1835">
        <v>12</v>
      </c>
      <c r="J1835">
        <v>12</v>
      </c>
      <c r="K1835" t="s">
        <v>41</v>
      </c>
      <c r="L1835" t="s">
        <v>14</v>
      </c>
      <c r="M1835" t="s">
        <v>18</v>
      </c>
      <c r="N1835" t="s">
        <v>19</v>
      </c>
    </row>
    <row r="1836" spans="1:14" x14ac:dyDescent="0.3">
      <c r="A1836">
        <v>1835</v>
      </c>
      <c r="B1836">
        <v>814</v>
      </c>
      <c r="C1836">
        <f>1/COUNTIF(pizza_sales[[#All],[order_id]],pizza_sales[[#This Row],[order_id]])</f>
        <v>0.5</v>
      </c>
      <c r="D1836" t="s">
        <v>122</v>
      </c>
      <c r="E1836">
        <v>1</v>
      </c>
      <c r="F1836" s="1">
        <v>42018</v>
      </c>
      <c r="G1836" s="1" t="str">
        <f>TEXT(pizza_sales[[#This Row],[order_date]],"dddd")</f>
        <v>Wednesday</v>
      </c>
      <c r="H1836" s="2">
        <v>36526.681516203702</v>
      </c>
      <c r="I1836">
        <v>20.25</v>
      </c>
      <c r="J1836">
        <v>20.25</v>
      </c>
      <c r="K1836" t="s">
        <v>21</v>
      </c>
      <c r="L1836" t="s">
        <v>22</v>
      </c>
      <c r="M1836" t="s">
        <v>66</v>
      </c>
      <c r="N1836" t="s">
        <v>67</v>
      </c>
    </row>
    <row r="1837" spans="1:14" x14ac:dyDescent="0.3">
      <c r="A1837">
        <v>1836</v>
      </c>
      <c r="B1837">
        <v>815</v>
      </c>
      <c r="C1837">
        <f>1/COUNTIF(pizza_sales[[#All],[order_id]],pizza_sales[[#This Row],[order_id]])</f>
        <v>1</v>
      </c>
      <c r="D1837" t="s">
        <v>112</v>
      </c>
      <c r="E1837">
        <v>1</v>
      </c>
      <c r="F1837" s="1">
        <v>42018</v>
      </c>
      <c r="G1837" s="1" t="str">
        <f>TEXT(pizza_sales[[#This Row],[order_date]],"dddd")</f>
        <v>Wednesday</v>
      </c>
      <c r="H1837" s="2">
        <v>36526.693055555559</v>
      </c>
      <c r="I1837">
        <v>20.5</v>
      </c>
      <c r="J1837">
        <v>20.5</v>
      </c>
      <c r="K1837" t="s">
        <v>21</v>
      </c>
      <c r="L1837" t="s">
        <v>14</v>
      </c>
      <c r="M1837" t="s">
        <v>94</v>
      </c>
      <c r="N1837" t="s">
        <v>95</v>
      </c>
    </row>
    <row r="1838" spans="1:14" x14ac:dyDescent="0.3">
      <c r="A1838">
        <v>1837</v>
      </c>
      <c r="B1838">
        <v>816</v>
      </c>
      <c r="C1838">
        <f>1/COUNTIF(pizza_sales[[#All],[order_id]],pizza_sales[[#This Row],[order_id]])</f>
        <v>0.5</v>
      </c>
      <c r="D1838" t="s">
        <v>69</v>
      </c>
      <c r="E1838">
        <v>1</v>
      </c>
      <c r="F1838" s="1">
        <v>42018</v>
      </c>
      <c r="G1838" s="1" t="str">
        <f>TEXT(pizza_sales[[#This Row],[order_date]],"dddd")</f>
        <v>Wednesday</v>
      </c>
      <c r="H1838" s="2">
        <v>36526.7112037037</v>
      </c>
      <c r="I1838">
        <v>20.75</v>
      </c>
      <c r="J1838">
        <v>20.75</v>
      </c>
      <c r="K1838" t="s">
        <v>21</v>
      </c>
      <c r="L1838" t="s">
        <v>33</v>
      </c>
      <c r="M1838" t="s">
        <v>70</v>
      </c>
      <c r="N1838" t="s">
        <v>71</v>
      </c>
    </row>
    <row r="1839" spans="1:14" x14ac:dyDescent="0.3">
      <c r="A1839">
        <v>1838</v>
      </c>
      <c r="B1839">
        <v>816</v>
      </c>
      <c r="C1839">
        <f>1/COUNTIF(pizza_sales[[#All],[order_id]],pizza_sales[[#This Row],[order_id]])</f>
        <v>0.5</v>
      </c>
      <c r="D1839" t="s">
        <v>122</v>
      </c>
      <c r="E1839">
        <v>1</v>
      </c>
      <c r="F1839" s="1">
        <v>42018</v>
      </c>
      <c r="G1839" s="1" t="str">
        <f>TEXT(pizza_sales[[#This Row],[order_date]],"dddd")</f>
        <v>Wednesday</v>
      </c>
      <c r="H1839" s="2">
        <v>36526.7112037037</v>
      </c>
      <c r="I1839">
        <v>20.25</v>
      </c>
      <c r="J1839">
        <v>20.25</v>
      </c>
      <c r="K1839" t="s">
        <v>21</v>
      </c>
      <c r="L1839" t="s">
        <v>22</v>
      </c>
      <c r="M1839" t="s">
        <v>66</v>
      </c>
      <c r="N1839" t="s">
        <v>67</v>
      </c>
    </row>
    <row r="1840" spans="1:14" x14ac:dyDescent="0.3">
      <c r="A1840">
        <v>1839</v>
      </c>
      <c r="B1840">
        <v>817</v>
      </c>
      <c r="C1840">
        <f>1/COUNTIF(pizza_sales[[#All],[order_id]],pizza_sales[[#This Row],[order_id]])</f>
        <v>0.25</v>
      </c>
      <c r="D1840" t="s">
        <v>50</v>
      </c>
      <c r="E1840">
        <v>1</v>
      </c>
      <c r="F1840" s="1">
        <v>42018</v>
      </c>
      <c r="G1840" s="1" t="str">
        <f>TEXT(pizza_sales[[#This Row],[order_date]],"dddd")</f>
        <v>Wednesday</v>
      </c>
      <c r="H1840" s="2">
        <v>36526.715717592589</v>
      </c>
      <c r="I1840">
        <v>12</v>
      </c>
      <c r="J1840">
        <v>12</v>
      </c>
      <c r="K1840" t="s">
        <v>41</v>
      </c>
      <c r="L1840" t="s">
        <v>14</v>
      </c>
      <c r="M1840" t="s">
        <v>18</v>
      </c>
      <c r="N1840" t="s">
        <v>19</v>
      </c>
    </row>
    <row r="1841" spans="1:14" x14ac:dyDescent="0.3">
      <c r="A1841">
        <v>1840</v>
      </c>
      <c r="B1841">
        <v>817</v>
      </c>
      <c r="C1841">
        <f>1/COUNTIF(pizza_sales[[#All],[order_id]],pizza_sales[[#This Row],[order_id]])</f>
        <v>0.25</v>
      </c>
      <c r="D1841" t="s">
        <v>119</v>
      </c>
      <c r="E1841">
        <v>1</v>
      </c>
      <c r="F1841" s="1">
        <v>42018</v>
      </c>
      <c r="G1841" s="1" t="str">
        <f>TEXT(pizza_sales[[#This Row],[order_date]],"dddd")</f>
        <v>Wednesday</v>
      </c>
      <c r="H1841" s="2">
        <v>36526.715717592589</v>
      </c>
      <c r="I1841">
        <v>12.5</v>
      </c>
      <c r="J1841">
        <v>12.5</v>
      </c>
      <c r="K1841" t="s">
        <v>13</v>
      </c>
      <c r="L1841" t="s">
        <v>14</v>
      </c>
      <c r="M1841" t="s">
        <v>78</v>
      </c>
      <c r="N1841" t="s">
        <v>79</v>
      </c>
    </row>
    <row r="1842" spans="1:14" x14ac:dyDescent="0.3">
      <c r="A1842">
        <v>1841</v>
      </c>
      <c r="B1842">
        <v>817</v>
      </c>
      <c r="C1842">
        <f>1/COUNTIF(pizza_sales[[#All],[order_id]],pizza_sales[[#This Row],[order_id]])</f>
        <v>0.25</v>
      </c>
      <c r="D1842" t="s">
        <v>69</v>
      </c>
      <c r="E1842">
        <v>1</v>
      </c>
      <c r="F1842" s="1">
        <v>42018</v>
      </c>
      <c r="G1842" s="1" t="str">
        <f>TEXT(pizza_sales[[#This Row],[order_date]],"dddd")</f>
        <v>Wednesday</v>
      </c>
      <c r="H1842" s="2">
        <v>36526.715717592589</v>
      </c>
      <c r="I1842">
        <v>20.75</v>
      </c>
      <c r="J1842">
        <v>20.75</v>
      </c>
      <c r="K1842" t="s">
        <v>21</v>
      </c>
      <c r="L1842" t="s">
        <v>33</v>
      </c>
      <c r="M1842" t="s">
        <v>70</v>
      </c>
      <c r="N1842" t="s">
        <v>71</v>
      </c>
    </row>
    <row r="1843" spans="1:14" x14ac:dyDescent="0.3">
      <c r="A1843">
        <v>1842</v>
      </c>
      <c r="B1843">
        <v>817</v>
      </c>
      <c r="C1843">
        <f>1/COUNTIF(pizza_sales[[#All],[order_id]],pizza_sales[[#This Row],[order_id]])</f>
        <v>0.25</v>
      </c>
      <c r="D1843" t="s">
        <v>32</v>
      </c>
      <c r="E1843">
        <v>1</v>
      </c>
      <c r="F1843" s="1">
        <v>42018</v>
      </c>
      <c r="G1843" s="1" t="str">
        <f>TEXT(pizza_sales[[#This Row],[order_date]],"dddd")</f>
        <v>Wednesday</v>
      </c>
      <c r="H1843" s="2">
        <v>36526.715717592589</v>
      </c>
      <c r="I1843">
        <v>20.75</v>
      </c>
      <c r="J1843">
        <v>20.75</v>
      </c>
      <c r="K1843" t="s">
        <v>21</v>
      </c>
      <c r="L1843" t="s">
        <v>33</v>
      </c>
      <c r="M1843" t="s">
        <v>34</v>
      </c>
      <c r="N1843" t="s">
        <v>35</v>
      </c>
    </row>
    <row r="1844" spans="1:14" x14ac:dyDescent="0.3">
      <c r="A1844">
        <v>1843</v>
      </c>
      <c r="B1844">
        <v>818</v>
      </c>
      <c r="C1844">
        <f>1/COUNTIF(pizza_sales[[#All],[order_id]],pizza_sales[[#This Row],[order_id]])</f>
        <v>0.33333333333333331</v>
      </c>
      <c r="D1844" t="s">
        <v>143</v>
      </c>
      <c r="E1844">
        <v>1</v>
      </c>
      <c r="F1844" s="1">
        <v>42018</v>
      </c>
      <c r="G1844" s="1" t="str">
        <f>TEXT(pizza_sales[[#This Row],[order_date]],"dddd")</f>
        <v>Wednesday</v>
      </c>
      <c r="H1844" s="2">
        <v>36526.719328703701</v>
      </c>
      <c r="I1844">
        <v>11</v>
      </c>
      <c r="J1844">
        <v>11</v>
      </c>
      <c r="K1844" t="s">
        <v>41</v>
      </c>
      <c r="L1844" t="s">
        <v>14</v>
      </c>
      <c r="M1844" t="s">
        <v>130</v>
      </c>
      <c r="N1844" t="s">
        <v>131</v>
      </c>
    </row>
    <row r="1845" spans="1:14" x14ac:dyDescent="0.3">
      <c r="A1845">
        <v>1844</v>
      </c>
      <c r="B1845">
        <v>818</v>
      </c>
      <c r="C1845">
        <f>1/COUNTIF(pizza_sales[[#All],[order_id]],pizza_sales[[#This Row],[order_id]])</f>
        <v>0.33333333333333331</v>
      </c>
      <c r="D1845" t="s">
        <v>113</v>
      </c>
      <c r="E1845">
        <v>1</v>
      </c>
      <c r="F1845" s="1">
        <v>42018</v>
      </c>
      <c r="G1845" s="1" t="str">
        <f>TEXT(pizza_sales[[#This Row],[order_date]],"dddd")</f>
        <v>Wednesday</v>
      </c>
      <c r="H1845" s="2">
        <v>36526.719328703701</v>
      </c>
      <c r="I1845">
        <v>20.25</v>
      </c>
      <c r="J1845">
        <v>20.25</v>
      </c>
      <c r="K1845" t="s">
        <v>21</v>
      </c>
      <c r="L1845" t="s">
        <v>26</v>
      </c>
      <c r="M1845" t="s">
        <v>114</v>
      </c>
      <c r="N1845" t="s">
        <v>115</v>
      </c>
    </row>
    <row r="1846" spans="1:14" x14ac:dyDescent="0.3">
      <c r="A1846">
        <v>1845</v>
      </c>
      <c r="B1846">
        <v>818</v>
      </c>
      <c r="C1846">
        <f>1/COUNTIF(pizza_sales[[#All],[order_id]],pizza_sales[[#This Row],[order_id]])</f>
        <v>0.33333333333333331</v>
      </c>
      <c r="D1846" t="s">
        <v>149</v>
      </c>
      <c r="E1846">
        <v>1</v>
      </c>
      <c r="F1846" s="1">
        <v>42018</v>
      </c>
      <c r="G1846" s="1" t="str">
        <f>TEXT(pizza_sales[[#This Row],[order_date]],"dddd")</f>
        <v>Wednesday</v>
      </c>
      <c r="H1846" s="2">
        <v>36526.719328703701</v>
      </c>
      <c r="I1846">
        <v>12.25</v>
      </c>
      <c r="J1846">
        <v>12.25</v>
      </c>
      <c r="K1846" t="s">
        <v>41</v>
      </c>
      <c r="L1846" t="s">
        <v>26</v>
      </c>
      <c r="M1846" t="s">
        <v>114</v>
      </c>
      <c r="N1846" t="s">
        <v>115</v>
      </c>
    </row>
    <row r="1847" spans="1:14" x14ac:dyDescent="0.3">
      <c r="A1847">
        <v>1846</v>
      </c>
      <c r="B1847">
        <v>819</v>
      </c>
      <c r="C1847">
        <f>1/COUNTIF(pizza_sales[[#All],[order_id]],pizza_sales[[#This Row],[order_id]])</f>
        <v>0.5</v>
      </c>
      <c r="D1847" t="s">
        <v>118</v>
      </c>
      <c r="E1847">
        <v>1</v>
      </c>
      <c r="F1847" s="1">
        <v>42018</v>
      </c>
      <c r="G1847" s="1" t="str">
        <f>TEXT(pizza_sales[[#This Row],[order_date]],"dddd")</f>
        <v>Wednesday</v>
      </c>
      <c r="H1847" s="2">
        <v>36526.723368055558</v>
      </c>
      <c r="I1847">
        <v>16.75</v>
      </c>
      <c r="J1847">
        <v>16.75</v>
      </c>
      <c r="K1847" t="s">
        <v>13</v>
      </c>
      <c r="L1847" t="s">
        <v>33</v>
      </c>
      <c r="M1847" t="s">
        <v>42</v>
      </c>
      <c r="N1847" t="s">
        <v>43</v>
      </c>
    </row>
    <row r="1848" spans="1:14" x14ac:dyDescent="0.3">
      <c r="A1848">
        <v>1847</v>
      </c>
      <c r="B1848">
        <v>819</v>
      </c>
      <c r="C1848">
        <f>1/COUNTIF(pizza_sales[[#All],[order_id]],pizza_sales[[#This Row],[order_id]])</f>
        <v>0.5</v>
      </c>
      <c r="D1848" t="s">
        <v>149</v>
      </c>
      <c r="E1848">
        <v>1</v>
      </c>
      <c r="F1848" s="1">
        <v>42018</v>
      </c>
      <c r="G1848" s="1" t="str">
        <f>TEXT(pizza_sales[[#This Row],[order_date]],"dddd")</f>
        <v>Wednesday</v>
      </c>
      <c r="H1848" s="2">
        <v>36526.723368055558</v>
      </c>
      <c r="I1848">
        <v>12.25</v>
      </c>
      <c r="J1848">
        <v>12.25</v>
      </c>
      <c r="K1848" t="s">
        <v>41</v>
      </c>
      <c r="L1848" t="s">
        <v>26</v>
      </c>
      <c r="M1848" t="s">
        <v>114</v>
      </c>
      <c r="N1848" t="s">
        <v>115</v>
      </c>
    </row>
    <row r="1849" spans="1:14" x14ac:dyDescent="0.3">
      <c r="A1849">
        <v>1848</v>
      </c>
      <c r="B1849">
        <v>820</v>
      </c>
      <c r="C1849">
        <f>1/COUNTIF(pizza_sales[[#All],[order_id]],pizza_sales[[#This Row],[order_id]])</f>
        <v>0.5</v>
      </c>
      <c r="D1849" t="s">
        <v>69</v>
      </c>
      <c r="E1849">
        <v>1</v>
      </c>
      <c r="F1849" s="1">
        <v>42018</v>
      </c>
      <c r="G1849" s="1" t="str">
        <f>TEXT(pizza_sales[[#This Row],[order_date]],"dddd")</f>
        <v>Wednesday</v>
      </c>
      <c r="H1849" s="2">
        <v>36526.725104166668</v>
      </c>
      <c r="I1849">
        <v>20.75</v>
      </c>
      <c r="J1849">
        <v>20.75</v>
      </c>
      <c r="K1849" t="s">
        <v>21</v>
      </c>
      <c r="L1849" t="s">
        <v>33</v>
      </c>
      <c r="M1849" t="s">
        <v>70</v>
      </c>
      <c r="N1849" t="s">
        <v>71</v>
      </c>
    </row>
    <row r="1850" spans="1:14" x14ac:dyDescent="0.3">
      <c r="A1850">
        <v>1849</v>
      </c>
      <c r="B1850">
        <v>820</v>
      </c>
      <c r="C1850">
        <f>1/COUNTIF(pizza_sales[[#All],[order_id]],pizza_sales[[#This Row],[order_id]])</f>
        <v>0.5</v>
      </c>
      <c r="D1850" t="s">
        <v>152</v>
      </c>
      <c r="E1850">
        <v>1</v>
      </c>
      <c r="F1850" s="1">
        <v>42018</v>
      </c>
      <c r="G1850" s="1" t="str">
        <f>TEXT(pizza_sales[[#This Row],[order_date]],"dddd")</f>
        <v>Wednesday</v>
      </c>
      <c r="H1850" s="2">
        <v>36526.725104166668</v>
      </c>
      <c r="I1850">
        <v>20.75</v>
      </c>
      <c r="J1850">
        <v>20.75</v>
      </c>
      <c r="K1850" t="s">
        <v>21</v>
      </c>
      <c r="L1850" t="s">
        <v>26</v>
      </c>
      <c r="M1850" t="s">
        <v>48</v>
      </c>
      <c r="N1850" t="s">
        <v>49</v>
      </c>
    </row>
    <row r="1851" spans="1:14" x14ac:dyDescent="0.3">
      <c r="A1851">
        <v>1850</v>
      </c>
      <c r="B1851">
        <v>821</v>
      </c>
      <c r="C1851">
        <f>1/COUNTIF(pizza_sales[[#All],[order_id]],pizza_sales[[#This Row],[order_id]])</f>
        <v>1</v>
      </c>
      <c r="D1851" t="s">
        <v>20</v>
      </c>
      <c r="E1851">
        <v>1</v>
      </c>
      <c r="F1851" s="1">
        <v>42018</v>
      </c>
      <c r="G1851" s="1" t="str">
        <f>TEXT(pizza_sales[[#This Row],[order_date]],"dddd")</f>
        <v>Wednesday</v>
      </c>
      <c r="H1851" s="2">
        <v>36526.7343287037</v>
      </c>
      <c r="I1851">
        <v>18.5</v>
      </c>
      <c r="J1851">
        <v>18.5</v>
      </c>
      <c r="K1851" t="s">
        <v>21</v>
      </c>
      <c r="L1851" t="s">
        <v>22</v>
      </c>
      <c r="M1851" t="s">
        <v>23</v>
      </c>
      <c r="N1851" t="s">
        <v>24</v>
      </c>
    </row>
    <row r="1852" spans="1:14" x14ac:dyDescent="0.3">
      <c r="A1852">
        <v>1851</v>
      </c>
      <c r="B1852">
        <v>822</v>
      </c>
      <c r="C1852">
        <f>1/COUNTIF(pizza_sales[[#All],[order_id]],pizza_sales[[#This Row],[order_id]])</f>
        <v>1</v>
      </c>
      <c r="D1852" t="s">
        <v>140</v>
      </c>
      <c r="E1852">
        <v>1</v>
      </c>
      <c r="F1852" s="1">
        <v>42018</v>
      </c>
      <c r="G1852" s="1" t="str">
        <f>TEXT(pizza_sales[[#This Row],[order_date]],"dddd")</f>
        <v>Wednesday</v>
      </c>
      <c r="H1852" s="2">
        <v>36526.735335648147</v>
      </c>
      <c r="I1852">
        <v>25.5</v>
      </c>
      <c r="J1852">
        <v>25.5</v>
      </c>
      <c r="K1852" t="s">
        <v>141</v>
      </c>
      <c r="L1852" t="s">
        <v>14</v>
      </c>
      <c r="M1852" t="s">
        <v>45</v>
      </c>
      <c r="N1852" t="s">
        <v>46</v>
      </c>
    </row>
    <row r="1853" spans="1:14" x14ac:dyDescent="0.3">
      <c r="A1853">
        <v>1852</v>
      </c>
      <c r="B1853">
        <v>823</v>
      </c>
      <c r="C1853">
        <f>1/COUNTIF(pizza_sales[[#All],[order_id]],pizza_sales[[#This Row],[order_id]])</f>
        <v>0.33333333333333331</v>
      </c>
      <c r="D1853" t="s">
        <v>118</v>
      </c>
      <c r="E1853">
        <v>1</v>
      </c>
      <c r="F1853" s="1">
        <v>42018</v>
      </c>
      <c r="G1853" s="1" t="str">
        <f>TEXT(pizza_sales[[#This Row],[order_date]],"dddd")</f>
        <v>Wednesday</v>
      </c>
      <c r="H1853" s="2">
        <v>36526.737696759257</v>
      </c>
      <c r="I1853">
        <v>16.75</v>
      </c>
      <c r="J1853">
        <v>16.75</v>
      </c>
      <c r="K1853" t="s">
        <v>13</v>
      </c>
      <c r="L1853" t="s">
        <v>33</v>
      </c>
      <c r="M1853" t="s">
        <v>42</v>
      </c>
      <c r="N1853" t="s">
        <v>43</v>
      </c>
    </row>
    <row r="1854" spans="1:14" x14ac:dyDescent="0.3">
      <c r="A1854">
        <v>1853</v>
      </c>
      <c r="B1854">
        <v>823</v>
      </c>
      <c r="C1854">
        <f>1/COUNTIF(pizza_sales[[#All],[order_id]],pizza_sales[[#This Row],[order_id]])</f>
        <v>0.33333333333333331</v>
      </c>
      <c r="D1854" t="s">
        <v>76</v>
      </c>
      <c r="E1854">
        <v>1</v>
      </c>
      <c r="F1854" s="1">
        <v>42018</v>
      </c>
      <c r="G1854" s="1" t="str">
        <f>TEXT(pizza_sales[[#This Row],[order_date]],"dddd")</f>
        <v>Wednesday</v>
      </c>
      <c r="H1854" s="2">
        <v>36526.737696759257</v>
      </c>
      <c r="I1854">
        <v>16.75</v>
      </c>
      <c r="J1854">
        <v>16.75</v>
      </c>
      <c r="K1854" t="s">
        <v>13</v>
      </c>
      <c r="L1854" t="s">
        <v>33</v>
      </c>
      <c r="M1854" t="s">
        <v>74</v>
      </c>
      <c r="N1854" t="s">
        <v>75</v>
      </c>
    </row>
    <row r="1855" spans="1:14" x14ac:dyDescent="0.3">
      <c r="A1855">
        <v>1854</v>
      </c>
      <c r="B1855">
        <v>823</v>
      </c>
      <c r="C1855">
        <f>1/COUNTIF(pizza_sales[[#All],[order_id]],pizza_sales[[#This Row],[order_id]])</f>
        <v>0.33333333333333331</v>
      </c>
      <c r="D1855" t="s">
        <v>170</v>
      </c>
      <c r="E1855">
        <v>1</v>
      </c>
      <c r="F1855" s="1">
        <v>42018</v>
      </c>
      <c r="G1855" s="1" t="str">
        <f>TEXT(pizza_sales[[#This Row],[order_date]],"dddd")</f>
        <v>Wednesday</v>
      </c>
      <c r="H1855" s="2">
        <v>36526.737696759257</v>
      </c>
      <c r="I1855">
        <v>20.5</v>
      </c>
      <c r="J1855">
        <v>20.5</v>
      </c>
      <c r="K1855" t="s">
        <v>21</v>
      </c>
      <c r="L1855" t="s">
        <v>14</v>
      </c>
      <c r="M1855" t="s">
        <v>45</v>
      </c>
      <c r="N1855" t="s">
        <v>46</v>
      </c>
    </row>
    <row r="1856" spans="1:14" x14ac:dyDescent="0.3">
      <c r="A1856">
        <v>1855</v>
      </c>
      <c r="B1856">
        <v>824</v>
      </c>
      <c r="C1856">
        <f>1/COUNTIF(pizza_sales[[#All],[order_id]],pizza_sales[[#This Row],[order_id]])</f>
        <v>0.25</v>
      </c>
      <c r="D1856" t="s">
        <v>73</v>
      </c>
      <c r="E1856">
        <v>1</v>
      </c>
      <c r="F1856" s="1">
        <v>42018</v>
      </c>
      <c r="G1856" s="1" t="str">
        <f>TEXT(pizza_sales[[#This Row],[order_date]],"dddd")</f>
        <v>Wednesday</v>
      </c>
      <c r="H1856" s="2">
        <v>36526.745613425926</v>
      </c>
      <c r="I1856">
        <v>20.75</v>
      </c>
      <c r="J1856">
        <v>20.75</v>
      </c>
      <c r="K1856" t="s">
        <v>21</v>
      </c>
      <c r="L1856" t="s">
        <v>33</v>
      </c>
      <c r="M1856" t="s">
        <v>74</v>
      </c>
      <c r="N1856" t="s">
        <v>75</v>
      </c>
    </row>
    <row r="1857" spans="1:14" x14ac:dyDescent="0.3">
      <c r="A1857">
        <v>1856</v>
      </c>
      <c r="B1857">
        <v>824</v>
      </c>
      <c r="C1857">
        <f>1/COUNTIF(pizza_sales[[#All],[order_id]],pizza_sales[[#This Row],[order_id]])</f>
        <v>0.25</v>
      </c>
      <c r="D1857" t="s">
        <v>138</v>
      </c>
      <c r="E1857">
        <v>1</v>
      </c>
      <c r="F1857" s="1">
        <v>42018</v>
      </c>
      <c r="G1857" s="1" t="str">
        <f>TEXT(pizza_sales[[#This Row],[order_date]],"dddd")</f>
        <v>Wednesday</v>
      </c>
      <c r="H1857" s="2">
        <v>36526.745613425926</v>
      </c>
      <c r="I1857">
        <v>20.5</v>
      </c>
      <c r="J1857">
        <v>20.5</v>
      </c>
      <c r="K1857" t="s">
        <v>21</v>
      </c>
      <c r="L1857" t="s">
        <v>14</v>
      </c>
      <c r="M1857" t="s">
        <v>18</v>
      </c>
      <c r="N1857" t="s">
        <v>19</v>
      </c>
    </row>
    <row r="1858" spans="1:14" x14ac:dyDescent="0.3">
      <c r="A1858">
        <v>1857</v>
      </c>
      <c r="B1858">
        <v>824</v>
      </c>
      <c r="C1858">
        <f>1/COUNTIF(pizza_sales[[#All],[order_id]],pizza_sales[[#This Row],[order_id]])</f>
        <v>0.25</v>
      </c>
      <c r="D1858" t="s">
        <v>57</v>
      </c>
      <c r="E1858">
        <v>1</v>
      </c>
      <c r="F1858" s="1">
        <v>42018</v>
      </c>
      <c r="G1858" s="1" t="str">
        <f>TEXT(pizza_sales[[#This Row],[order_date]],"dddd")</f>
        <v>Wednesday</v>
      </c>
      <c r="H1858" s="2">
        <v>36526.745613425926</v>
      </c>
      <c r="I1858">
        <v>12.5</v>
      </c>
      <c r="J1858">
        <v>12.5</v>
      </c>
      <c r="K1858" t="s">
        <v>41</v>
      </c>
      <c r="L1858" t="s">
        <v>26</v>
      </c>
      <c r="M1858" t="s">
        <v>27</v>
      </c>
      <c r="N1858" t="s">
        <v>28</v>
      </c>
    </row>
    <row r="1859" spans="1:14" x14ac:dyDescent="0.3">
      <c r="A1859">
        <v>1858</v>
      </c>
      <c r="B1859">
        <v>824</v>
      </c>
      <c r="C1859">
        <f>1/COUNTIF(pizza_sales[[#All],[order_id]],pizza_sales[[#This Row],[order_id]])</f>
        <v>0.25</v>
      </c>
      <c r="D1859" t="s">
        <v>113</v>
      </c>
      <c r="E1859">
        <v>1</v>
      </c>
      <c r="F1859" s="1">
        <v>42018</v>
      </c>
      <c r="G1859" s="1" t="str">
        <f>TEXT(pizza_sales[[#This Row],[order_date]],"dddd")</f>
        <v>Wednesday</v>
      </c>
      <c r="H1859" s="2">
        <v>36526.745613425926</v>
      </c>
      <c r="I1859">
        <v>20.25</v>
      </c>
      <c r="J1859">
        <v>20.25</v>
      </c>
      <c r="K1859" t="s">
        <v>21</v>
      </c>
      <c r="L1859" t="s">
        <v>26</v>
      </c>
      <c r="M1859" t="s">
        <v>114</v>
      </c>
      <c r="N1859" t="s">
        <v>115</v>
      </c>
    </row>
    <row r="1860" spans="1:14" x14ac:dyDescent="0.3">
      <c r="A1860">
        <v>1859</v>
      </c>
      <c r="B1860">
        <v>825</v>
      </c>
      <c r="C1860">
        <f>1/COUNTIF(pizza_sales[[#All],[order_id]],pizza_sales[[#This Row],[order_id]])</f>
        <v>0.5</v>
      </c>
      <c r="D1860" t="s">
        <v>20</v>
      </c>
      <c r="E1860">
        <v>1</v>
      </c>
      <c r="F1860" s="1">
        <v>42018</v>
      </c>
      <c r="G1860" s="1" t="str">
        <f>TEXT(pizza_sales[[#This Row],[order_date]],"dddd")</f>
        <v>Wednesday</v>
      </c>
      <c r="H1860" s="2">
        <v>36526.754236111112</v>
      </c>
      <c r="I1860">
        <v>18.5</v>
      </c>
      <c r="J1860">
        <v>18.5</v>
      </c>
      <c r="K1860" t="s">
        <v>21</v>
      </c>
      <c r="L1860" t="s">
        <v>22</v>
      </c>
      <c r="M1860" t="s">
        <v>23</v>
      </c>
      <c r="N1860" t="s">
        <v>24</v>
      </c>
    </row>
    <row r="1861" spans="1:14" x14ac:dyDescent="0.3">
      <c r="A1861">
        <v>1860</v>
      </c>
      <c r="B1861">
        <v>825</v>
      </c>
      <c r="C1861">
        <f>1/COUNTIF(pizza_sales[[#All],[order_id]],pizza_sales[[#This Row],[order_id]])</f>
        <v>0.5</v>
      </c>
      <c r="D1861" t="s">
        <v>149</v>
      </c>
      <c r="E1861">
        <v>1</v>
      </c>
      <c r="F1861" s="1">
        <v>42018</v>
      </c>
      <c r="G1861" s="1" t="str">
        <f>TEXT(pizza_sales[[#This Row],[order_date]],"dddd")</f>
        <v>Wednesday</v>
      </c>
      <c r="H1861" s="2">
        <v>36526.754236111112</v>
      </c>
      <c r="I1861">
        <v>12.25</v>
      </c>
      <c r="J1861">
        <v>12.25</v>
      </c>
      <c r="K1861" t="s">
        <v>41</v>
      </c>
      <c r="L1861" t="s">
        <v>26</v>
      </c>
      <c r="M1861" t="s">
        <v>114</v>
      </c>
      <c r="N1861" t="s">
        <v>115</v>
      </c>
    </row>
    <row r="1862" spans="1:14" x14ac:dyDescent="0.3">
      <c r="A1862">
        <v>1861</v>
      </c>
      <c r="B1862">
        <v>826</v>
      </c>
      <c r="C1862">
        <f>1/COUNTIF(pizza_sales[[#All],[order_id]],pizza_sales[[#This Row],[order_id]])</f>
        <v>0.33333333333333331</v>
      </c>
      <c r="D1862" t="s">
        <v>81</v>
      </c>
      <c r="E1862">
        <v>1</v>
      </c>
      <c r="F1862" s="1">
        <v>42018</v>
      </c>
      <c r="G1862" s="1" t="str">
        <f>TEXT(pizza_sales[[#This Row],[order_date]],"dddd")</f>
        <v>Wednesday</v>
      </c>
      <c r="H1862" s="2">
        <v>36526.754328703704</v>
      </c>
      <c r="I1862">
        <v>20.75</v>
      </c>
      <c r="J1862">
        <v>20.75</v>
      </c>
      <c r="K1862" t="s">
        <v>21</v>
      </c>
      <c r="L1862" t="s">
        <v>33</v>
      </c>
      <c r="M1862" t="s">
        <v>82</v>
      </c>
      <c r="N1862" t="s">
        <v>83</v>
      </c>
    </row>
    <row r="1863" spans="1:14" x14ac:dyDescent="0.3">
      <c r="A1863">
        <v>1862</v>
      </c>
      <c r="B1863">
        <v>826</v>
      </c>
      <c r="C1863">
        <f>1/COUNTIF(pizza_sales[[#All],[order_id]],pizza_sales[[#This Row],[order_id]])</f>
        <v>0.33333333333333331</v>
      </c>
      <c r="D1863" t="s">
        <v>25</v>
      </c>
      <c r="E1863">
        <v>1</v>
      </c>
      <c r="F1863" s="1">
        <v>42018</v>
      </c>
      <c r="G1863" s="1" t="str">
        <f>TEXT(pizza_sales[[#This Row],[order_date]],"dddd")</f>
        <v>Wednesday</v>
      </c>
      <c r="H1863" s="2">
        <v>36526.754328703704</v>
      </c>
      <c r="I1863">
        <v>20.75</v>
      </c>
      <c r="J1863">
        <v>20.75</v>
      </c>
      <c r="K1863" t="s">
        <v>21</v>
      </c>
      <c r="L1863" t="s">
        <v>26</v>
      </c>
      <c r="M1863" t="s">
        <v>27</v>
      </c>
      <c r="N1863" t="s">
        <v>28</v>
      </c>
    </row>
    <row r="1864" spans="1:14" x14ac:dyDescent="0.3">
      <c r="A1864">
        <v>1863</v>
      </c>
      <c r="B1864">
        <v>826</v>
      </c>
      <c r="C1864">
        <f>1/COUNTIF(pizza_sales[[#All],[order_id]],pizza_sales[[#This Row],[order_id]])</f>
        <v>0.33333333333333331</v>
      </c>
      <c r="D1864" t="s">
        <v>77</v>
      </c>
      <c r="E1864">
        <v>1</v>
      </c>
      <c r="F1864" s="1">
        <v>42018</v>
      </c>
      <c r="G1864" s="1" t="str">
        <f>TEXT(pizza_sales[[#This Row],[order_date]],"dddd")</f>
        <v>Wednesday</v>
      </c>
      <c r="H1864" s="2">
        <v>36526.754328703704</v>
      </c>
      <c r="I1864">
        <v>15.25</v>
      </c>
      <c r="J1864">
        <v>15.25</v>
      </c>
      <c r="K1864" t="s">
        <v>21</v>
      </c>
      <c r="L1864" t="s">
        <v>14</v>
      </c>
      <c r="M1864" t="s">
        <v>78</v>
      </c>
      <c r="N1864" t="s">
        <v>79</v>
      </c>
    </row>
    <row r="1865" spans="1:14" x14ac:dyDescent="0.3">
      <c r="A1865">
        <v>1864</v>
      </c>
      <c r="B1865">
        <v>827</v>
      </c>
      <c r="C1865">
        <f>1/COUNTIF(pizza_sales[[#All],[order_id]],pizza_sales[[#This Row],[order_id]])</f>
        <v>0.5</v>
      </c>
      <c r="D1865" t="s">
        <v>134</v>
      </c>
      <c r="E1865">
        <v>1</v>
      </c>
      <c r="F1865" s="1">
        <v>42018</v>
      </c>
      <c r="G1865" s="1" t="str">
        <f>TEXT(pizza_sales[[#This Row],[order_date]],"dddd")</f>
        <v>Wednesday</v>
      </c>
      <c r="H1865" s="2">
        <v>36526.756805555553</v>
      </c>
      <c r="I1865">
        <v>16.75</v>
      </c>
      <c r="J1865">
        <v>16.75</v>
      </c>
      <c r="K1865" t="s">
        <v>13</v>
      </c>
      <c r="L1865" t="s">
        <v>33</v>
      </c>
      <c r="M1865" t="s">
        <v>124</v>
      </c>
      <c r="N1865" t="s">
        <v>125</v>
      </c>
    </row>
    <row r="1866" spans="1:14" x14ac:dyDescent="0.3">
      <c r="A1866">
        <v>1865</v>
      </c>
      <c r="B1866">
        <v>827</v>
      </c>
      <c r="C1866">
        <f>1/COUNTIF(pizza_sales[[#All],[order_id]],pizza_sales[[#This Row],[order_id]])</f>
        <v>0.5</v>
      </c>
      <c r="D1866" t="s">
        <v>112</v>
      </c>
      <c r="E1866">
        <v>1</v>
      </c>
      <c r="F1866" s="1">
        <v>42018</v>
      </c>
      <c r="G1866" s="1" t="str">
        <f>TEXT(pizza_sales[[#This Row],[order_date]],"dddd")</f>
        <v>Wednesday</v>
      </c>
      <c r="H1866" s="2">
        <v>36526.756805555553</v>
      </c>
      <c r="I1866">
        <v>20.5</v>
      </c>
      <c r="J1866">
        <v>20.5</v>
      </c>
      <c r="K1866" t="s">
        <v>21</v>
      </c>
      <c r="L1866" t="s">
        <v>14</v>
      </c>
      <c r="M1866" t="s">
        <v>94</v>
      </c>
      <c r="N1866" t="s">
        <v>95</v>
      </c>
    </row>
    <row r="1867" spans="1:14" x14ac:dyDescent="0.3">
      <c r="A1867">
        <v>1866</v>
      </c>
      <c r="B1867">
        <v>828</v>
      </c>
      <c r="C1867">
        <f>1/COUNTIF(pizza_sales[[#All],[order_id]],pizza_sales[[#This Row],[order_id]])</f>
        <v>0.5</v>
      </c>
      <c r="D1867" t="s">
        <v>81</v>
      </c>
      <c r="E1867">
        <v>1</v>
      </c>
      <c r="F1867" s="1">
        <v>42018</v>
      </c>
      <c r="G1867" s="1" t="str">
        <f>TEXT(pizza_sales[[#This Row],[order_date]],"dddd")</f>
        <v>Wednesday</v>
      </c>
      <c r="H1867" s="2">
        <v>36526.766608796293</v>
      </c>
      <c r="I1867">
        <v>20.75</v>
      </c>
      <c r="J1867">
        <v>20.75</v>
      </c>
      <c r="K1867" t="s">
        <v>21</v>
      </c>
      <c r="L1867" t="s">
        <v>33</v>
      </c>
      <c r="M1867" t="s">
        <v>82</v>
      </c>
      <c r="N1867" t="s">
        <v>83</v>
      </c>
    </row>
    <row r="1868" spans="1:14" x14ac:dyDescent="0.3">
      <c r="A1868">
        <v>1867</v>
      </c>
      <c r="B1868">
        <v>828</v>
      </c>
      <c r="C1868">
        <f>1/COUNTIF(pizza_sales[[#All],[order_id]],pizza_sales[[#This Row],[order_id]])</f>
        <v>0.5</v>
      </c>
      <c r="D1868" t="s">
        <v>135</v>
      </c>
      <c r="E1868">
        <v>1</v>
      </c>
      <c r="F1868" s="1">
        <v>42018</v>
      </c>
      <c r="G1868" s="1" t="str">
        <f>TEXT(pizza_sales[[#This Row],[order_date]],"dddd")</f>
        <v>Wednesday</v>
      </c>
      <c r="H1868" s="2">
        <v>36526.766608796293</v>
      </c>
      <c r="I1868">
        <v>20.75</v>
      </c>
      <c r="J1868">
        <v>20.75</v>
      </c>
      <c r="K1868" t="s">
        <v>21</v>
      </c>
      <c r="L1868" t="s">
        <v>26</v>
      </c>
      <c r="M1868" t="s">
        <v>107</v>
      </c>
      <c r="N1868" t="s">
        <v>108</v>
      </c>
    </row>
    <row r="1869" spans="1:14" x14ac:dyDescent="0.3">
      <c r="A1869">
        <v>1868</v>
      </c>
      <c r="B1869">
        <v>829</v>
      </c>
      <c r="C1869">
        <f>1/COUNTIF(pizza_sales[[#All],[order_id]],pizza_sales[[#This Row],[order_id]])</f>
        <v>0.25</v>
      </c>
      <c r="D1869" t="s">
        <v>163</v>
      </c>
      <c r="E1869">
        <v>1</v>
      </c>
      <c r="F1869" s="1">
        <v>42018</v>
      </c>
      <c r="G1869" s="1" t="str">
        <f>TEXT(pizza_sales[[#This Row],[order_date]],"dddd")</f>
        <v>Wednesday</v>
      </c>
      <c r="H1869" s="2">
        <v>36526.769236111111</v>
      </c>
      <c r="I1869">
        <v>16</v>
      </c>
      <c r="J1869">
        <v>16</v>
      </c>
      <c r="K1869" t="s">
        <v>13</v>
      </c>
      <c r="L1869" t="s">
        <v>14</v>
      </c>
      <c r="M1869" t="s">
        <v>94</v>
      </c>
      <c r="N1869" t="s">
        <v>95</v>
      </c>
    </row>
    <row r="1870" spans="1:14" x14ac:dyDescent="0.3">
      <c r="A1870">
        <v>1869</v>
      </c>
      <c r="B1870">
        <v>829</v>
      </c>
      <c r="C1870">
        <f>1/COUNTIF(pizza_sales[[#All],[order_id]],pizza_sales[[#This Row],[order_id]])</f>
        <v>0.25</v>
      </c>
      <c r="D1870" t="s">
        <v>133</v>
      </c>
      <c r="E1870">
        <v>1</v>
      </c>
      <c r="F1870" s="1">
        <v>42018</v>
      </c>
      <c r="G1870" s="1" t="str">
        <f>TEXT(pizza_sales[[#This Row],[order_date]],"dddd")</f>
        <v>Wednesday</v>
      </c>
      <c r="H1870" s="2">
        <v>36526.769236111111</v>
      </c>
      <c r="I1870">
        <v>16.5</v>
      </c>
      <c r="J1870">
        <v>16.5</v>
      </c>
      <c r="K1870" t="s">
        <v>13</v>
      </c>
      <c r="L1870" t="s">
        <v>26</v>
      </c>
      <c r="M1870" t="s">
        <v>107</v>
      </c>
      <c r="N1870" t="s">
        <v>108</v>
      </c>
    </row>
    <row r="1871" spans="1:14" x14ac:dyDescent="0.3">
      <c r="A1871">
        <v>1870</v>
      </c>
      <c r="B1871">
        <v>829</v>
      </c>
      <c r="C1871">
        <f>1/COUNTIF(pizza_sales[[#All],[order_id]],pizza_sales[[#This Row],[order_id]])</f>
        <v>0.25</v>
      </c>
      <c r="D1871" t="s">
        <v>150</v>
      </c>
      <c r="E1871">
        <v>1</v>
      </c>
      <c r="F1871" s="1">
        <v>42018</v>
      </c>
      <c r="G1871" s="1" t="str">
        <f>TEXT(pizza_sales[[#This Row],[order_date]],"dddd")</f>
        <v>Wednesday</v>
      </c>
      <c r="H1871" s="2">
        <v>36526.769236111111</v>
      </c>
      <c r="I1871">
        <v>12.5</v>
      </c>
      <c r="J1871">
        <v>12.5</v>
      </c>
      <c r="K1871" t="s">
        <v>41</v>
      </c>
      <c r="L1871" t="s">
        <v>26</v>
      </c>
      <c r="M1871" t="s">
        <v>60</v>
      </c>
      <c r="N1871" t="s">
        <v>61</v>
      </c>
    </row>
    <row r="1872" spans="1:14" x14ac:dyDescent="0.3">
      <c r="A1872">
        <v>1871</v>
      </c>
      <c r="B1872">
        <v>829</v>
      </c>
      <c r="C1872">
        <f>1/COUNTIF(pizza_sales[[#All],[order_id]],pizza_sales[[#This Row],[order_id]])</f>
        <v>0.25</v>
      </c>
      <c r="D1872" t="s">
        <v>47</v>
      </c>
      <c r="E1872">
        <v>1</v>
      </c>
      <c r="F1872" s="1">
        <v>42018</v>
      </c>
      <c r="G1872" s="1" t="str">
        <f>TEXT(pizza_sales[[#This Row],[order_date]],"dddd")</f>
        <v>Wednesday</v>
      </c>
      <c r="H1872" s="2">
        <v>36526.769236111111</v>
      </c>
      <c r="I1872">
        <v>12.5</v>
      </c>
      <c r="J1872">
        <v>12.5</v>
      </c>
      <c r="K1872" t="s">
        <v>41</v>
      </c>
      <c r="L1872" t="s">
        <v>26</v>
      </c>
      <c r="M1872" t="s">
        <v>48</v>
      </c>
      <c r="N1872" t="s">
        <v>49</v>
      </c>
    </row>
    <row r="1873" spans="1:14" x14ac:dyDescent="0.3">
      <c r="A1873">
        <v>1872</v>
      </c>
      <c r="B1873">
        <v>830</v>
      </c>
      <c r="C1873">
        <f>1/COUNTIF(pizza_sales[[#All],[order_id]],pizza_sales[[#This Row],[order_id]])</f>
        <v>0.33333333333333331</v>
      </c>
      <c r="D1873" t="s">
        <v>12</v>
      </c>
      <c r="E1873">
        <v>1</v>
      </c>
      <c r="F1873" s="1">
        <v>42018</v>
      </c>
      <c r="G1873" s="1" t="str">
        <f>TEXT(pizza_sales[[#This Row],[order_date]],"dddd")</f>
        <v>Wednesday</v>
      </c>
      <c r="H1873" s="2">
        <v>36526.776585648149</v>
      </c>
      <c r="I1873">
        <v>13.25</v>
      </c>
      <c r="J1873">
        <v>13.25</v>
      </c>
      <c r="K1873" t="s">
        <v>13</v>
      </c>
      <c r="L1873" t="s">
        <v>14</v>
      </c>
      <c r="M1873" t="s">
        <v>15</v>
      </c>
      <c r="N1873" t="s">
        <v>16</v>
      </c>
    </row>
    <row r="1874" spans="1:14" x14ac:dyDescent="0.3">
      <c r="A1874">
        <v>1873</v>
      </c>
      <c r="B1874">
        <v>830</v>
      </c>
      <c r="C1874">
        <f>1/COUNTIF(pizza_sales[[#All],[order_id]],pizza_sales[[#This Row],[order_id]])</f>
        <v>0.33333333333333331</v>
      </c>
      <c r="D1874" t="s">
        <v>36</v>
      </c>
      <c r="E1874">
        <v>1</v>
      </c>
      <c r="F1874" s="1">
        <v>42018</v>
      </c>
      <c r="G1874" s="1" t="str">
        <f>TEXT(pizza_sales[[#This Row],[order_date]],"dddd")</f>
        <v>Wednesday</v>
      </c>
      <c r="H1874" s="2">
        <v>36526.776585648149</v>
      </c>
      <c r="I1874">
        <v>16.5</v>
      </c>
      <c r="J1874">
        <v>16.5</v>
      </c>
      <c r="K1874" t="s">
        <v>13</v>
      </c>
      <c r="L1874" t="s">
        <v>26</v>
      </c>
      <c r="M1874" t="s">
        <v>27</v>
      </c>
      <c r="N1874" t="s">
        <v>28</v>
      </c>
    </row>
    <row r="1875" spans="1:14" x14ac:dyDescent="0.3">
      <c r="A1875">
        <v>1874</v>
      </c>
      <c r="B1875">
        <v>830</v>
      </c>
      <c r="C1875">
        <f>1/COUNTIF(pizza_sales[[#All],[order_id]],pizza_sales[[#This Row],[order_id]])</f>
        <v>0.33333333333333331</v>
      </c>
      <c r="D1875" t="s">
        <v>119</v>
      </c>
      <c r="E1875">
        <v>1</v>
      </c>
      <c r="F1875" s="1">
        <v>42018</v>
      </c>
      <c r="G1875" s="1" t="str">
        <f>TEXT(pizza_sales[[#This Row],[order_date]],"dddd")</f>
        <v>Wednesday</v>
      </c>
      <c r="H1875" s="2">
        <v>36526.776585648149</v>
      </c>
      <c r="I1875">
        <v>12.5</v>
      </c>
      <c r="J1875">
        <v>12.5</v>
      </c>
      <c r="K1875" t="s">
        <v>13</v>
      </c>
      <c r="L1875" t="s">
        <v>14</v>
      </c>
      <c r="M1875" t="s">
        <v>78</v>
      </c>
      <c r="N1875" t="s">
        <v>79</v>
      </c>
    </row>
    <row r="1876" spans="1:14" x14ac:dyDescent="0.3">
      <c r="A1876">
        <v>1875</v>
      </c>
      <c r="B1876">
        <v>831</v>
      </c>
      <c r="C1876">
        <f>1/COUNTIF(pizza_sales[[#All],[order_id]],pizza_sales[[#This Row],[order_id]])</f>
        <v>0.25</v>
      </c>
      <c r="D1876" t="s">
        <v>173</v>
      </c>
      <c r="E1876">
        <v>1</v>
      </c>
      <c r="F1876" s="1">
        <v>42018</v>
      </c>
      <c r="G1876" s="1" t="str">
        <f>TEXT(pizza_sales[[#This Row],[order_date]],"dddd")</f>
        <v>Wednesday</v>
      </c>
      <c r="H1876" s="2">
        <v>36526.776620370372</v>
      </c>
      <c r="I1876">
        <v>20.25</v>
      </c>
      <c r="J1876">
        <v>20.25</v>
      </c>
      <c r="K1876" t="s">
        <v>21</v>
      </c>
      <c r="L1876" t="s">
        <v>26</v>
      </c>
      <c r="M1876" t="s">
        <v>97</v>
      </c>
      <c r="N1876" t="s">
        <v>98</v>
      </c>
    </row>
    <row r="1877" spans="1:14" x14ac:dyDescent="0.3">
      <c r="A1877">
        <v>1876</v>
      </c>
      <c r="B1877">
        <v>831</v>
      </c>
      <c r="C1877">
        <f>1/COUNTIF(pizza_sales[[#All],[order_id]],pizza_sales[[#This Row],[order_id]])</f>
        <v>0.25</v>
      </c>
      <c r="D1877" t="s">
        <v>81</v>
      </c>
      <c r="E1877">
        <v>1</v>
      </c>
      <c r="F1877" s="1">
        <v>42018</v>
      </c>
      <c r="G1877" s="1" t="str">
        <f>TEXT(pizza_sales[[#This Row],[order_date]],"dddd")</f>
        <v>Wednesday</v>
      </c>
      <c r="H1877" s="2">
        <v>36526.776620370372</v>
      </c>
      <c r="I1877">
        <v>20.75</v>
      </c>
      <c r="J1877">
        <v>20.75</v>
      </c>
      <c r="K1877" t="s">
        <v>21</v>
      </c>
      <c r="L1877" t="s">
        <v>33</v>
      </c>
      <c r="M1877" t="s">
        <v>82</v>
      </c>
      <c r="N1877" t="s">
        <v>83</v>
      </c>
    </row>
    <row r="1878" spans="1:14" x14ac:dyDescent="0.3">
      <c r="A1878">
        <v>1877</v>
      </c>
      <c r="B1878">
        <v>831</v>
      </c>
      <c r="C1878">
        <f>1/COUNTIF(pizza_sales[[#All],[order_id]],pizza_sales[[#This Row],[order_id]])</f>
        <v>0.25</v>
      </c>
      <c r="D1878" t="s">
        <v>139</v>
      </c>
      <c r="E1878">
        <v>1</v>
      </c>
      <c r="F1878" s="1">
        <v>42018</v>
      </c>
      <c r="G1878" s="1" t="str">
        <f>TEXT(pizza_sales[[#This Row],[order_date]],"dddd")</f>
        <v>Wednesday</v>
      </c>
      <c r="H1878" s="2">
        <v>36526.776620370372</v>
      </c>
      <c r="I1878">
        <v>16.75</v>
      </c>
      <c r="J1878">
        <v>16.75</v>
      </c>
      <c r="K1878" t="s">
        <v>13</v>
      </c>
      <c r="L1878" t="s">
        <v>33</v>
      </c>
      <c r="M1878" t="s">
        <v>82</v>
      </c>
      <c r="N1878" t="s">
        <v>83</v>
      </c>
    </row>
    <row r="1879" spans="1:14" x14ac:dyDescent="0.3">
      <c r="A1879">
        <v>1878</v>
      </c>
      <c r="B1879">
        <v>831</v>
      </c>
      <c r="C1879">
        <f>1/COUNTIF(pizza_sales[[#All],[order_id]],pizza_sales[[#This Row],[order_id]])</f>
        <v>0.25</v>
      </c>
      <c r="D1879" t="s">
        <v>17</v>
      </c>
      <c r="E1879">
        <v>1</v>
      </c>
      <c r="F1879" s="1">
        <v>42018</v>
      </c>
      <c r="G1879" s="1" t="str">
        <f>TEXT(pizza_sales[[#This Row],[order_date]],"dddd")</f>
        <v>Wednesday</v>
      </c>
      <c r="H1879" s="2">
        <v>36526.776620370372</v>
      </c>
      <c r="I1879">
        <v>16</v>
      </c>
      <c r="J1879">
        <v>16</v>
      </c>
      <c r="K1879" t="s">
        <v>13</v>
      </c>
      <c r="L1879" t="s">
        <v>14</v>
      </c>
      <c r="M1879" t="s">
        <v>18</v>
      </c>
      <c r="N1879" t="s">
        <v>19</v>
      </c>
    </row>
    <row r="1880" spans="1:14" x14ac:dyDescent="0.3">
      <c r="A1880">
        <v>1879</v>
      </c>
      <c r="B1880">
        <v>832</v>
      </c>
      <c r="C1880">
        <f>1/COUNTIF(pizza_sales[[#All],[order_id]],pizza_sales[[#This Row],[order_id]])</f>
        <v>1</v>
      </c>
      <c r="D1880" t="s">
        <v>142</v>
      </c>
      <c r="E1880">
        <v>1</v>
      </c>
      <c r="F1880" s="1">
        <v>42018</v>
      </c>
      <c r="G1880" s="1" t="str">
        <f>TEXT(pizza_sales[[#This Row],[order_date]],"dddd")</f>
        <v>Wednesday</v>
      </c>
      <c r="H1880" s="2">
        <v>36526.782708333332</v>
      </c>
      <c r="I1880">
        <v>16.5</v>
      </c>
      <c r="J1880">
        <v>16.5</v>
      </c>
      <c r="K1880" t="s">
        <v>21</v>
      </c>
      <c r="L1880" t="s">
        <v>14</v>
      </c>
      <c r="M1880" t="s">
        <v>15</v>
      </c>
      <c r="N1880" t="s">
        <v>16</v>
      </c>
    </row>
    <row r="1881" spans="1:14" x14ac:dyDescent="0.3">
      <c r="A1881">
        <v>1880</v>
      </c>
      <c r="B1881">
        <v>833</v>
      </c>
      <c r="C1881">
        <f>1/COUNTIF(pizza_sales[[#All],[order_id]],pizza_sales[[#This Row],[order_id]])</f>
        <v>0.5</v>
      </c>
      <c r="D1881" t="s">
        <v>84</v>
      </c>
      <c r="E1881">
        <v>1</v>
      </c>
      <c r="F1881" s="1">
        <v>42018</v>
      </c>
      <c r="G1881" s="1" t="str">
        <f>TEXT(pizza_sales[[#This Row],[order_date]],"dddd")</f>
        <v>Wednesday</v>
      </c>
      <c r="H1881" s="2">
        <v>36526.797048611108</v>
      </c>
      <c r="I1881">
        <v>12</v>
      </c>
      <c r="J1881">
        <v>12</v>
      </c>
      <c r="K1881" t="s">
        <v>41</v>
      </c>
      <c r="L1881" t="s">
        <v>14</v>
      </c>
      <c r="M1881" t="s">
        <v>85</v>
      </c>
      <c r="N1881" t="s">
        <v>86</v>
      </c>
    </row>
    <row r="1882" spans="1:14" x14ac:dyDescent="0.3">
      <c r="A1882">
        <v>1881</v>
      </c>
      <c r="B1882">
        <v>833</v>
      </c>
      <c r="C1882">
        <f>1/COUNTIF(pizza_sales[[#All],[order_id]],pizza_sales[[#This Row],[order_id]])</f>
        <v>0.5</v>
      </c>
      <c r="D1882" t="s">
        <v>93</v>
      </c>
      <c r="E1882">
        <v>1</v>
      </c>
      <c r="F1882" s="1">
        <v>42018</v>
      </c>
      <c r="G1882" s="1" t="str">
        <f>TEXT(pizza_sales[[#This Row],[order_date]],"dddd")</f>
        <v>Wednesday</v>
      </c>
      <c r="H1882" s="2">
        <v>36526.797048611108</v>
      </c>
      <c r="I1882">
        <v>12</v>
      </c>
      <c r="J1882">
        <v>12</v>
      </c>
      <c r="K1882" t="s">
        <v>41</v>
      </c>
      <c r="L1882" t="s">
        <v>14</v>
      </c>
      <c r="M1882" t="s">
        <v>94</v>
      </c>
      <c r="N1882" t="s">
        <v>95</v>
      </c>
    </row>
    <row r="1883" spans="1:14" x14ac:dyDescent="0.3">
      <c r="A1883">
        <v>1882</v>
      </c>
      <c r="B1883">
        <v>834</v>
      </c>
      <c r="C1883">
        <f>1/COUNTIF(pizza_sales[[#All],[order_id]],pizza_sales[[#This Row],[order_id]])</f>
        <v>0.25</v>
      </c>
      <c r="D1883" t="s">
        <v>81</v>
      </c>
      <c r="E1883">
        <v>1</v>
      </c>
      <c r="F1883" s="1">
        <v>42018</v>
      </c>
      <c r="G1883" s="1" t="str">
        <f>TEXT(pizza_sales[[#This Row],[order_date]],"dddd")</f>
        <v>Wednesday</v>
      </c>
      <c r="H1883" s="2">
        <v>36526.809212962966</v>
      </c>
      <c r="I1883">
        <v>20.75</v>
      </c>
      <c r="J1883">
        <v>20.75</v>
      </c>
      <c r="K1883" t="s">
        <v>21</v>
      </c>
      <c r="L1883" t="s">
        <v>33</v>
      </c>
      <c r="M1883" t="s">
        <v>82</v>
      </c>
      <c r="N1883" t="s">
        <v>83</v>
      </c>
    </row>
    <row r="1884" spans="1:14" x14ac:dyDescent="0.3">
      <c r="A1884">
        <v>1883</v>
      </c>
      <c r="B1884">
        <v>834</v>
      </c>
      <c r="C1884">
        <f>1/COUNTIF(pizza_sales[[#All],[order_id]],pizza_sales[[#This Row],[order_id]])</f>
        <v>0.25</v>
      </c>
      <c r="D1884" t="s">
        <v>126</v>
      </c>
      <c r="E1884">
        <v>1</v>
      </c>
      <c r="F1884" s="1">
        <v>42018</v>
      </c>
      <c r="G1884" s="1" t="str">
        <f>TEXT(pizza_sales[[#This Row],[order_date]],"dddd")</f>
        <v>Wednesday</v>
      </c>
      <c r="H1884" s="2">
        <v>36526.809212962966</v>
      </c>
      <c r="I1884">
        <v>9.75</v>
      </c>
      <c r="J1884">
        <v>9.75</v>
      </c>
      <c r="K1884" t="s">
        <v>41</v>
      </c>
      <c r="L1884" t="s">
        <v>14</v>
      </c>
      <c r="M1884" t="s">
        <v>78</v>
      </c>
      <c r="N1884" t="s">
        <v>79</v>
      </c>
    </row>
    <row r="1885" spans="1:14" x14ac:dyDescent="0.3">
      <c r="A1885">
        <v>1884</v>
      </c>
      <c r="B1885">
        <v>834</v>
      </c>
      <c r="C1885">
        <f>1/COUNTIF(pizza_sales[[#All],[order_id]],pizza_sales[[#This Row],[order_id]])</f>
        <v>0.25</v>
      </c>
      <c r="D1885" t="s">
        <v>120</v>
      </c>
      <c r="E1885">
        <v>1</v>
      </c>
      <c r="F1885" s="1">
        <v>42018</v>
      </c>
      <c r="G1885" s="1" t="str">
        <f>TEXT(pizza_sales[[#This Row],[order_date]],"dddd")</f>
        <v>Wednesday</v>
      </c>
      <c r="H1885" s="2">
        <v>36526.809212962966</v>
      </c>
      <c r="I1885">
        <v>12.5</v>
      </c>
      <c r="J1885">
        <v>12.5</v>
      </c>
      <c r="K1885" t="s">
        <v>41</v>
      </c>
      <c r="L1885" t="s">
        <v>26</v>
      </c>
      <c r="M1885" t="s">
        <v>38</v>
      </c>
      <c r="N1885" t="s">
        <v>39</v>
      </c>
    </row>
    <row r="1886" spans="1:14" x14ac:dyDescent="0.3">
      <c r="A1886">
        <v>1885</v>
      </c>
      <c r="B1886">
        <v>834</v>
      </c>
      <c r="C1886">
        <f>1/COUNTIF(pizza_sales[[#All],[order_id]],pizza_sales[[#This Row],[order_id]])</f>
        <v>0.25</v>
      </c>
      <c r="D1886" t="s">
        <v>109</v>
      </c>
      <c r="E1886">
        <v>1</v>
      </c>
      <c r="F1886" s="1">
        <v>42018</v>
      </c>
      <c r="G1886" s="1" t="str">
        <f>TEXT(pizza_sales[[#This Row],[order_date]],"dddd")</f>
        <v>Wednesday</v>
      </c>
      <c r="H1886" s="2">
        <v>36526.809212962966</v>
      </c>
      <c r="I1886">
        <v>20.25</v>
      </c>
      <c r="J1886">
        <v>20.25</v>
      </c>
      <c r="K1886" t="s">
        <v>21</v>
      </c>
      <c r="L1886" t="s">
        <v>22</v>
      </c>
      <c r="M1886" t="s">
        <v>110</v>
      </c>
      <c r="N1886" t="s">
        <v>111</v>
      </c>
    </row>
    <row r="1887" spans="1:14" x14ac:dyDescent="0.3">
      <c r="A1887">
        <v>1886</v>
      </c>
      <c r="B1887">
        <v>835</v>
      </c>
      <c r="C1887">
        <f>1/COUNTIF(pizza_sales[[#All],[order_id]],pizza_sales[[#This Row],[order_id]])</f>
        <v>0.25</v>
      </c>
      <c r="D1887" t="s">
        <v>72</v>
      </c>
      <c r="E1887">
        <v>1</v>
      </c>
      <c r="F1887" s="1">
        <v>42018</v>
      </c>
      <c r="G1887" s="1" t="str">
        <f>TEXT(pizza_sales[[#This Row],[order_date]],"dddd")</f>
        <v>Wednesday</v>
      </c>
      <c r="H1887" s="2">
        <v>36526.830567129633</v>
      </c>
      <c r="I1887">
        <v>20.75</v>
      </c>
      <c r="J1887">
        <v>20.75</v>
      </c>
      <c r="K1887" t="s">
        <v>21</v>
      </c>
      <c r="L1887" t="s">
        <v>33</v>
      </c>
      <c r="M1887" t="s">
        <v>42</v>
      </c>
      <c r="N1887" t="s">
        <v>43</v>
      </c>
    </row>
    <row r="1888" spans="1:14" x14ac:dyDescent="0.3">
      <c r="A1888">
        <v>1887</v>
      </c>
      <c r="B1888">
        <v>835</v>
      </c>
      <c r="C1888">
        <f>1/COUNTIF(pizza_sales[[#All],[order_id]],pizza_sales[[#This Row],[order_id]])</f>
        <v>0.25</v>
      </c>
      <c r="D1888" t="s">
        <v>40</v>
      </c>
      <c r="E1888">
        <v>1</v>
      </c>
      <c r="F1888" s="1">
        <v>42018</v>
      </c>
      <c r="G1888" s="1" t="str">
        <f>TEXT(pizza_sales[[#This Row],[order_date]],"dddd")</f>
        <v>Wednesday</v>
      </c>
      <c r="H1888" s="2">
        <v>36526.830567129633</v>
      </c>
      <c r="I1888">
        <v>12.75</v>
      </c>
      <c r="J1888">
        <v>12.75</v>
      </c>
      <c r="K1888" t="s">
        <v>41</v>
      </c>
      <c r="L1888" t="s">
        <v>33</v>
      </c>
      <c r="M1888" t="s">
        <v>42</v>
      </c>
      <c r="N1888" t="s">
        <v>43</v>
      </c>
    </row>
    <row r="1889" spans="1:14" x14ac:dyDescent="0.3">
      <c r="A1889">
        <v>1888</v>
      </c>
      <c r="B1889">
        <v>835</v>
      </c>
      <c r="C1889">
        <f>1/COUNTIF(pizza_sales[[#All],[order_id]],pizza_sales[[#This Row],[order_id]])</f>
        <v>0.25</v>
      </c>
      <c r="D1889" t="s">
        <v>119</v>
      </c>
      <c r="E1889">
        <v>1</v>
      </c>
      <c r="F1889" s="1">
        <v>42018</v>
      </c>
      <c r="G1889" s="1" t="str">
        <f>TEXT(pizza_sales[[#This Row],[order_date]],"dddd")</f>
        <v>Wednesday</v>
      </c>
      <c r="H1889" s="2">
        <v>36526.830567129633</v>
      </c>
      <c r="I1889">
        <v>12.5</v>
      </c>
      <c r="J1889">
        <v>12.5</v>
      </c>
      <c r="K1889" t="s">
        <v>13</v>
      </c>
      <c r="L1889" t="s">
        <v>14</v>
      </c>
      <c r="M1889" t="s">
        <v>78</v>
      </c>
      <c r="N1889" t="s">
        <v>79</v>
      </c>
    </row>
    <row r="1890" spans="1:14" x14ac:dyDescent="0.3">
      <c r="A1890">
        <v>1889</v>
      </c>
      <c r="B1890">
        <v>835</v>
      </c>
      <c r="C1890">
        <f>1/COUNTIF(pizza_sales[[#All],[order_id]],pizza_sales[[#This Row],[order_id]])</f>
        <v>0.25</v>
      </c>
      <c r="D1890" t="s">
        <v>69</v>
      </c>
      <c r="E1890">
        <v>1</v>
      </c>
      <c r="F1890" s="1">
        <v>42018</v>
      </c>
      <c r="G1890" s="1" t="str">
        <f>TEXT(pizza_sales[[#This Row],[order_date]],"dddd")</f>
        <v>Wednesday</v>
      </c>
      <c r="H1890" s="2">
        <v>36526.830567129633</v>
      </c>
      <c r="I1890">
        <v>20.75</v>
      </c>
      <c r="J1890">
        <v>20.75</v>
      </c>
      <c r="K1890" t="s">
        <v>21</v>
      </c>
      <c r="L1890" t="s">
        <v>33</v>
      </c>
      <c r="M1890" t="s">
        <v>70</v>
      </c>
      <c r="N1890" t="s">
        <v>71</v>
      </c>
    </row>
    <row r="1891" spans="1:14" x14ac:dyDescent="0.3">
      <c r="A1891">
        <v>1890</v>
      </c>
      <c r="B1891">
        <v>836</v>
      </c>
      <c r="C1891">
        <f>1/COUNTIF(pizza_sales[[#All],[order_id]],pizza_sales[[#This Row],[order_id]])</f>
        <v>0.25</v>
      </c>
      <c r="D1891" t="s">
        <v>20</v>
      </c>
      <c r="E1891">
        <v>1</v>
      </c>
      <c r="F1891" s="1">
        <v>42018</v>
      </c>
      <c r="G1891" s="1" t="str">
        <f>TEXT(pizza_sales[[#This Row],[order_date]],"dddd")</f>
        <v>Wednesday</v>
      </c>
      <c r="H1891" s="2">
        <v>36526.83898148148</v>
      </c>
      <c r="I1891">
        <v>18.5</v>
      </c>
      <c r="J1891">
        <v>18.5</v>
      </c>
      <c r="K1891" t="s">
        <v>21</v>
      </c>
      <c r="L1891" t="s">
        <v>22</v>
      </c>
      <c r="M1891" t="s">
        <v>23</v>
      </c>
      <c r="N1891" t="s">
        <v>24</v>
      </c>
    </row>
    <row r="1892" spans="1:14" x14ac:dyDescent="0.3">
      <c r="A1892">
        <v>1891</v>
      </c>
      <c r="B1892">
        <v>836</v>
      </c>
      <c r="C1892">
        <f>1/COUNTIF(pizza_sales[[#All],[order_id]],pizza_sales[[#This Row],[order_id]])</f>
        <v>0.25</v>
      </c>
      <c r="D1892" t="s">
        <v>90</v>
      </c>
      <c r="E1892">
        <v>1</v>
      </c>
      <c r="F1892" s="1">
        <v>42018</v>
      </c>
      <c r="G1892" s="1" t="str">
        <f>TEXT(pizza_sales[[#This Row],[order_date]],"dddd")</f>
        <v>Wednesday</v>
      </c>
      <c r="H1892" s="2">
        <v>36526.83898148148</v>
      </c>
      <c r="I1892">
        <v>17.95</v>
      </c>
      <c r="J1892">
        <v>17.95</v>
      </c>
      <c r="K1892" t="s">
        <v>21</v>
      </c>
      <c r="L1892" t="s">
        <v>22</v>
      </c>
      <c r="M1892" t="s">
        <v>91</v>
      </c>
      <c r="N1892" t="s">
        <v>92</v>
      </c>
    </row>
    <row r="1893" spans="1:14" x14ac:dyDescent="0.3">
      <c r="A1893">
        <v>1892</v>
      </c>
      <c r="B1893">
        <v>836</v>
      </c>
      <c r="C1893">
        <f>1/COUNTIF(pizza_sales[[#All],[order_id]],pizza_sales[[#This Row],[order_id]])</f>
        <v>0.25</v>
      </c>
      <c r="D1893" t="s">
        <v>132</v>
      </c>
      <c r="E1893">
        <v>1</v>
      </c>
      <c r="F1893" s="1">
        <v>42018</v>
      </c>
      <c r="G1893" s="1" t="str">
        <f>TEXT(pizza_sales[[#This Row],[order_date]],"dddd")</f>
        <v>Wednesday</v>
      </c>
      <c r="H1893" s="2">
        <v>36526.83898148148</v>
      </c>
      <c r="I1893">
        <v>10.5</v>
      </c>
      <c r="J1893">
        <v>10.5</v>
      </c>
      <c r="K1893" t="s">
        <v>41</v>
      </c>
      <c r="L1893" t="s">
        <v>14</v>
      </c>
      <c r="M1893" t="s">
        <v>15</v>
      </c>
      <c r="N1893" t="s">
        <v>16</v>
      </c>
    </row>
    <row r="1894" spans="1:14" x14ac:dyDescent="0.3">
      <c r="A1894">
        <v>1893</v>
      </c>
      <c r="B1894">
        <v>836</v>
      </c>
      <c r="C1894">
        <f>1/COUNTIF(pizza_sales[[#All],[order_id]],pizza_sales[[#This Row],[order_id]])</f>
        <v>0.25</v>
      </c>
      <c r="D1894" t="s">
        <v>140</v>
      </c>
      <c r="E1894">
        <v>1</v>
      </c>
      <c r="F1894" s="1">
        <v>42018</v>
      </c>
      <c r="G1894" s="1" t="str">
        <f>TEXT(pizza_sales[[#This Row],[order_date]],"dddd")</f>
        <v>Wednesday</v>
      </c>
      <c r="H1894" s="2">
        <v>36526.83898148148</v>
      </c>
      <c r="I1894">
        <v>25.5</v>
      </c>
      <c r="J1894">
        <v>25.5</v>
      </c>
      <c r="K1894" t="s">
        <v>141</v>
      </c>
      <c r="L1894" t="s">
        <v>14</v>
      </c>
      <c r="M1894" t="s">
        <v>45</v>
      </c>
      <c r="N1894" t="s">
        <v>46</v>
      </c>
    </row>
    <row r="1895" spans="1:14" x14ac:dyDescent="0.3">
      <c r="A1895">
        <v>1894</v>
      </c>
      <c r="B1895">
        <v>837</v>
      </c>
      <c r="C1895">
        <f>1/COUNTIF(pizza_sales[[#All],[order_id]],pizza_sales[[#This Row],[order_id]])</f>
        <v>1</v>
      </c>
      <c r="D1895" t="s">
        <v>36</v>
      </c>
      <c r="E1895">
        <v>1</v>
      </c>
      <c r="F1895" s="1">
        <v>42018</v>
      </c>
      <c r="G1895" s="1" t="str">
        <f>TEXT(pizza_sales[[#This Row],[order_date]],"dddd")</f>
        <v>Wednesday</v>
      </c>
      <c r="H1895" s="2">
        <v>36526.841979166667</v>
      </c>
      <c r="I1895">
        <v>16.5</v>
      </c>
      <c r="J1895">
        <v>16.5</v>
      </c>
      <c r="K1895" t="s">
        <v>13</v>
      </c>
      <c r="L1895" t="s">
        <v>26</v>
      </c>
      <c r="M1895" t="s">
        <v>27</v>
      </c>
      <c r="N1895" t="s">
        <v>28</v>
      </c>
    </row>
    <row r="1896" spans="1:14" x14ac:dyDescent="0.3">
      <c r="A1896">
        <v>1895</v>
      </c>
      <c r="B1896">
        <v>838</v>
      </c>
      <c r="C1896">
        <f>1/COUNTIF(pizza_sales[[#All],[order_id]],pizza_sales[[#This Row],[order_id]])</f>
        <v>0.33333333333333331</v>
      </c>
      <c r="D1896" t="s">
        <v>134</v>
      </c>
      <c r="E1896">
        <v>1</v>
      </c>
      <c r="F1896" s="1">
        <v>42018</v>
      </c>
      <c r="G1896" s="1" t="str">
        <f>TEXT(pizza_sales[[#This Row],[order_date]],"dddd")</f>
        <v>Wednesday</v>
      </c>
      <c r="H1896" s="2">
        <v>36526.856909722221</v>
      </c>
      <c r="I1896">
        <v>16.75</v>
      </c>
      <c r="J1896">
        <v>16.75</v>
      </c>
      <c r="K1896" t="s">
        <v>13</v>
      </c>
      <c r="L1896" t="s">
        <v>33</v>
      </c>
      <c r="M1896" t="s">
        <v>124</v>
      </c>
      <c r="N1896" t="s">
        <v>125</v>
      </c>
    </row>
    <row r="1897" spans="1:14" x14ac:dyDescent="0.3">
      <c r="A1897">
        <v>1896</v>
      </c>
      <c r="B1897">
        <v>838</v>
      </c>
      <c r="C1897">
        <f>1/COUNTIF(pizza_sales[[#All],[order_id]],pizza_sales[[#This Row],[order_id]])</f>
        <v>0.33333333333333331</v>
      </c>
      <c r="D1897" t="s">
        <v>36</v>
      </c>
      <c r="E1897">
        <v>1</v>
      </c>
      <c r="F1897" s="1">
        <v>42018</v>
      </c>
      <c r="G1897" s="1" t="str">
        <f>TEXT(pizza_sales[[#This Row],[order_date]],"dddd")</f>
        <v>Wednesday</v>
      </c>
      <c r="H1897" s="2">
        <v>36526.856909722221</v>
      </c>
      <c r="I1897">
        <v>16.5</v>
      </c>
      <c r="J1897">
        <v>16.5</v>
      </c>
      <c r="K1897" t="s">
        <v>13</v>
      </c>
      <c r="L1897" t="s">
        <v>26</v>
      </c>
      <c r="M1897" t="s">
        <v>27</v>
      </c>
      <c r="N1897" t="s">
        <v>28</v>
      </c>
    </row>
    <row r="1898" spans="1:14" x14ac:dyDescent="0.3">
      <c r="A1898">
        <v>1897</v>
      </c>
      <c r="B1898">
        <v>838</v>
      </c>
      <c r="C1898">
        <f>1/COUNTIF(pizza_sales[[#All],[order_id]],pizza_sales[[#This Row],[order_id]])</f>
        <v>0.33333333333333331</v>
      </c>
      <c r="D1898" t="s">
        <v>154</v>
      </c>
      <c r="E1898">
        <v>1</v>
      </c>
      <c r="F1898" s="1">
        <v>42018</v>
      </c>
      <c r="G1898" s="1" t="str">
        <f>TEXT(pizza_sales[[#This Row],[order_date]],"dddd")</f>
        <v>Wednesday</v>
      </c>
      <c r="H1898" s="2">
        <v>36526.856909722221</v>
      </c>
      <c r="I1898">
        <v>16</v>
      </c>
      <c r="J1898">
        <v>16</v>
      </c>
      <c r="K1898" t="s">
        <v>13</v>
      </c>
      <c r="L1898" t="s">
        <v>22</v>
      </c>
      <c r="M1898" t="s">
        <v>66</v>
      </c>
      <c r="N1898" t="s">
        <v>67</v>
      </c>
    </row>
    <row r="1899" spans="1:14" x14ac:dyDescent="0.3">
      <c r="A1899">
        <v>1898</v>
      </c>
      <c r="B1899">
        <v>839</v>
      </c>
      <c r="C1899">
        <f>1/COUNTIF(pizza_sales[[#All],[order_id]],pizza_sales[[#This Row],[order_id]])</f>
        <v>1</v>
      </c>
      <c r="D1899" t="s">
        <v>68</v>
      </c>
      <c r="E1899">
        <v>2</v>
      </c>
      <c r="F1899" s="1">
        <v>42018</v>
      </c>
      <c r="G1899" s="1" t="str">
        <f>TEXT(pizza_sales[[#This Row],[order_date]],"dddd")</f>
        <v>Wednesday</v>
      </c>
      <c r="H1899" s="2">
        <v>36526.861574074072</v>
      </c>
      <c r="I1899">
        <v>20.25</v>
      </c>
      <c r="J1899">
        <v>40.5</v>
      </c>
      <c r="K1899" t="s">
        <v>21</v>
      </c>
      <c r="L1899" t="s">
        <v>22</v>
      </c>
      <c r="M1899" t="s">
        <v>30</v>
      </c>
      <c r="N1899" t="s">
        <v>31</v>
      </c>
    </row>
    <row r="1900" spans="1:14" x14ac:dyDescent="0.3">
      <c r="A1900">
        <v>1899</v>
      </c>
      <c r="B1900">
        <v>840</v>
      </c>
      <c r="C1900">
        <f>1/COUNTIF(pizza_sales[[#All],[order_id]],pizza_sales[[#This Row],[order_id]])</f>
        <v>1</v>
      </c>
      <c r="D1900" t="s">
        <v>25</v>
      </c>
      <c r="E1900">
        <v>1</v>
      </c>
      <c r="F1900" s="1">
        <v>42018</v>
      </c>
      <c r="G1900" s="1" t="str">
        <f>TEXT(pizza_sales[[#This Row],[order_date]],"dddd")</f>
        <v>Wednesday</v>
      </c>
      <c r="H1900" s="2">
        <v>36526.865416666667</v>
      </c>
      <c r="I1900">
        <v>20.75</v>
      </c>
      <c r="J1900">
        <v>20.75</v>
      </c>
      <c r="K1900" t="s">
        <v>21</v>
      </c>
      <c r="L1900" t="s">
        <v>26</v>
      </c>
      <c r="M1900" t="s">
        <v>27</v>
      </c>
      <c r="N1900" t="s">
        <v>28</v>
      </c>
    </row>
    <row r="1901" spans="1:14" x14ac:dyDescent="0.3">
      <c r="A1901">
        <v>1900</v>
      </c>
      <c r="B1901">
        <v>841</v>
      </c>
      <c r="C1901">
        <f>1/COUNTIF(pizza_sales[[#All],[order_id]],pizza_sales[[#This Row],[order_id]])</f>
        <v>1</v>
      </c>
      <c r="D1901" t="s">
        <v>135</v>
      </c>
      <c r="E1901">
        <v>1</v>
      </c>
      <c r="F1901" s="1">
        <v>42018</v>
      </c>
      <c r="G1901" s="1" t="str">
        <f>TEXT(pizza_sales[[#This Row],[order_date]],"dddd")</f>
        <v>Wednesday</v>
      </c>
      <c r="H1901" s="2">
        <v>36526.873379629629</v>
      </c>
      <c r="I1901">
        <v>20.75</v>
      </c>
      <c r="J1901">
        <v>20.75</v>
      </c>
      <c r="K1901" t="s">
        <v>21</v>
      </c>
      <c r="L1901" t="s">
        <v>26</v>
      </c>
      <c r="M1901" t="s">
        <v>107</v>
      </c>
      <c r="N1901" t="s">
        <v>108</v>
      </c>
    </row>
    <row r="1902" spans="1:14" x14ac:dyDescent="0.3">
      <c r="A1902">
        <v>1901</v>
      </c>
      <c r="B1902">
        <v>842</v>
      </c>
      <c r="C1902">
        <f>1/COUNTIF(pizza_sales[[#All],[order_id]],pizza_sales[[#This Row],[order_id]])</f>
        <v>0.33333333333333331</v>
      </c>
      <c r="D1902" t="s">
        <v>136</v>
      </c>
      <c r="E1902">
        <v>1</v>
      </c>
      <c r="F1902" s="1">
        <v>42018</v>
      </c>
      <c r="G1902" s="1" t="str">
        <f>TEXT(pizza_sales[[#This Row],[order_date]],"dddd")</f>
        <v>Wednesday</v>
      </c>
      <c r="H1902" s="2">
        <v>36526.881701388891</v>
      </c>
      <c r="I1902">
        <v>12.5</v>
      </c>
      <c r="J1902">
        <v>12.5</v>
      </c>
      <c r="K1902" t="s">
        <v>41</v>
      </c>
      <c r="L1902" t="s">
        <v>22</v>
      </c>
      <c r="M1902" t="s">
        <v>63</v>
      </c>
      <c r="N1902" t="s">
        <v>64</v>
      </c>
    </row>
    <row r="1903" spans="1:14" x14ac:dyDescent="0.3">
      <c r="A1903">
        <v>1902</v>
      </c>
      <c r="B1903">
        <v>842</v>
      </c>
      <c r="C1903">
        <f>1/COUNTIF(pizza_sales[[#All],[order_id]],pizza_sales[[#This Row],[order_id]])</f>
        <v>0.33333333333333331</v>
      </c>
      <c r="D1903" t="s">
        <v>162</v>
      </c>
      <c r="E1903">
        <v>1</v>
      </c>
      <c r="F1903" s="1">
        <v>42018</v>
      </c>
      <c r="G1903" s="1" t="str">
        <f>TEXT(pizza_sales[[#This Row],[order_date]],"dddd")</f>
        <v>Wednesday</v>
      </c>
      <c r="H1903" s="2">
        <v>36526.881701388891</v>
      </c>
      <c r="I1903">
        <v>16</v>
      </c>
      <c r="J1903">
        <v>16</v>
      </c>
      <c r="K1903" t="s">
        <v>13</v>
      </c>
      <c r="L1903" t="s">
        <v>22</v>
      </c>
      <c r="M1903" t="s">
        <v>110</v>
      </c>
      <c r="N1903" t="s">
        <v>111</v>
      </c>
    </row>
    <row r="1904" spans="1:14" x14ac:dyDescent="0.3">
      <c r="A1904">
        <v>1903</v>
      </c>
      <c r="B1904">
        <v>842</v>
      </c>
      <c r="C1904">
        <f>1/COUNTIF(pizza_sales[[#All],[order_id]],pizza_sales[[#This Row],[order_id]])</f>
        <v>0.33333333333333331</v>
      </c>
      <c r="D1904" t="s">
        <v>47</v>
      </c>
      <c r="E1904">
        <v>1</v>
      </c>
      <c r="F1904" s="1">
        <v>42018</v>
      </c>
      <c r="G1904" s="1" t="str">
        <f>TEXT(pizza_sales[[#This Row],[order_date]],"dddd")</f>
        <v>Wednesday</v>
      </c>
      <c r="H1904" s="2">
        <v>36526.881701388891</v>
      </c>
      <c r="I1904">
        <v>12.5</v>
      </c>
      <c r="J1904">
        <v>12.5</v>
      </c>
      <c r="K1904" t="s">
        <v>41</v>
      </c>
      <c r="L1904" t="s">
        <v>26</v>
      </c>
      <c r="M1904" t="s">
        <v>48</v>
      </c>
      <c r="N1904" t="s">
        <v>49</v>
      </c>
    </row>
    <row r="1905" spans="1:14" x14ac:dyDescent="0.3">
      <c r="A1905">
        <v>1904</v>
      </c>
      <c r="B1905">
        <v>843</v>
      </c>
      <c r="C1905">
        <f>1/COUNTIF(pizza_sales[[#All],[order_id]],pizza_sales[[#This Row],[order_id]])</f>
        <v>1</v>
      </c>
      <c r="D1905" t="s">
        <v>144</v>
      </c>
      <c r="E1905">
        <v>1</v>
      </c>
      <c r="F1905" s="1">
        <v>42018</v>
      </c>
      <c r="G1905" s="1" t="str">
        <f>TEXT(pizza_sales[[#This Row],[order_date]],"dddd")</f>
        <v>Wednesday</v>
      </c>
      <c r="H1905" s="2">
        <v>36526.897465277776</v>
      </c>
      <c r="I1905">
        <v>16.5</v>
      </c>
      <c r="J1905">
        <v>16.5</v>
      </c>
      <c r="K1905" t="s">
        <v>13</v>
      </c>
      <c r="L1905" t="s">
        <v>26</v>
      </c>
      <c r="M1905" t="s">
        <v>48</v>
      </c>
      <c r="N1905" t="s">
        <v>49</v>
      </c>
    </row>
    <row r="1906" spans="1:14" x14ac:dyDescent="0.3">
      <c r="A1906">
        <v>1905</v>
      </c>
      <c r="B1906">
        <v>844</v>
      </c>
      <c r="C1906">
        <f>1/COUNTIF(pizza_sales[[#All],[order_id]],pizza_sales[[#This Row],[order_id]])</f>
        <v>1</v>
      </c>
      <c r="D1906" t="s">
        <v>154</v>
      </c>
      <c r="E1906">
        <v>1</v>
      </c>
      <c r="F1906" s="1">
        <v>42018</v>
      </c>
      <c r="G1906" s="1" t="str">
        <f>TEXT(pizza_sales[[#This Row],[order_date]],"dddd")</f>
        <v>Wednesday</v>
      </c>
      <c r="H1906" s="2">
        <v>36526.900671296295</v>
      </c>
      <c r="I1906">
        <v>16</v>
      </c>
      <c r="J1906">
        <v>16</v>
      </c>
      <c r="K1906" t="s">
        <v>13</v>
      </c>
      <c r="L1906" t="s">
        <v>22</v>
      </c>
      <c r="M1906" t="s">
        <v>66</v>
      </c>
      <c r="N1906" t="s">
        <v>67</v>
      </c>
    </row>
    <row r="1907" spans="1:14" x14ac:dyDescent="0.3">
      <c r="A1907">
        <v>1906</v>
      </c>
      <c r="B1907">
        <v>845</v>
      </c>
      <c r="C1907">
        <f>1/COUNTIF(pizza_sales[[#All],[order_id]],pizza_sales[[#This Row],[order_id]])</f>
        <v>0.25</v>
      </c>
      <c r="D1907" t="s">
        <v>138</v>
      </c>
      <c r="E1907">
        <v>1</v>
      </c>
      <c r="F1907" s="1">
        <v>42018</v>
      </c>
      <c r="G1907" s="1" t="str">
        <f>TEXT(pizza_sales[[#This Row],[order_date]],"dddd")</f>
        <v>Wednesday</v>
      </c>
      <c r="H1907" s="2">
        <v>36526.904814814814</v>
      </c>
      <c r="I1907">
        <v>20.5</v>
      </c>
      <c r="J1907">
        <v>20.5</v>
      </c>
      <c r="K1907" t="s">
        <v>21</v>
      </c>
      <c r="L1907" t="s">
        <v>14</v>
      </c>
      <c r="M1907" t="s">
        <v>18</v>
      </c>
      <c r="N1907" t="s">
        <v>19</v>
      </c>
    </row>
    <row r="1908" spans="1:14" x14ac:dyDescent="0.3">
      <c r="A1908">
        <v>1907</v>
      </c>
      <c r="B1908">
        <v>845</v>
      </c>
      <c r="C1908">
        <f>1/COUNTIF(pizza_sales[[#All],[order_id]],pizza_sales[[#This Row],[order_id]])</f>
        <v>0.25</v>
      </c>
      <c r="D1908" t="s">
        <v>20</v>
      </c>
      <c r="E1908">
        <v>1</v>
      </c>
      <c r="F1908" s="1">
        <v>42018</v>
      </c>
      <c r="G1908" s="1" t="str">
        <f>TEXT(pizza_sales[[#This Row],[order_date]],"dddd")</f>
        <v>Wednesday</v>
      </c>
      <c r="H1908" s="2">
        <v>36526.904814814814</v>
      </c>
      <c r="I1908">
        <v>18.5</v>
      </c>
      <c r="J1908">
        <v>18.5</v>
      </c>
      <c r="K1908" t="s">
        <v>21</v>
      </c>
      <c r="L1908" t="s">
        <v>22</v>
      </c>
      <c r="M1908" t="s">
        <v>23</v>
      </c>
      <c r="N1908" t="s">
        <v>24</v>
      </c>
    </row>
    <row r="1909" spans="1:14" x14ac:dyDescent="0.3">
      <c r="A1909">
        <v>1908</v>
      </c>
      <c r="B1909">
        <v>845</v>
      </c>
      <c r="C1909">
        <f>1/COUNTIF(pizza_sales[[#All],[order_id]],pizza_sales[[#This Row],[order_id]])</f>
        <v>0.25</v>
      </c>
      <c r="D1909" t="s">
        <v>36</v>
      </c>
      <c r="E1909">
        <v>1</v>
      </c>
      <c r="F1909" s="1">
        <v>42018</v>
      </c>
      <c r="G1909" s="1" t="str">
        <f>TEXT(pizza_sales[[#This Row],[order_date]],"dddd")</f>
        <v>Wednesday</v>
      </c>
      <c r="H1909" s="2">
        <v>36526.904814814814</v>
      </c>
      <c r="I1909">
        <v>16.5</v>
      </c>
      <c r="J1909">
        <v>16.5</v>
      </c>
      <c r="K1909" t="s">
        <v>13</v>
      </c>
      <c r="L1909" t="s">
        <v>26</v>
      </c>
      <c r="M1909" t="s">
        <v>27</v>
      </c>
      <c r="N1909" t="s">
        <v>28</v>
      </c>
    </row>
    <row r="1910" spans="1:14" x14ac:dyDescent="0.3">
      <c r="A1910">
        <v>1909</v>
      </c>
      <c r="B1910">
        <v>845</v>
      </c>
      <c r="C1910">
        <f>1/COUNTIF(pizza_sales[[#All],[order_id]],pizza_sales[[#This Row],[order_id]])</f>
        <v>0.25</v>
      </c>
      <c r="D1910" t="s">
        <v>69</v>
      </c>
      <c r="E1910">
        <v>1</v>
      </c>
      <c r="F1910" s="1">
        <v>42018</v>
      </c>
      <c r="G1910" s="1" t="str">
        <f>TEXT(pizza_sales[[#This Row],[order_date]],"dddd")</f>
        <v>Wednesday</v>
      </c>
      <c r="H1910" s="2">
        <v>36526.904814814814</v>
      </c>
      <c r="I1910">
        <v>20.75</v>
      </c>
      <c r="J1910">
        <v>20.75</v>
      </c>
      <c r="K1910" t="s">
        <v>21</v>
      </c>
      <c r="L1910" t="s">
        <v>33</v>
      </c>
      <c r="M1910" t="s">
        <v>70</v>
      </c>
      <c r="N1910" t="s">
        <v>71</v>
      </c>
    </row>
    <row r="1911" spans="1:14" x14ac:dyDescent="0.3">
      <c r="A1911">
        <v>1910</v>
      </c>
      <c r="B1911">
        <v>846</v>
      </c>
      <c r="C1911">
        <f>1/COUNTIF(pizza_sales[[#All],[order_id]],pizza_sales[[#This Row],[order_id]])</f>
        <v>0.5</v>
      </c>
      <c r="D1911" t="s">
        <v>73</v>
      </c>
      <c r="E1911">
        <v>1</v>
      </c>
      <c r="F1911" s="1">
        <v>42018</v>
      </c>
      <c r="G1911" s="1" t="str">
        <f>TEXT(pizza_sales[[#This Row],[order_date]],"dddd")</f>
        <v>Wednesday</v>
      </c>
      <c r="H1911" s="2">
        <v>36526.928055555552</v>
      </c>
      <c r="I1911">
        <v>20.75</v>
      </c>
      <c r="J1911">
        <v>20.75</v>
      </c>
      <c r="K1911" t="s">
        <v>21</v>
      </c>
      <c r="L1911" t="s">
        <v>33</v>
      </c>
      <c r="M1911" t="s">
        <v>74</v>
      </c>
      <c r="N1911" t="s">
        <v>75</v>
      </c>
    </row>
    <row r="1912" spans="1:14" x14ac:dyDescent="0.3">
      <c r="A1912">
        <v>1911</v>
      </c>
      <c r="B1912">
        <v>846</v>
      </c>
      <c r="C1912">
        <f>1/COUNTIF(pizza_sales[[#All],[order_id]],pizza_sales[[#This Row],[order_id]])</f>
        <v>0.5</v>
      </c>
      <c r="D1912" t="s">
        <v>20</v>
      </c>
      <c r="E1912">
        <v>1</v>
      </c>
      <c r="F1912" s="1">
        <v>42018</v>
      </c>
      <c r="G1912" s="1" t="str">
        <f>TEXT(pizza_sales[[#This Row],[order_date]],"dddd")</f>
        <v>Wednesday</v>
      </c>
      <c r="H1912" s="2">
        <v>36526.928055555552</v>
      </c>
      <c r="I1912">
        <v>18.5</v>
      </c>
      <c r="J1912">
        <v>18.5</v>
      </c>
      <c r="K1912" t="s">
        <v>21</v>
      </c>
      <c r="L1912" t="s">
        <v>22</v>
      </c>
      <c r="M1912" t="s">
        <v>23</v>
      </c>
      <c r="N1912" t="s">
        <v>24</v>
      </c>
    </row>
    <row r="1913" spans="1:14" x14ac:dyDescent="0.3">
      <c r="A1913">
        <v>1912</v>
      </c>
      <c r="B1913">
        <v>847</v>
      </c>
      <c r="C1913">
        <f>1/COUNTIF(pizza_sales[[#All],[order_id]],pizza_sales[[#This Row],[order_id]])</f>
        <v>1</v>
      </c>
      <c r="D1913" t="s">
        <v>119</v>
      </c>
      <c r="E1913">
        <v>1</v>
      </c>
      <c r="F1913" s="1">
        <v>42019</v>
      </c>
      <c r="G1913" s="1" t="str">
        <f>TEXT(pizza_sales[[#This Row],[order_date]],"dddd")</f>
        <v>Thursday</v>
      </c>
      <c r="H1913" s="2">
        <v>36526.4840625</v>
      </c>
      <c r="I1913">
        <v>12.5</v>
      </c>
      <c r="J1913">
        <v>12.5</v>
      </c>
      <c r="K1913" t="s">
        <v>13</v>
      </c>
      <c r="L1913" t="s">
        <v>14</v>
      </c>
      <c r="M1913" t="s">
        <v>78</v>
      </c>
      <c r="N1913" t="s">
        <v>79</v>
      </c>
    </row>
    <row r="1914" spans="1:14" x14ac:dyDescent="0.3">
      <c r="A1914">
        <v>1913</v>
      </c>
      <c r="B1914">
        <v>848</v>
      </c>
      <c r="C1914">
        <f>1/COUNTIF(pizza_sales[[#All],[order_id]],pizza_sales[[#This Row],[order_id]])</f>
        <v>1</v>
      </c>
      <c r="D1914" t="s">
        <v>84</v>
      </c>
      <c r="E1914">
        <v>1</v>
      </c>
      <c r="F1914" s="1">
        <v>42019</v>
      </c>
      <c r="G1914" s="1" t="str">
        <f>TEXT(pizza_sales[[#This Row],[order_date]],"dddd")</f>
        <v>Thursday</v>
      </c>
      <c r="H1914" s="2">
        <v>36526.497754629629</v>
      </c>
      <c r="I1914">
        <v>12</v>
      </c>
      <c r="J1914">
        <v>12</v>
      </c>
      <c r="K1914" t="s">
        <v>41</v>
      </c>
      <c r="L1914" t="s">
        <v>14</v>
      </c>
      <c r="M1914" t="s">
        <v>85</v>
      </c>
      <c r="N1914" t="s">
        <v>86</v>
      </c>
    </row>
    <row r="1915" spans="1:14" x14ac:dyDescent="0.3">
      <c r="A1915">
        <v>1914</v>
      </c>
      <c r="B1915">
        <v>849</v>
      </c>
      <c r="C1915">
        <f>1/COUNTIF(pizza_sales[[#All],[order_id]],pizza_sales[[#This Row],[order_id]])</f>
        <v>0.25</v>
      </c>
      <c r="D1915" t="s">
        <v>17</v>
      </c>
      <c r="E1915">
        <v>1</v>
      </c>
      <c r="F1915" s="1">
        <v>42019</v>
      </c>
      <c r="G1915" s="1" t="str">
        <f>TEXT(pizza_sales[[#This Row],[order_date]],"dddd")</f>
        <v>Thursday</v>
      </c>
      <c r="H1915" s="2">
        <v>36526.505902777775</v>
      </c>
      <c r="I1915">
        <v>16</v>
      </c>
      <c r="J1915">
        <v>16</v>
      </c>
      <c r="K1915" t="s">
        <v>13</v>
      </c>
      <c r="L1915" t="s">
        <v>14</v>
      </c>
      <c r="M1915" t="s">
        <v>18</v>
      </c>
      <c r="N1915" t="s">
        <v>19</v>
      </c>
    </row>
    <row r="1916" spans="1:14" x14ac:dyDescent="0.3">
      <c r="A1916">
        <v>1915</v>
      </c>
      <c r="B1916">
        <v>849</v>
      </c>
      <c r="C1916">
        <f>1/COUNTIF(pizza_sales[[#All],[order_id]],pizza_sales[[#This Row],[order_id]])</f>
        <v>0.25</v>
      </c>
      <c r="D1916" t="s">
        <v>149</v>
      </c>
      <c r="E1916">
        <v>1</v>
      </c>
      <c r="F1916" s="1">
        <v>42019</v>
      </c>
      <c r="G1916" s="1" t="str">
        <f>TEXT(pizza_sales[[#This Row],[order_date]],"dddd")</f>
        <v>Thursday</v>
      </c>
      <c r="H1916" s="2">
        <v>36526.505902777775</v>
      </c>
      <c r="I1916">
        <v>12.25</v>
      </c>
      <c r="J1916">
        <v>12.25</v>
      </c>
      <c r="K1916" t="s">
        <v>41</v>
      </c>
      <c r="L1916" t="s">
        <v>26</v>
      </c>
      <c r="M1916" t="s">
        <v>114</v>
      </c>
      <c r="N1916" t="s">
        <v>115</v>
      </c>
    </row>
    <row r="1917" spans="1:14" x14ac:dyDescent="0.3">
      <c r="A1917">
        <v>1916</v>
      </c>
      <c r="B1917">
        <v>849</v>
      </c>
      <c r="C1917">
        <f>1/COUNTIF(pizza_sales[[#All],[order_id]],pizza_sales[[#This Row],[order_id]])</f>
        <v>0.25</v>
      </c>
      <c r="D1917" t="s">
        <v>59</v>
      </c>
      <c r="E1917">
        <v>1</v>
      </c>
      <c r="F1917" s="1">
        <v>42019</v>
      </c>
      <c r="G1917" s="1" t="str">
        <f>TEXT(pizza_sales[[#This Row],[order_date]],"dddd")</f>
        <v>Thursday</v>
      </c>
      <c r="H1917" s="2">
        <v>36526.505902777775</v>
      </c>
      <c r="I1917">
        <v>20.75</v>
      </c>
      <c r="J1917">
        <v>20.75</v>
      </c>
      <c r="K1917" t="s">
        <v>21</v>
      </c>
      <c r="L1917" t="s">
        <v>26</v>
      </c>
      <c r="M1917" t="s">
        <v>60</v>
      </c>
      <c r="N1917" t="s">
        <v>61</v>
      </c>
    </row>
    <row r="1918" spans="1:14" x14ac:dyDescent="0.3">
      <c r="A1918">
        <v>1917</v>
      </c>
      <c r="B1918">
        <v>849</v>
      </c>
      <c r="C1918">
        <f>1/COUNTIF(pizza_sales[[#All],[order_id]],pizza_sales[[#This Row],[order_id]])</f>
        <v>0.25</v>
      </c>
      <c r="D1918" t="s">
        <v>150</v>
      </c>
      <c r="E1918">
        <v>1</v>
      </c>
      <c r="F1918" s="1">
        <v>42019</v>
      </c>
      <c r="G1918" s="1" t="str">
        <f>TEXT(pizza_sales[[#This Row],[order_date]],"dddd")</f>
        <v>Thursday</v>
      </c>
      <c r="H1918" s="2">
        <v>36526.505902777775</v>
      </c>
      <c r="I1918">
        <v>12.5</v>
      </c>
      <c r="J1918">
        <v>12.5</v>
      </c>
      <c r="K1918" t="s">
        <v>41</v>
      </c>
      <c r="L1918" t="s">
        <v>26</v>
      </c>
      <c r="M1918" t="s">
        <v>60</v>
      </c>
      <c r="N1918" t="s">
        <v>61</v>
      </c>
    </row>
    <row r="1919" spans="1:14" x14ac:dyDescent="0.3">
      <c r="A1919">
        <v>1918</v>
      </c>
      <c r="B1919">
        <v>850</v>
      </c>
      <c r="C1919">
        <f>1/COUNTIF(pizza_sales[[#All],[order_id]],pizza_sales[[#This Row],[order_id]])</f>
        <v>0.33333333333333331</v>
      </c>
      <c r="D1919" t="s">
        <v>90</v>
      </c>
      <c r="E1919">
        <v>1</v>
      </c>
      <c r="F1919" s="1">
        <v>42019</v>
      </c>
      <c r="G1919" s="1" t="str">
        <f>TEXT(pizza_sales[[#This Row],[order_date]],"dddd")</f>
        <v>Thursday</v>
      </c>
      <c r="H1919" s="2">
        <v>36526.510821759257</v>
      </c>
      <c r="I1919">
        <v>17.95</v>
      </c>
      <c r="J1919">
        <v>17.95</v>
      </c>
      <c r="K1919" t="s">
        <v>21</v>
      </c>
      <c r="L1919" t="s">
        <v>22</v>
      </c>
      <c r="M1919" t="s">
        <v>91</v>
      </c>
      <c r="N1919" t="s">
        <v>92</v>
      </c>
    </row>
    <row r="1920" spans="1:14" x14ac:dyDescent="0.3">
      <c r="A1920">
        <v>1919</v>
      </c>
      <c r="B1920">
        <v>850</v>
      </c>
      <c r="C1920">
        <f>1/COUNTIF(pizza_sales[[#All],[order_id]],pizza_sales[[#This Row],[order_id]])</f>
        <v>0.33333333333333331</v>
      </c>
      <c r="D1920" t="s">
        <v>69</v>
      </c>
      <c r="E1920">
        <v>1</v>
      </c>
      <c r="F1920" s="1">
        <v>42019</v>
      </c>
      <c r="G1920" s="1" t="str">
        <f>TEXT(pizza_sales[[#This Row],[order_date]],"dddd")</f>
        <v>Thursday</v>
      </c>
      <c r="H1920" s="2">
        <v>36526.510821759257</v>
      </c>
      <c r="I1920">
        <v>20.75</v>
      </c>
      <c r="J1920">
        <v>20.75</v>
      </c>
      <c r="K1920" t="s">
        <v>21</v>
      </c>
      <c r="L1920" t="s">
        <v>33</v>
      </c>
      <c r="M1920" t="s">
        <v>70</v>
      </c>
      <c r="N1920" t="s">
        <v>71</v>
      </c>
    </row>
    <row r="1921" spans="1:14" x14ac:dyDescent="0.3">
      <c r="A1921">
        <v>1920</v>
      </c>
      <c r="B1921">
        <v>850</v>
      </c>
      <c r="C1921">
        <f>1/COUNTIF(pizza_sales[[#All],[order_id]],pizza_sales[[#This Row],[order_id]])</f>
        <v>0.33333333333333331</v>
      </c>
      <c r="D1921" t="s">
        <v>137</v>
      </c>
      <c r="E1921">
        <v>1</v>
      </c>
      <c r="F1921" s="1">
        <v>42019</v>
      </c>
      <c r="G1921" s="1" t="str">
        <f>TEXT(pizza_sales[[#This Row],[order_date]],"dddd")</f>
        <v>Thursday</v>
      </c>
      <c r="H1921" s="2">
        <v>36526.510821759257</v>
      </c>
      <c r="I1921">
        <v>16.75</v>
      </c>
      <c r="J1921">
        <v>16.75</v>
      </c>
      <c r="K1921" t="s">
        <v>13</v>
      </c>
      <c r="L1921" t="s">
        <v>33</v>
      </c>
      <c r="M1921" t="s">
        <v>34</v>
      </c>
      <c r="N1921" t="s">
        <v>35</v>
      </c>
    </row>
    <row r="1922" spans="1:14" x14ac:dyDescent="0.3">
      <c r="A1922">
        <v>1921</v>
      </c>
      <c r="B1922">
        <v>851</v>
      </c>
      <c r="C1922">
        <f>1/COUNTIF(pizza_sales[[#All],[order_id]],pizza_sales[[#This Row],[order_id]])</f>
        <v>1</v>
      </c>
      <c r="D1922" t="s">
        <v>72</v>
      </c>
      <c r="E1922">
        <v>1</v>
      </c>
      <c r="F1922" s="1">
        <v>42019</v>
      </c>
      <c r="G1922" s="1" t="str">
        <f>TEXT(pizza_sales[[#This Row],[order_date]],"dddd")</f>
        <v>Thursday</v>
      </c>
      <c r="H1922" s="2">
        <v>36526.514143518521</v>
      </c>
      <c r="I1922">
        <v>20.75</v>
      </c>
      <c r="J1922">
        <v>20.75</v>
      </c>
      <c r="K1922" t="s">
        <v>21</v>
      </c>
      <c r="L1922" t="s">
        <v>33</v>
      </c>
      <c r="M1922" t="s">
        <v>42</v>
      </c>
      <c r="N1922" t="s">
        <v>43</v>
      </c>
    </row>
    <row r="1923" spans="1:14" x14ac:dyDescent="0.3">
      <c r="A1923">
        <v>1922</v>
      </c>
      <c r="B1923">
        <v>852</v>
      </c>
      <c r="C1923">
        <f>1/COUNTIF(pizza_sales[[#All],[order_id]],pizza_sales[[#This Row],[order_id]])</f>
        <v>1</v>
      </c>
      <c r="D1923" t="s">
        <v>137</v>
      </c>
      <c r="E1923">
        <v>1</v>
      </c>
      <c r="F1923" s="1">
        <v>42019</v>
      </c>
      <c r="G1923" s="1" t="str">
        <f>TEXT(pizza_sales[[#This Row],[order_date]],"dddd")</f>
        <v>Thursday</v>
      </c>
      <c r="H1923" s="2">
        <v>36526.523506944446</v>
      </c>
      <c r="I1923">
        <v>16.75</v>
      </c>
      <c r="J1923">
        <v>16.75</v>
      </c>
      <c r="K1923" t="s">
        <v>13</v>
      </c>
      <c r="L1923" t="s">
        <v>33</v>
      </c>
      <c r="M1923" t="s">
        <v>34</v>
      </c>
      <c r="N1923" t="s">
        <v>35</v>
      </c>
    </row>
    <row r="1924" spans="1:14" x14ac:dyDescent="0.3">
      <c r="A1924">
        <v>1923</v>
      </c>
      <c r="B1924">
        <v>853</v>
      </c>
      <c r="C1924">
        <f>1/COUNTIF(pizza_sales[[#All],[order_id]],pizza_sales[[#This Row],[order_id]])</f>
        <v>1</v>
      </c>
      <c r="D1924" t="s">
        <v>119</v>
      </c>
      <c r="E1924">
        <v>1</v>
      </c>
      <c r="F1924" s="1">
        <v>42019</v>
      </c>
      <c r="G1924" s="1" t="str">
        <f>TEXT(pizza_sales[[#This Row],[order_date]],"dddd")</f>
        <v>Thursday</v>
      </c>
      <c r="H1924" s="2">
        <v>36526.525451388887</v>
      </c>
      <c r="I1924">
        <v>12.5</v>
      </c>
      <c r="J1924">
        <v>12.5</v>
      </c>
      <c r="K1924" t="s">
        <v>13</v>
      </c>
      <c r="L1924" t="s">
        <v>14</v>
      </c>
      <c r="M1924" t="s">
        <v>78</v>
      </c>
      <c r="N1924" t="s">
        <v>79</v>
      </c>
    </row>
    <row r="1925" spans="1:14" x14ac:dyDescent="0.3">
      <c r="A1925">
        <v>1924</v>
      </c>
      <c r="B1925">
        <v>854</v>
      </c>
      <c r="C1925">
        <f>1/COUNTIF(pizza_sales[[#All],[order_id]],pizza_sales[[#This Row],[order_id]])</f>
        <v>0.5</v>
      </c>
      <c r="D1925" t="s">
        <v>126</v>
      </c>
      <c r="E1925">
        <v>1</v>
      </c>
      <c r="F1925" s="1">
        <v>42019</v>
      </c>
      <c r="G1925" s="1" t="str">
        <f>TEXT(pizza_sales[[#This Row],[order_date]],"dddd")</f>
        <v>Thursday</v>
      </c>
      <c r="H1925" s="2">
        <v>36526.535636574074</v>
      </c>
      <c r="I1925">
        <v>9.75</v>
      </c>
      <c r="J1925">
        <v>9.75</v>
      </c>
      <c r="K1925" t="s">
        <v>41</v>
      </c>
      <c r="L1925" t="s">
        <v>14</v>
      </c>
      <c r="M1925" t="s">
        <v>78</v>
      </c>
      <c r="N1925" t="s">
        <v>79</v>
      </c>
    </row>
    <row r="1926" spans="1:14" x14ac:dyDescent="0.3">
      <c r="A1926">
        <v>1925</v>
      </c>
      <c r="B1926">
        <v>854</v>
      </c>
      <c r="C1926">
        <f>1/COUNTIF(pizza_sales[[#All],[order_id]],pizza_sales[[#This Row],[order_id]])</f>
        <v>0.5</v>
      </c>
      <c r="D1926" t="s">
        <v>87</v>
      </c>
      <c r="E1926">
        <v>1</v>
      </c>
      <c r="F1926" s="1">
        <v>42019</v>
      </c>
      <c r="G1926" s="1" t="str">
        <f>TEXT(pizza_sales[[#This Row],[order_date]],"dddd")</f>
        <v>Thursday</v>
      </c>
      <c r="H1926" s="2">
        <v>36526.535636574074</v>
      </c>
      <c r="I1926">
        <v>20.75</v>
      </c>
      <c r="J1926">
        <v>20.75</v>
      </c>
      <c r="K1926" t="s">
        <v>21</v>
      </c>
      <c r="L1926" t="s">
        <v>26</v>
      </c>
      <c r="M1926" t="s">
        <v>88</v>
      </c>
      <c r="N1926" t="s">
        <v>89</v>
      </c>
    </row>
    <row r="1927" spans="1:14" x14ac:dyDescent="0.3">
      <c r="A1927">
        <v>1926</v>
      </c>
      <c r="B1927">
        <v>855</v>
      </c>
      <c r="C1927">
        <f>1/COUNTIF(pizza_sales[[#All],[order_id]],pizza_sales[[#This Row],[order_id]])</f>
        <v>0.2</v>
      </c>
      <c r="D1927" t="s">
        <v>20</v>
      </c>
      <c r="E1927">
        <v>1</v>
      </c>
      <c r="F1927" s="1">
        <v>42019</v>
      </c>
      <c r="G1927" s="1" t="str">
        <f>TEXT(pizza_sales[[#This Row],[order_date]],"dddd")</f>
        <v>Thursday</v>
      </c>
      <c r="H1927" s="2">
        <v>36526.539513888885</v>
      </c>
      <c r="I1927">
        <v>18.5</v>
      </c>
      <c r="J1927">
        <v>18.5</v>
      </c>
      <c r="K1927" t="s">
        <v>21</v>
      </c>
      <c r="L1927" t="s">
        <v>22</v>
      </c>
      <c r="M1927" t="s">
        <v>23</v>
      </c>
      <c r="N1927" t="s">
        <v>24</v>
      </c>
    </row>
    <row r="1928" spans="1:14" x14ac:dyDescent="0.3">
      <c r="A1928">
        <v>1927</v>
      </c>
      <c r="B1928">
        <v>855</v>
      </c>
      <c r="C1928">
        <f>1/COUNTIF(pizza_sales[[#All],[order_id]],pizza_sales[[#This Row],[order_id]])</f>
        <v>0.2</v>
      </c>
      <c r="D1928" t="s">
        <v>121</v>
      </c>
      <c r="E1928">
        <v>1</v>
      </c>
      <c r="F1928" s="1">
        <v>42019</v>
      </c>
      <c r="G1928" s="1" t="str">
        <f>TEXT(pizza_sales[[#This Row],[order_date]],"dddd")</f>
        <v>Thursday</v>
      </c>
      <c r="H1928" s="2">
        <v>36526.539513888885</v>
      </c>
      <c r="I1928">
        <v>16.25</v>
      </c>
      <c r="J1928">
        <v>16.25</v>
      </c>
      <c r="K1928" t="s">
        <v>13</v>
      </c>
      <c r="L1928" t="s">
        <v>26</v>
      </c>
      <c r="M1928" t="s">
        <v>114</v>
      </c>
      <c r="N1928" t="s">
        <v>115</v>
      </c>
    </row>
    <row r="1929" spans="1:14" x14ac:dyDescent="0.3">
      <c r="A1929">
        <v>1928</v>
      </c>
      <c r="B1929">
        <v>855</v>
      </c>
      <c r="C1929">
        <f>1/COUNTIF(pizza_sales[[#All],[order_id]],pizza_sales[[#This Row],[order_id]])</f>
        <v>0.2</v>
      </c>
      <c r="D1929" t="s">
        <v>117</v>
      </c>
      <c r="E1929">
        <v>1</v>
      </c>
      <c r="F1929" s="1">
        <v>42019</v>
      </c>
      <c r="G1929" s="1" t="str">
        <f>TEXT(pizza_sales[[#This Row],[order_date]],"dddd")</f>
        <v>Thursday</v>
      </c>
      <c r="H1929" s="2">
        <v>36526.539513888885</v>
      </c>
      <c r="I1929">
        <v>12.75</v>
      </c>
      <c r="J1929">
        <v>12.75</v>
      </c>
      <c r="K1929" t="s">
        <v>41</v>
      </c>
      <c r="L1929" t="s">
        <v>33</v>
      </c>
      <c r="M1929" t="s">
        <v>70</v>
      </c>
      <c r="N1929" t="s">
        <v>71</v>
      </c>
    </row>
    <row r="1930" spans="1:14" x14ac:dyDescent="0.3">
      <c r="A1930">
        <v>1929</v>
      </c>
      <c r="B1930">
        <v>855</v>
      </c>
      <c r="C1930">
        <f>1/COUNTIF(pizza_sales[[#All],[order_id]],pizza_sales[[#This Row],[order_id]])</f>
        <v>0.2</v>
      </c>
      <c r="D1930" t="s">
        <v>164</v>
      </c>
      <c r="E1930">
        <v>1</v>
      </c>
      <c r="F1930" s="1">
        <v>42019</v>
      </c>
      <c r="G1930" s="1" t="str">
        <f>TEXT(pizza_sales[[#This Row],[order_date]],"dddd")</f>
        <v>Thursday</v>
      </c>
      <c r="H1930" s="2">
        <v>36526.539513888885</v>
      </c>
      <c r="I1930">
        <v>16.5</v>
      </c>
      <c r="J1930">
        <v>16.5</v>
      </c>
      <c r="K1930" t="s">
        <v>13</v>
      </c>
      <c r="L1930" t="s">
        <v>22</v>
      </c>
      <c r="M1930" t="s">
        <v>63</v>
      </c>
      <c r="N1930" t="s">
        <v>64</v>
      </c>
    </row>
    <row r="1931" spans="1:14" x14ac:dyDescent="0.3">
      <c r="A1931">
        <v>1930</v>
      </c>
      <c r="B1931">
        <v>855</v>
      </c>
      <c r="C1931">
        <f>1/COUNTIF(pizza_sales[[#All],[order_id]],pizza_sales[[#This Row],[order_id]])</f>
        <v>0.2</v>
      </c>
      <c r="D1931" t="s">
        <v>154</v>
      </c>
      <c r="E1931">
        <v>1</v>
      </c>
      <c r="F1931" s="1">
        <v>42019</v>
      </c>
      <c r="G1931" s="1" t="str">
        <f>TEXT(pizza_sales[[#This Row],[order_date]],"dddd")</f>
        <v>Thursday</v>
      </c>
      <c r="H1931" s="2">
        <v>36526.539513888885</v>
      </c>
      <c r="I1931">
        <v>16</v>
      </c>
      <c r="J1931">
        <v>16</v>
      </c>
      <c r="K1931" t="s">
        <v>13</v>
      </c>
      <c r="L1931" t="s">
        <v>22</v>
      </c>
      <c r="M1931" t="s">
        <v>66</v>
      </c>
      <c r="N1931" t="s">
        <v>67</v>
      </c>
    </row>
    <row r="1932" spans="1:14" x14ac:dyDescent="0.3">
      <c r="A1932">
        <v>1931</v>
      </c>
      <c r="B1932">
        <v>856</v>
      </c>
      <c r="C1932">
        <f>1/COUNTIF(pizza_sales[[#All],[order_id]],pizza_sales[[#This Row],[order_id]])</f>
        <v>1</v>
      </c>
      <c r="D1932" t="s">
        <v>59</v>
      </c>
      <c r="E1932">
        <v>1</v>
      </c>
      <c r="F1932" s="1">
        <v>42019</v>
      </c>
      <c r="G1932" s="1" t="str">
        <f>TEXT(pizza_sales[[#This Row],[order_date]],"dddd")</f>
        <v>Thursday</v>
      </c>
      <c r="H1932" s="2">
        <v>36526.541203703702</v>
      </c>
      <c r="I1932">
        <v>20.75</v>
      </c>
      <c r="J1932">
        <v>20.75</v>
      </c>
      <c r="K1932" t="s">
        <v>21</v>
      </c>
      <c r="L1932" t="s">
        <v>26</v>
      </c>
      <c r="M1932" t="s">
        <v>60</v>
      </c>
      <c r="N1932" t="s">
        <v>61</v>
      </c>
    </row>
    <row r="1933" spans="1:14" x14ac:dyDescent="0.3">
      <c r="A1933">
        <v>1932</v>
      </c>
      <c r="B1933">
        <v>857</v>
      </c>
      <c r="C1933">
        <f>1/COUNTIF(pizza_sales[[#All],[order_id]],pizza_sales[[#This Row],[order_id]])</f>
        <v>1</v>
      </c>
      <c r="D1933" t="s">
        <v>93</v>
      </c>
      <c r="E1933">
        <v>1</v>
      </c>
      <c r="F1933" s="1">
        <v>42019</v>
      </c>
      <c r="G1933" s="1" t="str">
        <f>TEXT(pizza_sales[[#This Row],[order_date]],"dddd")</f>
        <v>Thursday</v>
      </c>
      <c r="H1933" s="2">
        <v>36526.542974537035</v>
      </c>
      <c r="I1933">
        <v>12</v>
      </c>
      <c r="J1933">
        <v>12</v>
      </c>
      <c r="K1933" t="s">
        <v>41</v>
      </c>
      <c r="L1933" t="s">
        <v>14</v>
      </c>
      <c r="M1933" t="s">
        <v>94</v>
      </c>
      <c r="N1933" t="s">
        <v>95</v>
      </c>
    </row>
    <row r="1934" spans="1:14" x14ac:dyDescent="0.3">
      <c r="A1934">
        <v>1933</v>
      </c>
      <c r="B1934">
        <v>858</v>
      </c>
      <c r="C1934">
        <f>1/COUNTIF(pizza_sales[[#All],[order_id]],pizza_sales[[#This Row],[order_id]])</f>
        <v>0.33333333333333331</v>
      </c>
      <c r="D1934" t="s">
        <v>106</v>
      </c>
      <c r="E1934">
        <v>1</v>
      </c>
      <c r="F1934" s="1">
        <v>42019</v>
      </c>
      <c r="G1934" s="1" t="str">
        <f>TEXT(pizza_sales[[#This Row],[order_date]],"dddd")</f>
        <v>Thursday</v>
      </c>
      <c r="H1934" s="2">
        <v>36526.544236111113</v>
      </c>
      <c r="I1934">
        <v>12.5</v>
      </c>
      <c r="J1934">
        <v>12.5</v>
      </c>
      <c r="K1934" t="s">
        <v>41</v>
      </c>
      <c r="L1934" t="s">
        <v>26</v>
      </c>
      <c r="M1934" t="s">
        <v>107</v>
      </c>
      <c r="N1934" t="s">
        <v>108</v>
      </c>
    </row>
    <row r="1935" spans="1:14" x14ac:dyDescent="0.3">
      <c r="A1935">
        <v>1934</v>
      </c>
      <c r="B1935">
        <v>858</v>
      </c>
      <c r="C1935">
        <f>1/COUNTIF(pizza_sales[[#All],[order_id]],pizza_sales[[#This Row],[order_id]])</f>
        <v>0.33333333333333331</v>
      </c>
      <c r="D1935" t="s">
        <v>32</v>
      </c>
      <c r="E1935">
        <v>1</v>
      </c>
      <c r="F1935" s="1">
        <v>42019</v>
      </c>
      <c r="G1935" s="1" t="str">
        <f>TEXT(pizza_sales[[#This Row],[order_date]],"dddd")</f>
        <v>Thursday</v>
      </c>
      <c r="H1935" s="2">
        <v>36526.544236111113</v>
      </c>
      <c r="I1935">
        <v>20.75</v>
      </c>
      <c r="J1935">
        <v>20.75</v>
      </c>
      <c r="K1935" t="s">
        <v>21</v>
      </c>
      <c r="L1935" t="s">
        <v>33</v>
      </c>
      <c r="M1935" t="s">
        <v>34</v>
      </c>
      <c r="N1935" t="s">
        <v>35</v>
      </c>
    </row>
    <row r="1936" spans="1:14" x14ac:dyDescent="0.3">
      <c r="A1936">
        <v>1935</v>
      </c>
      <c r="B1936">
        <v>858</v>
      </c>
      <c r="C1936">
        <f>1/COUNTIF(pizza_sales[[#All],[order_id]],pizza_sales[[#This Row],[order_id]])</f>
        <v>0.33333333333333331</v>
      </c>
      <c r="D1936" t="s">
        <v>154</v>
      </c>
      <c r="E1936">
        <v>1</v>
      </c>
      <c r="F1936" s="1">
        <v>42019</v>
      </c>
      <c r="G1936" s="1" t="str">
        <f>TEXT(pizza_sales[[#This Row],[order_date]],"dddd")</f>
        <v>Thursday</v>
      </c>
      <c r="H1936" s="2">
        <v>36526.544236111113</v>
      </c>
      <c r="I1936">
        <v>16</v>
      </c>
      <c r="J1936">
        <v>16</v>
      </c>
      <c r="K1936" t="s">
        <v>13</v>
      </c>
      <c r="L1936" t="s">
        <v>22</v>
      </c>
      <c r="M1936" t="s">
        <v>66</v>
      </c>
      <c r="N1936" t="s">
        <v>67</v>
      </c>
    </row>
    <row r="1937" spans="1:14" x14ac:dyDescent="0.3">
      <c r="A1937">
        <v>1936</v>
      </c>
      <c r="B1937">
        <v>859</v>
      </c>
      <c r="C1937">
        <f>1/COUNTIF(pizza_sales[[#All],[order_id]],pizza_sales[[#This Row],[order_id]])</f>
        <v>0.25</v>
      </c>
      <c r="D1937" t="s">
        <v>84</v>
      </c>
      <c r="E1937">
        <v>1</v>
      </c>
      <c r="F1937" s="1">
        <v>42019</v>
      </c>
      <c r="G1937" s="1" t="str">
        <f>TEXT(pizza_sales[[#This Row],[order_date]],"dddd")</f>
        <v>Thursday</v>
      </c>
      <c r="H1937" s="2">
        <v>36526.545289351852</v>
      </c>
      <c r="I1937">
        <v>12</v>
      </c>
      <c r="J1937">
        <v>12</v>
      </c>
      <c r="K1937" t="s">
        <v>41</v>
      </c>
      <c r="L1937" t="s">
        <v>14</v>
      </c>
      <c r="M1937" t="s">
        <v>85</v>
      </c>
      <c r="N1937" t="s">
        <v>86</v>
      </c>
    </row>
    <row r="1938" spans="1:14" x14ac:dyDescent="0.3">
      <c r="A1938">
        <v>1937</v>
      </c>
      <c r="B1938">
        <v>859</v>
      </c>
      <c r="C1938">
        <f>1/COUNTIF(pizza_sales[[#All],[order_id]],pizza_sales[[#This Row],[order_id]])</f>
        <v>0.25</v>
      </c>
      <c r="D1938" t="s">
        <v>96</v>
      </c>
      <c r="E1938">
        <v>1</v>
      </c>
      <c r="F1938" s="1">
        <v>42019</v>
      </c>
      <c r="G1938" s="1" t="str">
        <f>TEXT(pizza_sales[[#This Row],[order_date]],"dddd")</f>
        <v>Thursday</v>
      </c>
      <c r="H1938" s="2">
        <v>36526.545289351852</v>
      </c>
      <c r="I1938">
        <v>16.25</v>
      </c>
      <c r="J1938">
        <v>16.25</v>
      </c>
      <c r="K1938" t="s">
        <v>13</v>
      </c>
      <c r="L1938" t="s">
        <v>26</v>
      </c>
      <c r="M1938" t="s">
        <v>97</v>
      </c>
      <c r="N1938" t="s">
        <v>98</v>
      </c>
    </row>
    <row r="1939" spans="1:14" x14ac:dyDescent="0.3">
      <c r="A1939">
        <v>1938</v>
      </c>
      <c r="B1939">
        <v>859</v>
      </c>
      <c r="C1939">
        <f>1/COUNTIF(pizza_sales[[#All],[order_id]],pizza_sales[[#This Row],[order_id]])</f>
        <v>0.25</v>
      </c>
      <c r="D1939" t="s">
        <v>134</v>
      </c>
      <c r="E1939">
        <v>1</v>
      </c>
      <c r="F1939" s="1">
        <v>42019</v>
      </c>
      <c r="G1939" s="1" t="str">
        <f>TEXT(pizza_sales[[#This Row],[order_date]],"dddd")</f>
        <v>Thursday</v>
      </c>
      <c r="H1939" s="2">
        <v>36526.545289351852</v>
      </c>
      <c r="I1939">
        <v>16.75</v>
      </c>
      <c r="J1939">
        <v>16.75</v>
      </c>
      <c r="K1939" t="s">
        <v>13</v>
      </c>
      <c r="L1939" t="s">
        <v>33</v>
      </c>
      <c r="M1939" t="s">
        <v>124</v>
      </c>
      <c r="N1939" t="s">
        <v>125</v>
      </c>
    </row>
    <row r="1940" spans="1:14" x14ac:dyDescent="0.3">
      <c r="A1940">
        <v>1939</v>
      </c>
      <c r="B1940">
        <v>859</v>
      </c>
      <c r="C1940">
        <f>1/COUNTIF(pizza_sales[[#All],[order_id]],pizza_sales[[#This Row],[order_id]])</f>
        <v>0.25</v>
      </c>
      <c r="D1940" t="s">
        <v>170</v>
      </c>
      <c r="E1940">
        <v>1</v>
      </c>
      <c r="F1940" s="1">
        <v>42019</v>
      </c>
      <c r="G1940" s="1" t="str">
        <f>TEXT(pizza_sales[[#This Row],[order_date]],"dddd")</f>
        <v>Thursday</v>
      </c>
      <c r="H1940" s="2">
        <v>36526.545289351852</v>
      </c>
      <c r="I1940">
        <v>20.5</v>
      </c>
      <c r="J1940">
        <v>20.5</v>
      </c>
      <c r="K1940" t="s">
        <v>21</v>
      </c>
      <c r="L1940" t="s">
        <v>14</v>
      </c>
      <c r="M1940" t="s">
        <v>45</v>
      </c>
      <c r="N1940" t="s">
        <v>46</v>
      </c>
    </row>
    <row r="1941" spans="1:14" x14ac:dyDescent="0.3">
      <c r="A1941">
        <v>1940</v>
      </c>
      <c r="B1941">
        <v>860</v>
      </c>
      <c r="C1941">
        <f>1/COUNTIF(pizza_sales[[#All],[order_id]],pizza_sales[[#This Row],[order_id]])</f>
        <v>0.5</v>
      </c>
      <c r="D1941" t="s">
        <v>149</v>
      </c>
      <c r="E1941">
        <v>1</v>
      </c>
      <c r="F1941" s="1">
        <v>42019</v>
      </c>
      <c r="G1941" s="1" t="str">
        <f>TEXT(pizza_sales[[#This Row],[order_date]],"dddd")</f>
        <v>Thursday</v>
      </c>
      <c r="H1941" s="2">
        <v>36526.5471412037</v>
      </c>
      <c r="I1941">
        <v>12.25</v>
      </c>
      <c r="J1941">
        <v>12.25</v>
      </c>
      <c r="K1941" t="s">
        <v>41</v>
      </c>
      <c r="L1941" t="s">
        <v>26</v>
      </c>
      <c r="M1941" t="s">
        <v>114</v>
      </c>
      <c r="N1941" t="s">
        <v>115</v>
      </c>
    </row>
    <row r="1942" spans="1:14" x14ac:dyDescent="0.3">
      <c r="A1942">
        <v>1941</v>
      </c>
      <c r="B1942">
        <v>860</v>
      </c>
      <c r="C1942">
        <f>1/COUNTIF(pizza_sales[[#All],[order_id]],pizza_sales[[#This Row],[order_id]])</f>
        <v>0.5</v>
      </c>
      <c r="D1942" t="s">
        <v>158</v>
      </c>
      <c r="E1942">
        <v>1</v>
      </c>
      <c r="F1942" s="1">
        <v>42019</v>
      </c>
      <c r="G1942" s="1" t="str">
        <f>TEXT(pizza_sales[[#This Row],[order_date]],"dddd")</f>
        <v>Thursday</v>
      </c>
      <c r="H1942" s="2">
        <v>36526.5471412037</v>
      </c>
      <c r="I1942">
        <v>16.5</v>
      </c>
      <c r="J1942">
        <v>16.5</v>
      </c>
      <c r="K1942" t="s">
        <v>13</v>
      </c>
      <c r="L1942" t="s">
        <v>26</v>
      </c>
      <c r="M1942" t="s">
        <v>60</v>
      </c>
      <c r="N1942" t="s">
        <v>61</v>
      </c>
    </row>
    <row r="1943" spans="1:14" x14ac:dyDescent="0.3">
      <c r="A1943">
        <v>1942</v>
      </c>
      <c r="B1943">
        <v>861</v>
      </c>
      <c r="C1943">
        <f>1/COUNTIF(pizza_sales[[#All],[order_id]],pizza_sales[[#This Row],[order_id]])</f>
        <v>1</v>
      </c>
      <c r="D1943" t="s">
        <v>37</v>
      </c>
      <c r="E1943">
        <v>1</v>
      </c>
      <c r="F1943" s="1">
        <v>42019</v>
      </c>
      <c r="G1943" s="1" t="str">
        <f>TEXT(pizza_sales[[#This Row],[order_date]],"dddd")</f>
        <v>Thursday</v>
      </c>
      <c r="H1943" s="2">
        <v>36526.547731481478</v>
      </c>
      <c r="I1943">
        <v>20.75</v>
      </c>
      <c r="J1943">
        <v>20.75</v>
      </c>
      <c r="K1943" t="s">
        <v>21</v>
      </c>
      <c r="L1943" t="s">
        <v>26</v>
      </c>
      <c r="M1943" t="s">
        <v>38</v>
      </c>
      <c r="N1943" t="s">
        <v>39</v>
      </c>
    </row>
    <row r="1944" spans="1:14" x14ac:dyDescent="0.3">
      <c r="A1944">
        <v>1943</v>
      </c>
      <c r="B1944">
        <v>862</v>
      </c>
      <c r="C1944">
        <f>1/COUNTIF(pizza_sales[[#All],[order_id]],pizza_sales[[#This Row],[order_id]])</f>
        <v>1</v>
      </c>
      <c r="D1944" t="s">
        <v>147</v>
      </c>
      <c r="E1944">
        <v>1</v>
      </c>
      <c r="F1944" s="1">
        <v>42019</v>
      </c>
      <c r="G1944" s="1" t="str">
        <f>TEXT(pizza_sales[[#This Row],[order_date]],"dddd")</f>
        <v>Thursday</v>
      </c>
      <c r="H1944" s="2">
        <v>36526.549131944441</v>
      </c>
      <c r="I1944">
        <v>16.75</v>
      </c>
      <c r="J1944">
        <v>16.75</v>
      </c>
      <c r="K1944" t="s">
        <v>13</v>
      </c>
      <c r="L1944" t="s">
        <v>33</v>
      </c>
      <c r="M1944" t="s">
        <v>70</v>
      </c>
      <c r="N1944" t="s">
        <v>71</v>
      </c>
    </row>
    <row r="1945" spans="1:14" x14ac:dyDescent="0.3">
      <c r="A1945">
        <v>1944</v>
      </c>
      <c r="B1945">
        <v>863</v>
      </c>
      <c r="C1945">
        <f>1/COUNTIF(pizza_sales[[#All],[order_id]],pizza_sales[[#This Row],[order_id]])</f>
        <v>1</v>
      </c>
      <c r="D1945" t="s">
        <v>137</v>
      </c>
      <c r="E1945">
        <v>1</v>
      </c>
      <c r="F1945" s="1">
        <v>42019</v>
      </c>
      <c r="G1945" s="1" t="str">
        <f>TEXT(pizza_sales[[#This Row],[order_date]],"dddd")</f>
        <v>Thursday</v>
      </c>
      <c r="H1945" s="2">
        <v>36526.550335648149</v>
      </c>
      <c r="I1945">
        <v>16.75</v>
      </c>
      <c r="J1945">
        <v>16.75</v>
      </c>
      <c r="K1945" t="s">
        <v>13</v>
      </c>
      <c r="L1945" t="s">
        <v>33</v>
      </c>
      <c r="M1945" t="s">
        <v>34</v>
      </c>
      <c r="N1945" t="s">
        <v>35</v>
      </c>
    </row>
    <row r="1946" spans="1:14" x14ac:dyDescent="0.3">
      <c r="A1946">
        <v>1945</v>
      </c>
      <c r="B1946">
        <v>864</v>
      </c>
      <c r="C1946">
        <f>1/COUNTIF(pizza_sales[[#All],[order_id]],pizza_sales[[#This Row],[order_id]])</f>
        <v>0.1111111111111111</v>
      </c>
      <c r="D1946" t="s">
        <v>84</v>
      </c>
      <c r="E1946">
        <v>1</v>
      </c>
      <c r="F1946" s="1">
        <v>42019</v>
      </c>
      <c r="G1946" s="1" t="str">
        <f>TEXT(pizza_sales[[#This Row],[order_date]],"dddd")</f>
        <v>Thursday</v>
      </c>
      <c r="H1946" s="2">
        <v>36526.586377314816</v>
      </c>
      <c r="I1946">
        <v>12</v>
      </c>
      <c r="J1946">
        <v>12</v>
      </c>
      <c r="K1946" t="s">
        <v>41</v>
      </c>
      <c r="L1946" t="s">
        <v>14</v>
      </c>
      <c r="M1946" t="s">
        <v>85</v>
      </c>
      <c r="N1946" t="s">
        <v>86</v>
      </c>
    </row>
    <row r="1947" spans="1:14" x14ac:dyDescent="0.3">
      <c r="A1947">
        <v>1946</v>
      </c>
      <c r="B1947">
        <v>864</v>
      </c>
      <c r="C1947">
        <f>1/COUNTIF(pizza_sales[[#All],[order_id]],pizza_sales[[#This Row],[order_id]])</f>
        <v>0.1111111111111111</v>
      </c>
      <c r="D1947" t="s">
        <v>132</v>
      </c>
      <c r="E1947">
        <v>1</v>
      </c>
      <c r="F1947" s="1">
        <v>42019</v>
      </c>
      <c r="G1947" s="1" t="str">
        <f>TEXT(pizza_sales[[#This Row],[order_date]],"dddd")</f>
        <v>Thursday</v>
      </c>
      <c r="H1947" s="2">
        <v>36526.586377314816</v>
      </c>
      <c r="I1947">
        <v>10.5</v>
      </c>
      <c r="J1947">
        <v>10.5</v>
      </c>
      <c r="K1947" t="s">
        <v>41</v>
      </c>
      <c r="L1947" t="s">
        <v>14</v>
      </c>
      <c r="M1947" t="s">
        <v>15</v>
      </c>
      <c r="N1947" t="s">
        <v>16</v>
      </c>
    </row>
    <row r="1948" spans="1:14" x14ac:dyDescent="0.3">
      <c r="A1948">
        <v>1947</v>
      </c>
      <c r="B1948">
        <v>864</v>
      </c>
      <c r="C1948">
        <f>1/COUNTIF(pizza_sales[[#All],[order_id]],pizza_sales[[#This Row],[order_id]])</f>
        <v>0.1111111111111111</v>
      </c>
      <c r="D1948" t="s">
        <v>25</v>
      </c>
      <c r="E1948">
        <v>1</v>
      </c>
      <c r="F1948" s="1">
        <v>42019</v>
      </c>
      <c r="G1948" s="1" t="str">
        <f>TEXT(pizza_sales[[#This Row],[order_date]],"dddd")</f>
        <v>Thursday</v>
      </c>
      <c r="H1948" s="2">
        <v>36526.586377314816</v>
      </c>
      <c r="I1948">
        <v>20.75</v>
      </c>
      <c r="J1948">
        <v>20.75</v>
      </c>
      <c r="K1948" t="s">
        <v>21</v>
      </c>
      <c r="L1948" t="s">
        <v>26</v>
      </c>
      <c r="M1948" t="s">
        <v>27</v>
      </c>
      <c r="N1948" t="s">
        <v>28</v>
      </c>
    </row>
    <row r="1949" spans="1:14" x14ac:dyDescent="0.3">
      <c r="A1949">
        <v>1948</v>
      </c>
      <c r="B1949">
        <v>864</v>
      </c>
      <c r="C1949">
        <f>1/COUNTIF(pizza_sales[[#All],[order_id]],pizza_sales[[#This Row],[order_id]])</f>
        <v>0.1111111111111111</v>
      </c>
      <c r="D1949" t="s">
        <v>103</v>
      </c>
      <c r="E1949">
        <v>1</v>
      </c>
      <c r="F1949" s="1">
        <v>42019</v>
      </c>
      <c r="G1949" s="1" t="str">
        <f>TEXT(pizza_sales[[#This Row],[order_date]],"dddd")</f>
        <v>Thursday</v>
      </c>
      <c r="H1949" s="2">
        <v>36526.586377314816</v>
      </c>
      <c r="I1949">
        <v>16</v>
      </c>
      <c r="J1949">
        <v>16</v>
      </c>
      <c r="K1949" t="s">
        <v>13</v>
      </c>
      <c r="L1949" t="s">
        <v>22</v>
      </c>
      <c r="M1949" t="s">
        <v>104</v>
      </c>
      <c r="N1949" t="s">
        <v>105</v>
      </c>
    </row>
    <row r="1950" spans="1:14" x14ac:dyDescent="0.3">
      <c r="A1950">
        <v>1949</v>
      </c>
      <c r="B1950">
        <v>864</v>
      </c>
      <c r="C1950">
        <f>1/COUNTIF(pizza_sales[[#All],[order_id]],pizza_sales[[#This Row],[order_id]])</f>
        <v>0.1111111111111111</v>
      </c>
      <c r="D1950" t="s">
        <v>113</v>
      </c>
      <c r="E1950">
        <v>1</v>
      </c>
      <c r="F1950" s="1">
        <v>42019</v>
      </c>
      <c r="G1950" s="1" t="str">
        <f>TEXT(pizza_sales[[#This Row],[order_date]],"dddd")</f>
        <v>Thursday</v>
      </c>
      <c r="H1950" s="2">
        <v>36526.586377314816</v>
      </c>
      <c r="I1950">
        <v>20.25</v>
      </c>
      <c r="J1950">
        <v>20.25</v>
      </c>
      <c r="K1950" t="s">
        <v>21</v>
      </c>
      <c r="L1950" t="s">
        <v>26</v>
      </c>
      <c r="M1950" t="s">
        <v>114</v>
      </c>
      <c r="N1950" t="s">
        <v>115</v>
      </c>
    </row>
    <row r="1951" spans="1:14" x14ac:dyDescent="0.3">
      <c r="A1951">
        <v>1950</v>
      </c>
      <c r="B1951">
        <v>864</v>
      </c>
      <c r="C1951">
        <f>1/COUNTIF(pizza_sales[[#All],[order_id]],pizza_sales[[#This Row],[order_id]])</f>
        <v>0.1111111111111111</v>
      </c>
      <c r="D1951" t="s">
        <v>109</v>
      </c>
      <c r="E1951">
        <v>1</v>
      </c>
      <c r="F1951" s="1">
        <v>42019</v>
      </c>
      <c r="G1951" s="1" t="str">
        <f>TEXT(pizza_sales[[#This Row],[order_date]],"dddd")</f>
        <v>Thursday</v>
      </c>
      <c r="H1951" s="2">
        <v>36526.586377314816</v>
      </c>
      <c r="I1951">
        <v>20.25</v>
      </c>
      <c r="J1951">
        <v>20.25</v>
      </c>
      <c r="K1951" t="s">
        <v>21</v>
      </c>
      <c r="L1951" t="s">
        <v>22</v>
      </c>
      <c r="M1951" t="s">
        <v>110</v>
      </c>
      <c r="N1951" t="s">
        <v>111</v>
      </c>
    </row>
    <row r="1952" spans="1:14" x14ac:dyDescent="0.3">
      <c r="A1952">
        <v>1951</v>
      </c>
      <c r="B1952">
        <v>864</v>
      </c>
      <c r="C1952">
        <f>1/COUNTIF(pizza_sales[[#All],[order_id]],pizza_sales[[#This Row],[order_id]])</f>
        <v>0.1111111111111111</v>
      </c>
      <c r="D1952" t="s">
        <v>152</v>
      </c>
      <c r="E1952">
        <v>1</v>
      </c>
      <c r="F1952" s="1">
        <v>42019</v>
      </c>
      <c r="G1952" s="1" t="str">
        <f>TEXT(pizza_sales[[#This Row],[order_date]],"dddd")</f>
        <v>Thursday</v>
      </c>
      <c r="H1952" s="2">
        <v>36526.586377314816</v>
      </c>
      <c r="I1952">
        <v>20.75</v>
      </c>
      <c r="J1952">
        <v>20.75</v>
      </c>
      <c r="K1952" t="s">
        <v>21</v>
      </c>
      <c r="L1952" t="s">
        <v>26</v>
      </c>
      <c r="M1952" t="s">
        <v>48</v>
      </c>
      <c r="N1952" t="s">
        <v>49</v>
      </c>
    </row>
    <row r="1953" spans="1:14" x14ac:dyDescent="0.3">
      <c r="A1953">
        <v>1952</v>
      </c>
      <c r="B1953">
        <v>864</v>
      </c>
      <c r="C1953">
        <f>1/COUNTIF(pizza_sales[[#All],[order_id]],pizza_sales[[#This Row],[order_id]])</f>
        <v>0.1111111111111111</v>
      </c>
      <c r="D1953" t="s">
        <v>155</v>
      </c>
      <c r="E1953">
        <v>1</v>
      </c>
      <c r="F1953" s="1">
        <v>42019</v>
      </c>
      <c r="G1953" s="1" t="str">
        <f>TEXT(pizza_sales[[#This Row],[order_date]],"dddd")</f>
        <v>Thursday</v>
      </c>
      <c r="H1953" s="2">
        <v>36526.586377314816</v>
      </c>
      <c r="I1953">
        <v>16</v>
      </c>
      <c r="J1953">
        <v>16</v>
      </c>
      <c r="K1953" t="s">
        <v>13</v>
      </c>
      <c r="L1953" t="s">
        <v>14</v>
      </c>
      <c r="M1953" t="s">
        <v>45</v>
      </c>
      <c r="N1953" t="s">
        <v>46</v>
      </c>
    </row>
    <row r="1954" spans="1:14" x14ac:dyDescent="0.3">
      <c r="A1954">
        <v>1953</v>
      </c>
      <c r="B1954">
        <v>864</v>
      </c>
      <c r="C1954">
        <f>1/COUNTIF(pizza_sales[[#All],[order_id]],pizza_sales[[#This Row],[order_id]])</f>
        <v>0.1111111111111111</v>
      </c>
      <c r="D1954" t="s">
        <v>154</v>
      </c>
      <c r="E1954">
        <v>1</v>
      </c>
      <c r="F1954" s="1">
        <v>42019</v>
      </c>
      <c r="G1954" s="1" t="str">
        <f>TEXT(pizza_sales[[#This Row],[order_date]],"dddd")</f>
        <v>Thursday</v>
      </c>
      <c r="H1954" s="2">
        <v>36526.586377314816</v>
      </c>
      <c r="I1954">
        <v>16</v>
      </c>
      <c r="J1954">
        <v>16</v>
      </c>
      <c r="K1954" t="s">
        <v>13</v>
      </c>
      <c r="L1954" t="s">
        <v>22</v>
      </c>
      <c r="M1954" t="s">
        <v>66</v>
      </c>
      <c r="N1954" t="s">
        <v>67</v>
      </c>
    </row>
    <row r="1955" spans="1:14" x14ac:dyDescent="0.3">
      <c r="A1955">
        <v>1954</v>
      </c>
      <c r="B1955">
        <v>865</v>
      </c>
      <c r="C1955">
        <f>1/COUNTIF(pizza_sales[[#All],[order_id]],pizza_sales[[#This Row],[order_id]])</f>
        <v>1</v>
      </c>
      <c r="D1955" t="s">
        <v>50</v>
      </c>
      <c r="E1955">
        <v>1</v>
      </c>
      <c r="F1955" s="1">
        <v>42019</v>
      </c>
      <c r="G1955" s="1" t="str">
        <f>TEXT(pizza_sales[[#This Row],[order_date]],"dddd")</f>
        <v>Thursday</v>
      </c>
      <c r="H1955" s="2">
        <v>36526.590277777781</v>
      </c>
      <c r="I1955">
        <v>12</v>
      </c>
      <c r="J1955">
        <v>12</v>
      </c>
      <c r="K1955" t="s">
        <v>41</v>
      </c>
      <c r="L1955" t="s">
        <v>14</v>
      </c>
      <c r="M1955" t="s">
        <v>18</v>
      </c>
      <c r="N1955" t="s">
        <v>19</v>
      </c>
    </row>
    <row r="1956" spans="1:14" x14ac:dyDescent="0.3">
      <c r="A1956">
        <v>1955</v>
      </c>
      <c r="B1956">
        <v>866</v>
      </c>
      <c r="C1956">
        <f>1/COUNTIF(pizza_sales[[#All],[order_id]],pizza_sales[[#This Row],[order_id]])</f>
        <v>1</v>
      </c>
      <c r="D1956" t="s">
        <v>133</v>
      </c>
      <c r="E1956">
        <v>1</v>
      </c>
      <c r="F1956" s="1">
        <v>42019</v>
      </c>
      <c r="G1956" s="1" t="str">
        <f>TEXT(pizza_sales[[#This Row],[order_date]],"dddd")</f>
        <v>Thursday</v>
      </c>
      <c r="H1956" s="2">
        <v>36526.595937500002</v>
      </c>
      <c r="I1956">
        <v>16.5</v>
      </c>
      <c r="J1956">
        <v>16.5</v>
      </c>
      <c r="K1956" t="s">
        <v>13</v>
      </c>
      <c r="L1956" t="s">
        <v>26</v>
      </c>
      <c r="M1956" t="s">
        <v>107</v>
      </c>
      <c r="N1956" t="s">
        <v>108</v>
      </c>
    </row>
    <row r="1957" spans="1:14" x14ac:dyDescent="0.3">
      <c r="A1957">
        <v>1956</v>
      </c>
      <c r="B1957">
        <v>867</v>
      </c>
      <c r="C1957">
        <f>1/COUNTIF(pizza_sales[[#All],[order_id]],pizza_sales[[#This Row],[order_id]])</f>
        <v>0.5</v>
      </c>
      <c r="D1957" t="s">
        <v>142</v>
      </c>
      <c r="E1957">
        <v>1</v>
      </c>
      <c r="F1957" s="1">
        <v>42019</v>
      </c>
      <c r="G1957" s="1" t="str">
        <f>TEXT(pizza_sales[[#This Row],[order_date]],"dddd")</f>
        <v>Thursday</v>
      </c>
      <c r="H1957" s="2">
        <v>36526.596851851849</v>
      </c>
      <c r="I1957">
        <v>16.5</v>
      </c>
      <c r="J1957">
        <v>16.5</v>
      </c>
      <c r="K1957" t="s">
        <v>21</v>
      </c>
      <c r="L1957" t="s">
        <v>14</v>
      </c>
      <c r="M1957" t="s">
        <v>15</v>
      </c>
      <c r="N1957" t="s">
        <v>16</v>
      </c>
    </row>
    <row r="1958" spans="1:14" x14ac:dyDescent="0.3">
      <c r="A1958">
        <v>1957</v>
      </c>
      <c r="B1958">
        <v>867</v>
      </c>
      <c r="C1958">
        <f>1/COUNTIF(pizza_sales[[#All],[order_id]],pizza_sales[[#This Row],[order_id]])</f>
        <v>0.5</v>
      </c>
      <c r="D1958" t="s">
        <v>132</v>
      </c>
      <c r="E1958">
        <v>1</v>
      </c>
      <c r="F1958" s="1">
        <v>42019</v>
      </c>
      <c r="G1958" s="1" t="str">
        <f>TEXT(pizza_sales[[#This Row],[order_date]],"dddd")</f>
        <v>Thursday</v>
      </c>
      <c r="H1958" s="2">
        <v>36526.596851851849</v>
      </c>
      <c r="I1958">
        <v>10.5</v>
      </c>
      <c r="J1958">
        <v>10.5</v>
      </c>
      <c r="K1958" t="s">
        <v>41</v>
      </c>
      <c r="L1958" t="s">
        <v>14</v>
      </c>
      <c r="M1958" t="s">
        <v>15</v>
      </c>
      <c r="N1958" t="s">
        <v>16</v>
      </c>
    </row>
    <row r="1959" spans="1:14" x14ac:dyDescent="0.3">
      <c r="A1959">
        <v>1958</v>
      </c>
      <c r="B1959">
        <v>868</v>
      </c>
      <c r="C1959">
        <f>1/COUNTIF(pizza_sales[[#All],[order_id]],pizza_sales[[#This Row],[order_id]])</f>
        <v>1</v>
      </c>
      <c r="D1959" t="s">
        <v>171</v>
      </c>
      <c r="E1959">
        <v>1</v>
      </c>
      <c r="F1959" s="1">
        <v>42019</v>
      </c>
      <c r="G1959" s="1" t="str">
        <f>TEXT(pizza_sales[[#This Row],[order_date]],"dddd")</f>
        <v>Thursday</v>
      </c>
      <c r="H1959" s="2">
        <v>36526.602372685185</v>
      </c>
      <c r="I1959">
        <v>16.5</v>
      </c>
      <c r="J1959">
        <v>16.5</v>
      </c>
      <c r="K1959" t="s">
        <v>13</v>
      </c>
      <c r="L1959" t="s">
        <v>26</v>
      </c>
      <c r="M1959" t="s">
        <v>88</v>
      </c>
      <c r="N1959" t="s">
        <v>89</v>
      </c>
    </row>
    <row r="1960" spans="1:14" x14ac:dyDescent="0.3">
      <c r="A1960">
        <v>1959</v>
      </c>
      <c r="B1960">
        <v>869</v>
      </c>
      <c r="C1960">
        <f>1/COUNTIF(pizza_sales[[#All],[order_id]],pizza_sales[[#This Row],[order_id]])</f>
        <v>0.5</v>
      </c>
      <c r="D1960" t="s">
        <v>144</v>
      </c>
      <c r="E1960">
        <v>1</v>
      </c>
      <c r="F1960" s="1">
        <v>42019</v>
      </c>
      <c r="G1960" s="1" t="str">
        <f>TEXT(pizza_sales[[#This Row],[order_date]],"dddd")</f>
        <v>Thursday</v>
      </c>
      <c r="H1960" s="2">
        <v>36526.605358796296</v>
      </c>
      <c r="I1960">
        <v>16.5</v>
      </c>
      <c r="J1960">
        <v>16.5</v>
      </c>
      <c r="K1960" t="s">
        <v>13</v>
      </c>
      <c r="L1960" t="s">
        <v>26</v>
      </c>
      <c r="M1960" t="s">
        <v>48</v>
      </c>
      <c r="N1960" t="s">
        <v>49</v>
      </c>
    </row>
    <row r="1961" spans="1:14" x14ac:dyDescent="0.3">
      <c r="A1961">
        <v>1960</v>
      </c>
      <c r="B1961">
        <v>869</v>
      </c>
      <c r="C1961">
        <f>1/COUNTIF(pizza_sales[[#All],[order_id]],pizza_sales[[#This Row],[order_id]])</f>
        <v>0.5</v>
      </c>
      <c r="D1961" t="s">
        <v>32</v>
      </c>
      <c r="E1961">
        <v>1</v>
      </c>
      <c r="F1961" s="1">
        <v>42019</v>
      </c>
      <c r="G1961" s="1" t="str">
        <f>TEXT(pizza_sales[[#This Row],[order_date]],"dddd")</f>
        <v>Thursday</v>
      </c>
      <c r="H1961" s="2">
        <v>36526.605358796296</v>
      </c>
      <c r="I1961">
        <v>20.75</v>
      </c>
      <c r="J1961">
        <v>20.75</v>
      </c>
      <c r="K1961" t="s">
        <v>21</v>
      </c>
      <c r="L1961" t="s">
        <v>33</v>
      </c>
      <c r="M1961" t="s">
        <v>34</v>
      </c>
      <c r="N1961" t="s">
        <v>35</v>
      </c>
    </row>
    <row r="1962" spans="1:14" x14ac:dyDescent="0.3">
      <c r="A1962">
        <v>1961</v>
      </c>
      <c r="B1962">
        <v>870</v>
      </c>
      <c r="C1962">
        <f>1/COUNTIF(pizza_sales[[#All],[order_id]],pizza_sales[[#This Row],[order_id]])</f>
        <v>0.5</v>
      </c>
      <c r="D1962" t="s">
        <v>20</v>
      </c>
      <c r="E1962">
        <v>1</v>
      </c>
      <c r="F1962" s="1">
        <v>42019</v>
      </c>
      <c r="G1962" s="1" t="str">
        <f>TEXT(pizza_sales[[#This Row],[order_date]],"dddd")</f>
        <v>Thursday</v>
      </c>
      <c r="H1962" s="2">
        <v>36526.610081018516</v>
      </c>
      <c r="I1962">
        <v>18.5</v>
      </c>
      <c r="J1962">
        <v>18.5</v>
      </c>
      <c r="K1962" t="s">
        <v>21</v>
      </c>
      <c r="L1962" t="s">
        <v>22</v>
      </c>
      <c r="M1962" t="s">
        <v>23</v>
      </c>
      <c r="N1962" t="s">
        <v>24</v>
      </c>
    </row>
    <row r="1963" spans="1:14" x14ac:dyDescent="0.3">
      <c r="A1963">
        <v>1962</v>
      </c>
      <c r="B1963">
        <v>870</v>
      </c>
      <c r="C1963">
        <f>1/COUNTIF(pizza_sales[[#All],[order_id]],pizza_sales[[#This Row],[order_id]])</f>
        <v>0.5</v>
      </c>
      <c r="D1963" t="s">
        <v>99</v>
      </c>
      <c r="E1963">
        <v>1</v>
      </c>
      <c r="F1963" s="1">
        <v>42019</v>
      </c>
      <c r="G1963" s="1" t="str">
        <f>TEXT(pizza_sales[[#This Row],[order_date]],"dddd")</f>
        <v>Thursday</v>
      </c>
      <c r="H1963" s="2">
        <v>36526.610081018516</v>
      </c>
      <c r="I1963">
        <v>14.75</v>
      </c>
      <c r="J1963">
        <v>14.75</v>
      </c>
      <c r="K1963" t="s">
        <v>13</v>
      </c>
      <c r="L1963" t="s">
        <v>22</v>
      </c>
      <c r="M1963" t="s">
        <v>91</v>
      </c>
      <c r="N1963" t="s">
        <v>92</v>
      </c>
    </row>
    <row r="1964" spans="1:14" x14ac:dyDescent="0.3">
      <c r="A1964">
        <v>1963</v>
      </c>
      <c r="B1964">
        <v>871</v>
      </c>
      <c r="C1964">
        <f>1/COUNTIF(pizza_sales[[#All],[order_id]],pizza_sales[[#This Row],[order_id]])</f>
        <v>1</v>
      </c>
      <c r="D1964" t="s">
        <v>123</v>
      </c>
      <c r="E1964">
        <v>1</v>
      </c>
      <c r="F1964" s="1">
        <v>42019</v>
      </c>
      <c r="G1964" s="1" t="str">
        <f>TEXT(pizza_sales[[#This Row],[order_date]],"dddd")</f>
        <v>Thursday</v>
      </c>
      <c r="H1964" s="2">
        <v>36526.614837962959</v>
      </c>
      <c r="I1964">
        <v>12.75</v>
      </c>
      <c r="J1964">
        <v>12.75</v>
      </c>
      <c r="K1964" t="s">
        <v>41</v>
      </c>
      <c r="L1964" t="s">
        <v>33</v>
      </c>
      <c r="M1964" t="s">
        <v>124</v>
      </c>
      <c r="N1964" t="s">
        <v>125</v>
      </c>
    </row>
    <row r="1965" spans="1:14" x14ac:dyDescent="0.3">
      <c r="A1965">
        <v>1964</v>
      </c>
      <c r="B1965">
        <v>872</v>
      </c>
      <c r="C1965">
        <f>1/COUNTIF(pizza_sales[[#All],[order_id]],pizza_sales[[#This Row],[order_id]])</f>
        <v>1</v>
      </c>
      <c r="D1965" t="s">
        <v>145</v>
      </c>
      <c r="E1965">
        <v>1</v>
      </c>
      <c r="F1965" s="1">
        <v>42019</v>
      </c>
      <c r="G1965" s="1" t="str">
        <f>TEXT(pizza_sales[[#This Row],[order_date]],"dddd")</f>
        <v>Thursday</v>
      </c>
      <c r="H1965" s="2">
        <v>36526.617094907408</v>
      </c>
      <c r="I1965">
        <v>16.5</v>
      </c>
      <c r="J1965">
        <v>16.5</v>
      </c>
      <c r="K1965" t="s">
        <v>13</v>
      </c>
      <c r="L1965" t="s">
        <v>26</v>
      </c>
      <c r="M1965" t="s">
        <v>38</v>
      </c>
      <c r="N1965" t="s">
        <v>39</v>
      </c>
    </row>
    <row r="1966" spans="1:14" x14ac:dyDescent="0.3">
      <c r="A1966">
        <v>1965</v>
      </c>
      <c r="B1966">
        <v>873</v>
      </c>
      <c r="C1966">
        <f>1/COUNTIF(pizza_sales[[#All],[order_id]],pizza_sales[[#This Row],[order_id]])</f>
        <v>1</v>
      </c>
      <c r="D1966" t="s">
        <v>119</v>
      </c>
      <c r="E1966">
        <v>1</v>
      </c>
      <c r="F1966" s="1">
        <v>42019</v>
      </c>
      <c r="G1966" s="1" t="str">
        <f>TEXT(pizza_sales[[#This Row],[order_date]],"dddd")</f>
        <v>Thursday</v>
      </c>
      <c r="H1966" s="2">
        <v>36526.629340277781</v>
      </c>
      <c r="I1966">
        <v>12.5</v>
      </c>
      <c r="J1966">
        <v>12.5</v>
      </c>
      <c r="K1966" t="s">
        <v>13</v>
      </c>
      <c r="L1966" t="s">
        <v>14</v>
      </c>
      <c r="M1966" t="s">
        <v>78</v>
      </c>
      <c r="N1966" t="s">
        <v>79</v>
      </c>
    </row>
    <row r="1967" spans="1:14" x14ac:dyDescent="0.3">
      <c r="A1967">
        <v>1966</v>
      </c>
      <c r="B1967">
        <v>874</v>
      </c>
      <c r="C1967">
        <f>1/COUNTIF(pizza_sales[[#All],[order_id]],pizza_sales[[#This Row],[order_id]])</f>
        <v>0.5</v>
      </c>
      <c r="D1967" t="s">
        <v>143</v>
      </c>
      <c r="E1967">
        <v>1</v>
      </c>
      <c r="F1967" s="1">
        <v>42019</v>
      </c>
      <c r="G1967" s="1" t="str">
        <f>TEXT(pizza_sales[[#This Row],[order_date]],"dddd")</f>
        <v>Thursday</v>
      </c>
      <c r="H1967" s="2">
        <v>36526.639305555553</v>
      </c>
      <c r="I1967">
        <v>11</v>
      </c>
      <c r="J1967">
        <v>11</v>
      </c>
      <c r="K1967" t="s">
        <v>41</v>
      </c>
      <c r="L1967" t="s">
        <v>14</v>
      </c>
      <c r="M1967" t="s">
        <v>130</v>
      </c>
      <c r="N1967" t="s">
        <v>131</v>
      </c>
    </row>
    <row r="1968" spans="1:14" x14ac:dyDescent="0.3">
      <c r="A1968">
        <v>1967</v>
      </c>
      <c r="B1968">
        <v>874</v>
      </c>
      <c r="C1968">
        <f>1/COUNTIF(pizza_sales[[#All],[order_id]],pizza_sales[[#This Row],[order_id]])</f>
        <v>0.5</v>
      </c>
      <c r="D1968" t="s">
        <v>69</v>
      </c>
      <c r="E1968">
        <v>1</v>
      </c>
      <c r="F1968" s="1">
        <v>42019</v>
      </c>
      <c r="G1968" s="1" t="str">
        <f>TEXT(pizza_sales[[#This Row],[order_date]],"dddd")</f>
        <v>Thursday</v>
      </c>
      <c r="H1968" s="2">
        <v>36526.639305555553</v>
      </c>
      <c r="I1968">
        <v>20.75</v>
      </c>
      <c r="J1968">
        <v>20.75</v>
      </c>
      <c r="K1968" t="s">
        <v>21</v>
      </c>
      <c r="L1968" t="s">
        <v>33</v>
      </c>
      <c r="M1968" t="s">
        <v>70</v>
      </c>
      <c r="N1968" t="s">
        <v>71</v>
      </c>
    </row>
    <row r="1969" spans="1:14" x14ac:dyDescent="0.3">
      <c r="A1969">
        <v>1968</v>
      </c>
      <c r="B1969">
        <v>875</v>
      </c>
      <c r="C1969">
        <f>1/COUNTIF(pizza_sales[[#All],[order_id]],pizza_sales[[#This Row],[order_id]])</f>
        <v>1</v>
      </c>
      <c r="D1969" t="s">
        <v>76</v>
      </c>
      <c r="E1969">
        <v>1</v>
      </c>
      <c r="F1969" s="1">
        <v>42019</v>
      </c>
      <c r="G1969" s="1" t="str">
        <f>TEXT(pizza_sales[[#This Row],[order_date]],"dddd")</f>
        <v>Thursday</v>
      </c>
      <c r="H1969" s="2">
        <v>36526.641215277778</v>
      </c>
      <c r="I1969">
        <v>16.75</v>
      </c>
      <c r="J1969">
        <v>16.75</v>
      </c>
      <c r="K1969" t="s">
        <v>13</v>
      </c>
      <c r="L1969" t="s">
        <v>33</v>
      </c>
      <c r="M1969" t="s">
        <v>74</v>
      </c>
      <c r="N1969" t="s">
        <v>75</v>
      </c>
    </row>
    <row r="1970" spans="1:14" x14ac:dyDescent="0.3">
      <c r="A1970">
        <v>1969</v>
      </c>
      <c r="B1970">
        <v>876</v>
      </c>
      <c r="C1970">
        <f>1/COUNTIF(pizza_sales[[#All],[order_id]],pizza_sales[[#This Row],[order_id]])</f>
        <v>0.33333333333333331</v>
      </c>
      <c r="D1970" t="s">
        <v>132</v>
      </c>
      <c r="E1970">
        <v>1</v>
      </c>
      <c r="F1970" s="1">
        <v>42019</v>
      </c>
      <c r="G1970" s="1" t="str">
        <f>TEXT(pizza_sales[[#This Row],[order_date]],"dddd")</f>
        <v>Thursday</v>
      </c>
      <c r="H1970" s="2">
        <v>36526.643784722219</v>
      </c>
      <c r="I1970">
        <v>10.5</v>
      </c>
      <c r="J1970">
        <v>10.5</v>
      </c>
      <c r="K1970" t="s">
        <v>41</v>
      </c>
      <c r="L1970" t="s">
        <v>14</v>
      </c>
      <c r="M1970" t="s">
        <v>15</v>
      </c>
      <c r="N1970" t="s">
        <v>16</v>
      </c>
    </row>
    <row r="1971" spans="1:14" x14ac:dyDescent="0.3">
      <c r="A1971">
        <v>1970</v>
      </c>
      <c r="B1971">
        <v>876</v>
      </c>
      <c r="C1971">
        <f>1/COUNTIF(pizza_sales[[#All],[order_id]],pizza_sales[[#This Row],[order_id]])</f>
        <v>0.33333333333333331</v>
      </c>
      <c r="D1971" t="s">
        <v>117</v>
      </c>
      <c r="E1971">
        <v>1</v>
      </c>
      <c r="F1971" s="1">
        <v>42019</v>
      </c>
      <c r="G1971" s="1" t="str">
        <f>TEXT(pizza_sales[[#This Row],[order_date]],"dddd")</f>
        <v>Thursday</v>
      </c>
      <c r="H1971" s="2">
        <v>36526.643784722219</v>
      </c>
      <c r="I1971">
        <v>12.75</v>
      </c>
      <c r="J1971">
        <v>12.75</v>
      </c>
      <c r="K1971" t="s">
        <v>41</v>
      </c>
      <c r="L1971" t="s">
        <v>33</v>
      </c>
      <c r="M1971" t="s">
        <v>70</v>
      </c>
      <c r="N1971" t="s">
        <v>71</v>
      </c>
    </row>
    <row r="1972" spans="1:14" x14ac:dyDescent="0.3">
      <c r="A1972">
        <v>1971</v>
      </c>
      <c r="B1972">
        <v>876</v>
      </c>
      <c r="C1972">
        <f>1/COUNTIF(pizza_sales[[#All],[order_id]],pizza_sales[[#This Row],[order_id]])</f>
        <v>0.33333333333333331</v>
      </c>
      <c r="D1972" t="s">
        <v>59</v>
      </c>
      <c r="E1972">
        <v>1</v>
      </c>
      <c r="F1972" s="1">
        <v>42019</v>
      </c>
      <c r="G1972" s="1" t="str">
        <f>TEXT(pizza_sales[[#This Row],[order_date]],"dddd")</f>
        <v>Thursday</v>
      </c>
      <c r="H1972" s="2">
        <v>36526.643784722219</v>
      </c>
      <c r="I1972">
        <v>20.75</v>
      </c>
      <c r="J1972">
        <v>20.75</v>
      </c>
      <c r="K1972" t="s">
        <v>21</v>
      </c>
      <c r="L1972" t="s">
        <v>26</v>
      </c>
      <c r="M1972" t="s">
        <v>60</v>
      </c>
      <c r="N1972" t="s">
        <v>61</v>
      </c>
    </row>
    <row r="1973" spans="1:14" x14ac:dyDescent="0.3">
      <c r="A1973">
        <v>1972</v>
      </c>
      <c r="B1973">
        <v>877</v>
      </c>
      <c r="C1973">
        <f>1/COUNTIF(pizza_sales[[#All],[order_id]],pizza_sales[[#This Row],[order_id]])</f>
        <v>1</v>
      </c>
      <c r="D1973" t="s">
        <v>90</v>
      </c>
      <c r="E1973">
        <v>1</v>
      </c>
      <c r="F1973" s="1">
        <v>42019</v>
      </c>
      <c r="G1973" s="1" t="str">
        <f>TEXT(pizza_sales[[#This Row],[order_date]],"dddd")</f>
        <v>Thursday</v>
      </c>
      <c r="H1973" s="2">
        <v>36526.647905092592</v>
      </c>
      <c r="I1973">
        <v>17.95</v>
      </c>
      <c r="J1973">
        <v>17.95</v>
      </c>
      <c r="K1973" t="s">
        <v>21</v>
      </c>
      <c r="L1973" t="s">
        <v>22</v>
      </c>
      <c r="M1973" t="s">
        <v>91</v>
      </c>
      <c r="N1973" t="s">
        <v>92</v>
      </c>
    </row>
    <row r="1974" spans="1:14" x14ac:dyDescent="0.3">
      <c r="A1974">
        <v>1973</v>
      </c>
      <c r="B1974">
        <v>878</v>
      </c>
      <c r="C1974">
        <f>1/COUNTIF(pizza_sales[[#All],[order_id]],pizza_sales[[#This Row],[order_id]])</f>
        <v>1</v>
      </c>
      <c r="D1974" t="s">
        <v>76</v>
      </c>
      <c r="E1974">
        <v>1</v>
      </c>
      <c r="F1974" s="1">
        <v>42019</v>
      </c>
      <c r="G1974" s="1" t="str">
        <f>TEXT(pizza_sales[[#This Row],[order_date]],"dddd")</f>
        <v>Thursday</v>
      </c>
      <c r="H1974" s="2">
        <v>36526.670810185184</v>
      </c>
      <c r="I1974">
        <v>16.75</v>
      </c>
      <c r="J1974">
        <v>16.75</v>
      </c>
      <c r="K1974" t="s">
        <v>13</v>
      </c>
      <c r="L1974" t="s">
        <v>33</v>
      </c>
      <c r="M1974" t="s">
        <v>74</v>
      </c>
      <c r="N1974" t="s">
        <v>75</v>
      </c>
    </row>
    <row r="1975" spans="1:14" x14ac:dyDescent="0.3">
      <c r="A1975">
        <v>1974</v>
      </c>
      <c r="B1975">
        <v>879</v>
      </c>
      <c r="C1975">
        <f>1/COUNTIF(pizza_sales[[#All],[order_id]],pizza_sales[[#This Row],[order_id]])</f>
        <v>0.33333333333333331</v>
      </c>
      <c r="D1975" t="s">
        <v>117</v>
      </c>
      <c r="E1975">
        <v>1</v>
      </c>
      <c r="F1975" s="1">
        <v>42019</v>
      </c>
      <c r="G1975" s="1" t="str">
        <f>TEXT(pizza_sales[[#This Row],[order_date]],"dddd")</f>
        <v>Thursday</v>
      </c>
      <c r="H1975" s="2">
        <v>36526.675659722219</v>
      </c>
      <c r="I1975">
        <v>12.75</v>
      </c>
      <c r="J1975">
        <v>12.75</v>
      </c>
      <c r="K1975" t="s">
        <v>41</v>
      </c>
      <c r="L1975" t="s">
        <v>33</v>
      </c>
      <c r="M1975" t="s">
        <v>70</v>
      </c>
      <c r="N1975" t="s">
        <v>71</v>
      </c>
    </row>
    <row r="1976" spans="1:14" x14ac:dyDescent="0.3">
      <c r="A1976">
        <v>1975</v>
      </c>
      <c r="B1976">
        <v>879</v>
      </c>
      <c r="C1976">
        <f>1/COUNTIF(pizza_sales[[#All],[order_id]],pizza_sales[[#This Row],[order_id]])</f>
        <v>0.33333333333333331</v>
      </c>
      <c r="D1976" t="s">
        <v>47</v>
      </c>
      <c r="E1976">
        <v>1</v>
      </c>
      <c r="F1976" s="1">
        <v>42019</v>
      </c>
      <c r="G1976" s="1" t="str">
        <f>TEXT(pizza_sales[[#This Row],[order_date]],"dddd")</f>
        <v>Thursday</v>
      </c>
      <c r="H1976" s="2">
        <v>36526.675659722219</v>
      </c>
      <c r="I1976">
        <v>12.5</v>
      </c>
      <c r="J1976">
        <v>12.5</v>
      </c>
      <c r="K1976" t="s">
        <v>41</v>
      </c>
      <c r="L1976" t="s">
        <v>26</v>
      </c>
      <c r="M1976" t="s">
        <v>48</v>
      </c>
      <c r="N1976" t="s">
        <v>49</v>
      </c>
    </row>
    <row r="1977" spans="1:14" x14ac:dyDescent="0.3">
      <c r="A1977">
        <v>1976</v>
      </c>
      <c r="B1977">
        <v>879</v>
      </c>
      <c r="C1977">
        <f>1/COUNTIF(pizza_sales[[#All],[order_id]],pizza_sales[[#This Row],[order_id]])</f>
        <v>0.33333333333333331</v>
      </c>
      <c r="D1977" t="s">
        <v>154</v>
      </c>
      <c r="E1977">
        <v>1</v>
      </c>
      <c r="F1977" s="1">
        <v>42019</v>
      </c>
      <c r="G1977" s="1" t="str">
        <f>TEXT(pizza_sales[[#This Row],[order_date]],"dddd")</f>
        <v>Thursday</v>
      </c>
      <c r="H1977" s="2">
        <v>36526.675659722219</v>
      </c>
      <c r="I1977">
        <v>16</v>
      </c>
      <c r="J1977">
        <v>16</v>
      </c>
      <c r="K1977" t="s">
        <v>13</v>
      </c>
      <c r="L1977" t="s">
        <v>22</v>
      </c>
      <c r="M1977" t="s">
        <v>66</v>
      </c>
      <c r="N1977" t="s">
        <v>67</v>
      </c>
    </row>
    <row r="1978" spans="1:14" x14ac:dyDescent="0.3">
      <c r="A1978">
        <v>1977</v>
      </c>
      <c r="B1978">
        <v>880</v>
      </c>
      <c r="C1978">
        <f>1/COUNTIF(pizza_sales[[#All],[order_id]],pizza_sales[[#This Row],[order_id]])</f>
        <v>0.5</v>
      </c>
      <c r="D1978" t="s">
        <v>77</v>
      </c>
      <c r="E1978">
        <v>1</v>
      </c>
      <c r="F1978" s="1">
        <v>42019</v>
      </c>
      <c r="G1978" s="1" t="str">
        <f>TEXT(pizza_sales[[#This Row],[order_date]],"dddd")</f>
        <v>Thursday</v>
      </c>
      <c r="H1978" s="2">
        <v>36526.680162037039</v>
      </c>
      <c r="I1978">
        <v>15.25</v>
      </c>
      <c r="J1978">
        <v>15.25</v>
      </c>
      <c r="K1978" t="s">
        <v>21</v>
      </c>
      <c r="L1978" t="s">
        <v>14</v>
      </c>
      <c r="M1978" t="s">
        <v>78</v>
      </c>
      <c r="N1978" t="s">
        <v>79</v>
      </c>
    </row>
    <row r="1979" spans="1:14" x14ac:dyDescent="0.3">
      <c r="A1979">
        <v>1978</v>
      </c>
      <c r="B1979">
        <v>880</v>
      </c>
      <c r="C1979">
        <f>1/COUNTIF(pizza_sales[[#All],[order_id]],pizza_sales[[#This Row],[order_id]])</f>
        <v>0.5</v>
      </c>
      <c r="D1979" t="s">
        <v>126</v>
      </c>
      <c r="E1979">
        <v>1</v>
      </c>
      <c r="F1979" s="1">
        <v>42019</v>
      </c>
      <c r="G1979" s="1" t="str">
        <f>TEXT(pizza_sales[[#This Row],[order_date]],"dddd")</f>
        <v>Thursday</v>
      </c>
      <c r="H1979" s="2">
        <v>36526.680162037039</v>
      </c>
      <c r="I1979">
        <v>9.75</v>
      </c>
      <c r="J1979">
        <v>9.75</v>
      </c>
      <c r="K1979" t="s">
        <v>41</v>
      </c>
      <c r="L1979" t="s">
        <v>14</v>
      </c>
      <c r="M1979" t="s">
        <v>78</v>
      </c>
      <c r="N1979" t="s">
        <v>79</v>
      </c>
    </row>
    <row r="1980" spans="1:14" x14ac:dyDescent="0.3">
      <c r="A1980">
        <v>1979</v>
      </c>
      <c r="B1980">
        <v>881</v>
      </c>
      <c r="C1980">
        <f>1/COUNTIF(pizza_sales[[#All],[order_id]],pizza_sales[[#This Row],[order_id]])</f>
        <v>0.5</v>
      </c>
      <c r="D1980" t="s">
        <v>76</v>
      </c>
      <c r="E1980">
        <v>1</v>
      </c>
      <c r="F1980" s="1">
        <v>42019</v>
      </c>
      <c r="G1980" s="1" t="str">
        <f>TEXT(pizza_sales[[#This Row],[order_date]],"dddd")</f>
        <v>Thursday</v>
      </c>
      <c r="H1980" s="2">
        <v>36526.694490740738</v>
      </c>
      <c r="I1980">
        <v>16.75</v>
      </c>
      <c r="J1980">
        <v>16.75</v>
      </c>
      <c r="K1980" t="s">
        <v>13</v>
      </c>
      <c r="L1980" t="s">
        <v>33</v>
      </c>
      <c r="M1980" t="s">
        <v>74</v>
      </c>
      <c r="N1980" t="s">
        <v>75</v>
      </c>
    </row>
    <row r="1981" spans="1:14" x14ac:dyDescent="0.3">
      <c r="A1981">
        <v>1980</v>
      </c>
      <c r="B1981">
        <v>881</v>
      </c>
      <c r="C1981">
        <f>1/COUNTIF(pizza_sales[[#All],[order_id]],pizza_sales[[#This Row],[order_id]])</f>
        <v>0.5</v>
      </c>
      <c r="D1981" t="s">
        <v>57</v>
      </c>
      <c r="E1981">
        <v>1</v>
      </c>
      <c r="F1981" s="1">
        <v>42019</v>
      </c>
      <c r="G1981" s="1" t="str">
        <f>TEXT(pizza_sales[[#This Row],[order_date]],"dddd")</f>
        <v>Thursday</v>
      </c>
      <c r="H1981" s="2">
        <v>36526.694490740738</v>
      </c>
      <c r="I1981">
        <v>12.5</v>
      </c>
      <c r="J1981">
        <v>12.5</v>
      </c>
      <c r="K1981" t="s">
        <v>41</v>
      </c>
      <c r="L1981" t="s">
        <v>26</v>
      </c>
      <c r="M1981" t="s">
        <v>27</v>
      </c>
      <c r="N1981" t="s">
        <v>28</v>
      </c>
    </row>
    <row r="1982" spans="1:14" x14ac:dyDescent="0.3">
      <c r="A1982">
        <v>1981</v>
      </c>
      <c r="B1982">
        <v>882</v>
      </c>
      <c r="C1982">
        <f>1/COUNTIF(pizza_sales[[#All],[order_id]],pizza_sales[[#This Row],[order_id]])</f>
        <v>0.33333333333333331</v>
      </c>
      <c r="D1982" t="s">
        <v>145</v>
      </c>
      <c r="E1982">
        <v>1</v>
      </c>
      <c r="F1982" s="1">
        <v>42019</v>
      </c>
      <c r="G1982" s="1" t="str">
        <f>TEXT(pizza_sales[[#This Row],[order_date]],"dddd")</f>
        <v>Thursday</v>
      </c>
      <c r="H1982" s="2">
        <v>36526.697754629633</v>
      </c>
      <c r="I1982">
        <v>16.5</v>
      </c>
      <c r="J1982">
        <v>16.5</v>
      </c>
      <c r="K1982" t="s">
        <v>13</v>
      </c>
      <c r="L1982" t="s">
        <v>26</v>
      </c>
      <c r="M1982" t="s">
        <v>38</v>
      </c>
      <c r="N1982" t="s">
        <v>39</v>
      </c>
    </row>
    <row r="1983" spans="1:14" x14ac:dyDescent="0.3">
      <c r="A1983">
        <v>1982</v>
      </c>
      <c r="B1983">
        <v>882</v>
      </c>
      <c r="C1983">
        <f>1/COUNTIF(pizza_sales[[#All],[order_id]],pizza_sales[[#This Row],[order_id]])</f>
        <v>0.33333333333333331</v>
      </c>
      <c r="D1983" t="s">
        <v>157</v>
      </c>
      <c r="E1983">
        <v>1</v>
      </c>
      <c r="F1983" s="1">
        <v>42019</v>
      </c>
      <c r="G1983" s="1" t="str">
        <f>TEXT(pizza_sales[[#This Row],[order_date]],"dddd")</f>
        <v>Thursday</v>
      </c>
      <c r="H1983" s="2">
        <v>36526.697754629633</v>
      </c>
      <c r="I1983">
        <v>12</v>
      </c>
      <c r="J1983">
        <v>12</v>
      </c>
      <c r="K1983" t="s">
        <v>41</v>
      </c>
      <c r="L1983" t="s">
        <v>22</v>
      </c>
      <c r="M1983" t="s">
        <v>110</v>
      </c>
      <c r="N1983" t="s">
        <v>111</v>
      </c>
    </row>
    <row r="1984" spans="1:14" x14ac:dyDescent="0.3">
      <c r="A1984">
        <v>1983</v>
      </c>
      <c r="B1984">
        <v>882</v>
      </c>
      <c r="C1984">
        <f>1/COUNTIF(pizza_sales[[#All],[order_id]],pizza_sales[[#This Row],[order_id]])</f>
        <v>0.33333333333333331</v>
      </c>
      <c r="D1984" t="s">
        <v>32</v>
      </c>
      <c r="E1984">
        <v>1</v>
      </c>
      <c r="F1984" s="1">
        <v>42019</v>
      </c>
      <c r="G1984" s="1" t="str">
        <f>TEXT(pizza_sales[[#This Row],[order_date]],"dddd")</f>
        <v>Thursday</v>
      </c>
      <c r="H1984" s="2">
        <v>36526.697754629633</v>
      </c>
      <c r="I1984">
        <v>20.75</v>
      </c>
      <c r="J1984">
        <v>20.75</v>
      </c>
      <c r="K1984" t="s">
        <v>21</v>
      </c>
      <c r="L1984" t="s">
        <v>33</v>
      </c>
      <c r="M1984" t="s">
        <v>34</v>
      </c>
      <c r="N1984" t="s">
        <v>35</v>
      </c>
    </row>
    <row r="1985" spans="1:14" x14ac:dyDescent="0.3">
      <c r="A1985">
        <v>1984</v>
      </c>
      <c r="B1985">
        <v>883</v>
      </c>
      <c r="C1985">
        <f>1/COUNTIF(pizza_sales[[#All],[order_id]],pizza_sales[[#This Row],[order_id]])</f>
        <v>0.25</v>
      </c>
      <c r="D1985" t="s">
        <v>76</v>
      </c>
      <c r="E1985">
        <v>1</v>
      </c>
      <c r="F1985" s="1">
        <v>42019</v>
      </c>
      <c r="G1985" s="1" t="str">
        <f>TEXT(pizza_sales[[#This Row],[order_date]],"dddd")</f>
        <v>Thursday</v>
      </c>
      <c r="H1985" s="2">
        <v>36526.705613425926</v>
      </c>
      <c r="I1985">
        <v>16.75</v>
      </c>
      <c r="J1985">
        <v>16.75</v>
      </c>
      <c r="K1985" t="s">
        <v>13</v>
      </c>
      <c r="L1985" t="s">
        <v>33</v>
      </c>
      <c r="M1985" t="s">
        <v>74</v>
      </c>
      <c r="N1985" t="s">
        <v>75</v>
      </c>
    </row>
    <row r="1986" spans="1:14" x14ac:dyDescent="0.3">
      <c r="A1986">
        <v>1985</v>
      </c>
      <c r="B1986">
        <v>883</v>
      </c>
      <c r="C1986">
        <f>1/COUNTIF(pizza_sales[[#All],[order_id]],pizza_sales[[#This Row],[order_id]])</f>
        <v>0.25</v>
      </c>
      <c r="D1986" t="s">
        <v>50</v>
      </c>
      <c r="E1986">
        <v>1</v>
      </c>
      <c r="F1986" s="1">
        <v>42019</v>
      </c>
      <c r="G1986" s="1" t="str">
        <f>TEXT(pizza_sales[[#This Row],[order_date]],"dddd")</f>
        <v>Thursday</v>
      </c>
      <c r="H1986" s="2">
        <v>36526.705613425926</v>
      </c>
      <c r="I1986">
        <v>12</v>
      </c>
      <c r="J1986">
        <v>12</v>
      </c>
      <c r="K1986" t="s">
        <v>41</v>
      </c>
      <c r="L1986" t="s">
        <v>14</v>
      </c>
      <c r="M1986" t="s">
        <v>18</v>
      </c>
      <c r="N1986" t="s">
        <v>19</v>
      </c>
    </row>
    <row r="1987" spans="1:14" x14ac:dyDescent="0.3">
      <c r="A1987">
        <v>1986</v>
      </c>
      <c r="B1987">
        <v>883</v>
      </c>
      <c r="C1987">
        <f>1/COUNTIF(pizza_sales[[#All],[order_id]],pizza_sales[[#This Row],[order_id]])</f>
        <v>0.25</v>
      </c>
      <c r="D1987" t="s">
        <v>132</v>
      </c>
      <c r="E1987">
        <v>1</v>
      </c>
      <c r="F1987" s="1">
        <v>42019</v>
      </c>
      <c r="G1987" s="1" t="str">
        <f>TEXT(pizza_sales[[#This Row],[order_date]],"dddd")</f>
        <v>Thursday</v>
      </c>
      <c r="H1987" s="2">
        <v>36526.705613425926</v>
      </c>
      <c r="I1987">
        <v>10.5</v>
      </c>
      <c r="J1987">
        <v>10.5</v>
      </c>
      <c r="K1987" t="s">
        <v>41</v>
      </c>
      <c r="L1987" t="s">
        <v>14</v>
      </c>
      <c r="M1987" t="s">
        <v>15</v>
      </c>
      <c r="N1987" t="s">
        <v>16</v>
      </c>
    </row>
    <row r="1988" spans="1:14" x14ac:dyDescent="0.3">
      <c r="A1988">
        <v>1987</v>
      </c>
      <c r="B1988">
        <v>883</v>
      </c>
      <c r="C1988">
        <f>1/COUNTIF(pizza_sales[[#All],[order_id]],pizza_sales[[#This Row],[order_id]])</f>
        <v>0.25</v>
      </c>
      <c r="D1988" t="s">
        <v>120</v>
      </c>
      <c r="E1988">
        <v>1</v>
      </c>
      <c r="F1988" s="1">
        <v>42019</v>
      </c>
      <c r="G1988" s="1" t="str">
        <f>TEXT(pizza_sales[[#This Row],[order_date]],"dddd")</f>
        <v>Thursday</v>
      </c>
      <c r="H1988" s="2">
        <v>36526.705613425926</v>
      </c>
      <c r="I1988">
        <v>12.5</v>
      </c>
      <c r="J1988">
        <v>12.5</v>
      </c>
      <c r="K1988" t="s">
        <v>41</v>
      </c>
      <c r="L1988" t="s">
        <v>26</v>
      </c>
      <c r="M1988" t="s">
        <v>38</v>
      </c>
      <c r="N1988" t="s">
        <v>39</v>
      </c>
    </row>
    <row r="1989" spans="1:14" x14ac:dyDescent="0.3">
      <c r="A1989">
        <v>1988</v>
      </c>
      <c r="B1989">
        <v>884</v>
      </c>
      <c r="C1989">
        <f>1/COUNTIF(pizza_sales[[#All],[order_id]],pizza_sales[[#This Row],[order_id]])</f>
        <v>1</v>
      </c>
      <c r="D1989" t="s">
        <v>132</v>
      </c>
      <c r="E1989">
        <v>1</v>
      </c>
      <c r="F1989" s="1">
        <v>42019</v>
      </c>
      <c r="G1989" s="1" t="str">
        <f>TEXT(pizza_sales[[#This Row],[order_date]],"dddd")</f>
        <v>Thursday</v>
      </c>
      <c r="H1989" s="2">
        <v>36526.706423611111</v>
      </c>
      <c r="I1989">
        <v>10.5</v>
      </c>
      <c r="J1989">
        <v>10.5</v>
      </c>
      <c r="K1989" t="s">
        <v>41</v>
      </c>
      <c r="L1989" t="s">
        <v>14</v>
      </c>
      <c r="M1989" t="s">
        <v>15</v>
      </c>
      <c r="N1989" t="s">
        <v>16</v>
      </c>
    </row>
    <row r="1990" spans="1:14" x14ac:dyDescent="0.3">
      <c r="A1990">
        <v>1989</v>
      </c>
      <c r="B1990">
        <v>885</v>
      </c>
      <c r="C1990">
        <f>1/COUNTIF(pizza_sales[[#All],[order_id]],pizza_sales[[#This Row],[order_id]])</f>
        <v>0.25</v>
      </c>
      <c r="D1990" t="s">
        <v>29</v>
      </c>
      <c r="E1990">
        <v>1</v>
      </c>
      <c r="F1990" s="1">
        <v>42019</v>
      </c>
      <c r="G1990" s="1" t="str">
        <f>TEXT(pizza_sales[[#This Row],[order_date]],"dddd")</f>
        <v>Thursday</v>
      </c>
      <c r="H1990" s="2">
        <v>36526.706886574073</v>
      </c>
      <c r="I1990">
        <v>16</v>
      </c>
      <c r="J1990">
        <v>16</v>
      </c>
      <c r="K1990" t="s">
        <v>13</v>
      </c>
      <c r="L1990" t="s">
        <v>22</v>
      </c>
      <c r="M1990" t="s">
        <v>30</v>
      </c>
      <c r="N1990" t="s">
        <v>31</v>
      </c>
    </row>
    <row r="1991" spans="1:14" x14ac:dyDescent="0.3">
      <c r="A1991">
        <v>1990</v>
      </c>
      <c r="B1991">
        <v>885</v>
      </c>
      <c r="C1991">
        <f>1/COUNTIF(pizza_sales[[#All],[order_id]],pizza_sales[[#This Row],[order_id]])</f>
        <v>0.25</v>
      </c>
      <c r="D1991" t="s">
        <v>149</v>
      </c>
      <c r="E1991">
        <v>1</v>
      </c>
      <c r="F1991" s="1">
        <v>42019</v>
      </c>
      <c r="G1991" s="1" t="str">
        <f>TEXT(pizza_sales[[#This Row],[order_date]],"dddd")</f>
        <v>Thursday</v>
      </c>
      <c r="H1991" s="2">
        <v>36526.706886574073</v>
      </c>
      <c r="I1991">
        <v>12.25</v>
      </c>
      <c r="J1991">
        <v>12.25</v>
      </c>
      <c r="K1991" t="s">
        <v>41</v>
      </c>
      <c r="L1991" t="s">
        <v>26</v>
      </c>
      <c r="M1991" t="s">
        <v>114</v>
      </c>
      <c r="N1991" t="s">
        <v>115</v>
      </c>
    </row>
    <row r="1992" spans="1:14" x14ac:dyDescent="0.3">
      <c r="A1992">
        <v>1991</v>
      </c>
      <c r="B1992">
        <v>885</v>
      </c>
      <c r="C1992">
        <f>1/COUNTIF(pizza_sales[[#All],[order_id]],pizza_sales[[#This Row],[order_id]])</f>
        <v>0.25</v>
      </c>
      <c r="D1992" t="s">
        <v>158</v>
      </c>
      <c r="E1992">
        <v>1</v>
      </c>
      <c r="F1992" s="1">
        <v>42019</v>
      </c>
      <c r="G1992" s="1" t="str">
        <f>TEXT(pizza_sales[[#This Row],[order_date]],"dddd")</f>
        <v>Thursday</v>
      </c>
      <c r="H1992" s="2">
        <v>36526.706886574073</v>
      </c>
      <c r="I1992">
        <v>16.5</v>
      </c>
      <c r="J1992">
        <v>16.5</v>
      </c>
      <c r="K1992" t="s">
        <v>13</v>
      </c>
      <c r="L1992" t="s">
        <v>26</v>
      </c>
      <c r="M1992" t="s">
        <v>60</v>
      </c>
      <c r="N1992" t="s">
        <v>61</v>
      </c>
    </row>
    <row r="1993" spans="1:14" x14ac:dyDescent="0.3">
      <c r="A1993">
        <v>1992</v>
      </c>
      <c r="B1993">
        <v>885</v>
      </c>
      <c r="C1993">
        <f>1/COUNTIF(pizza_sales[[#All],[order_id]],pizza_sales[[#This Row],[order_id]])</f>
        <v>0.25</v>
      </c>
      <c r="D1993" t="s">
        <v>140</v>
      </c>
      <c r="E1993">
        <v>1</v>
      </c>
      <c r="F1993" s="1">
        <v>42019</v>
      </c>
      <c r="G1993" s="1" t="str">
        <f>TEXT(pizza_sales[[#This Row],[order_date]],"dddd")</f>
        <v>Thursday</v>
      </c>
      <c r="H1993" s="2">
        <v>36526.706886574073</v>
      </c>
      <c r="I1993">
        <v>25.5</v>
      </c>
      <c r="J1993">
        <v>25.5</v>
      </c>
      <c r="K1993" t="s">
        <v>141</v>
      </c>
      <c r="L1993" t="s">
        <v>14</v>
      </c>
      <c r="M1993" t="s">
        <v>45</v>
      </c>
      <c r="N1993" t="s">
        <v>46</v>
      </c>
    </row>
    <row r="1994" spans="1:14" x14ac:dyDescent="0.3">
      <c r="A1994">
        <v>1993</v>
      </c>
      <c r="B1994">
        <v>886</v>
      </c>
      <c r="C1994">
        <f>1/COUNTIF(pizza_sales[[#All],[order_id]],pizza_sales[[#This Row],[order_id]])</f>
        <v>0.33333333333333331</v>
      </c>
      <c r="D1994" t="s">
        <v>146</v>
      </c>
      <c r="E1994">
        <v>1</v>
      </c>
      <c r="F1994" s="1">
        <v>42019</v>
      </c>
      <c r="G1994" s="1" t="str">
        <f>TEXT(pizza_sales[[#This Row],[order_date]],"dddd")</f>
        <v>Thursday</v>
      </c>
      <c r="H1994" s="2">
        <v>36526.712210648147</v>
      </c>
      <c r="I1994">
        <v>20.25</v>
      </c>
      <c r="J1994">
        <v>20.25</v>
      </c>
      <c r="K1994" t="s">
        <v>21</v>
      </c>
      <c r="L1994" t="s">
        <v>22</v>
      </c>
      <c r="M1994" t="s">
        <v>104</v>
      </c>
      <c r="N1994" t="s">
        <v>105</v>
      </c>
    </row>
    <row r="1995" spans="1:14" x14ac:dyDescent="0.3">
      <c r="A1995">
        <v>1994</v>
      </c>
      <c r="B1995">
        <v>886</v>
      </c>
      <c r="C1995">
        <f>1/COUNTIF(pizza_sales[[#All],[order_id]],pizza_sales[[#This Row],[order_id]])</f>
        <v>0.33333333333333331</v>
      </c>
      <c r="D1995" t="s">
        <v>149</v>
      </c>
      <c r="E1995">
        <v>1</v>
      </c>
      <c r="F1995" s="1">
        <v>42019</v>
      </c>
      <c r="G1995" s="1" t="str">
        <f>TEXT(pizza_sales[[#This Row],[order_date]],"dddd")</f>
        <v>Thursday</v>
      </c>
      <c r="H1995" s="2">
        <v>36526.712210648147</v>
      </c>
      <c r="I1995">
        <v>12.25</v>
      </c>
      <c r="J1995">
        <v>12.25</v>
      </c>
      <c r="K1995" t="s">
        <v>41</v>
      </c>
      <c r="L1995" t="s">
        <v>26</v>
      </c>
      <c r="M1995" t="s">
        <v>114</v>
      </c>
      <c r="N1995" t="s">
        <v>115</v>
      </c>
    </row>
    <row r="1996" spans="1:14" x14ac:dyDescent="0.3">
      <c r="A1996">
        <v>1995</v>
      </c>
      <c r="B1996">
        <v>886</v>
      </c>
      <c r="C1996">
        <f>1/COUNTIF(pizza_sales[[#All],[order_id]],pizza_sales[[#This Row],[order_id]])</f>
        <v>0.33333333333333331</v>
      </c>
      <c r="D1996" t="s">
        <v>59</v>
      </c>
      <c r="E1996">
        <v>1</v>
      </c>
      <c r="F1996" s="1">
        <v>42019</v>
      </c>
      <c r="G1996" s="1" t="str">
        <f>TEXT(pizza_sales[[#This Row],[order_date]],"dddd")</f>
        <v>Thursday</v>
      </c>
      <c r="H1996" s="2">
        <v>36526.712210648147</v>
      </c>
      <c r="I1996">
        <v>20.75</v>
      </c>
      <c r="J1996">
        <v>20.75</v>
      </c>
      <c r="K1996" t="s">
        <v>21</v>
      </c>
      <c r="L1996" t="s">
        <v>26</v>
      </c>
      <c r="M1996" t="s">
        <v>60</v>
      </c>
      <c r="N1996" t="s">
        <v>61</v>
      </c>
    </row>
    <row r="1997" spans="1:14" x14ac:dyDescent="0.3">
      <c r="A1997">
        <v>1996</v>
      </c>
      <c r="B1997">
        <v>887</v>
      </c>
      <c r="C1997">
        <f>1/COUNTIF(pizza_sales[[#All],[order_id]],pizza_sales[[#This Row],[order_id]])</f>
        <v>0.5</v>
      </c>
      <c r="D1997" t="s">
        <v>77</v>
      </c>
      <c r="E1997">
        <v>1</v>
      </c>
      <c r="F1997" s="1">
        <v>42019</v>
      </c>
      <c r="G1997" s="1" t="str">
        <f>TEXT(pizza_sales[[#This Row],[order_date]],"dddd")</f>
        <v>Thursday</v>
      </c>
      <c r="H1997" s="2">
        <v>36526.718032407407</v>
      </c>
      <c r="I1997">
        <v>15.25</v>
      </c>
      <c r="J1997">
        <v>15.25</v>
      </c>
      <c r="K1997" t="s">
        <v>21</v>
      </c>
      <c r="L1997" t="s">
        <v>14</v>
      </c>
      <c r="M1997" t="s">
        <v>78</v>
      </c>
      <c r="N1997" t="s">
        <v>79</v>
      </c>
    </row>
    <row r="1998" spans="1:14" x14ac:dyDescent="0.3">
      <c r="A1998">
        <v>1997</v>
      </c>
      <c r="B1998">
        <v>887</v>
      </c>
      <c r="C1998">
        <f>1/COUNTIF(pizza_sales[[#All],[order_id]],pizza_sales[[#This Row],[order_id]])</f>
        <v>0.5</v>
      </c>
      <c r="D1998" t="s">
        <v>158</v>
      </c>
      <c r="E1998">
        <v>1</v>
      </c>
      <c r="F1998" s="1">
        <v>42019</v>
      </c>
      <c r="G1998" s="1" t="str">
        <f>TEXT(pizza_sales[[#This Row],[order_date]],"dddd")</f>
        <v>Thursday</v>
      </c>
      <c r="H1998" s="2">
        <v>36526.718032407407</v>
      </c>
      <c r="I1998">
        <v>16.5</v>
      </c>
      <c r="J1998">
        <v>16.5</v>
      </c>
      <c r="K1998" t="s">
        <v>13</v>
      </c>
      <c r="L1998" t="s">
        <v>26</v>
      </c>
      <c r="M1998" t="s">
        <v>60</v>
      </c>
      <c r="N1998" t="s">
        <v>61</v>
      </c>
    </row>
    <row r="1999" spans="1:14" x14ac:dyDescent="0.3">
      <c r="A1999">
        <v>1998</v>
      </c>
      <c r="B1999">
        <v>888</v>
      </c>
      <c r="C1999">
        <f>1/COUNTIF(pizza_sales[[#All],[order_id]],pizza_sales[[#This Row],[order_id]])</f>
        <v>0.5</v>
      </c>
      <c r="D1999" t="s">
        <v>121</v>
      </c>
      <c r="E1999">
        <v>1</v>
      </c>
      <c r="F1999" s="1">
        <v>42019</v>
      </c>
      <c r="G1999" s="1" t="str">
        <f>TEXT(pizza_sales[[#This Row],[order_date]],"dddd")</f>
        <v>Thursday</v>
      </c>
      <c r="H1999" s="2">
        <v>36526.718368055554</v>
      </c>
      <c r="I1999">
        <v>16.25</v>
      </c>
      <c r="J1999">
        <v>16.25</v>
      </c>
      <c r="K1999" t="s">
        <v>13</v>
      </c>
      <c r="L1999" t="s">
        <v>26</v>
      </c>
      <c r="M1999" t="s">
        <v>114</v>
      </c>
      <c r="N1999" t="s">
        <v>115</v>
      </c>
    </row>
    <row r="2000" spans="1:14" x14ac:dyDescent="0.3">
      <c r="A2000">
        <v>1999</v>
      </c>
      <c r="B2000">
        <v>888</v>
      </c>
      <c r="C2000">
        <f>1/COUNTIF(pizza_sales[[#All],[order_id]],pizza_sales[[#This Row],[order_id]])</f>
        <v>0.5</v>
      </c>
      <c r="D2000" t="s">
        <v>172</v>
      </c>
      <c r="E2000">
        <v>1</v>
      </c>
      <c r="F2000" s="1">
        <v>42019</v>
      </c>
      <c r="G2000" s="1" t="str">
        <f>TEXT(pizza_sales[[#This Row],[order_date]],"dddd")</f>
        <v>Thursday</v>
      </c>
      <c r="H2000" s="2">
        <v>36526.718368055554</v>
      </c>
      <c r="I2000">
        <v>12.5</v>
      </c>
      <c r="J2000">
        <v>12.5</v>
      </c>
      <c r="K2000" t="s">
        <v>41</v>
      </c>
      <c r="L2000" t="s">
        <v>26</v>
      </c>
      <c r="M2000" t="s">
        <v>88</v>
      </c>
      <c r="N2000" t="s">
        <v>89</v>
      </c>
    </row>
    <row r="2001" spans="1:14" x14ac:dyDescent="0.3">
      <c r="A2001">
        <v>2000</v>
      </c>
      <c r="B2001">
        <v>889</v>
      </c>
      <c r="C2001">
        <f>1/COUNTIF(pizza_sales[[#All],[order_id]],pizza_sales[[#This Row],[order_id]])</f>
        <v>1</v>
      </c>
      <c r="D2001" t="s">
        <v>72</v>
      </c>
      <c r="E2001">
        <v>1</v>
      </c>
      <c r="F2001" s="1">
        <v>42019</v>
      </c>
      <c r="G2001" s="1" t="str">
        <f>TEXT(pizza_sales[[#This Row],[order_date]],"dddd")</f>
        <v>Thursday</v>
      </c>
      <c r="H2001" s="2">
        <v>36526.727673611109</v>
      </c>
      <c r="I2001">
        <v>20.75</v>
      </c>
      <c r="J2001">
        <v>20.75</v>
      </c>
      <c r="K2001" t="s">
        <v>21</v>
      </c>
      <c r="L2001" t="s">
        <v>33</v>
      </c>
      <c r="M2001" t="s">
        <v>42</v>
      </c>
      <c r="N2001" t="s">
        <v>43</v>
      </c>
    </row>
    <row r="2002" spans="1:14" x14ac:dyDescent="0.3">
      <c r="A2002">
        <v>2001</v>
      </c>
      <c r="B2002">
        <v>890</v>
      </c>
      <c r="C2002">
        <f>1/COUNTIF(pizza_sales[[#All],[order_id]],pizza_sales[[#This Row],[order_id]])</f>
        <v>1</v>
      </c>
      <c r="D2002" t="s">
        <v>99</v>
      </c>
      <c r="E2002">
        <v>1</v>
      </c>
      <c r="F2002" s="1">
        <v>42019</v>
      </c>
      <c r="G2002" s="1" t="str">
        <f>TEXT(pizza_sales[[#This Row],[order_date]],"dddd")</f>
        <v>Thursday</v>
      </c>
      <c r="H2002" s="2">
        <v>36526.730844907404</v>
      </c>
      <c r="I2002">
        <v>14.75</v>
      </c>
      <c r="J2002">
        <v>14.75</v>
      </c>
      <c r="K2002" t="s">
        <v>13</v>
      </c>
      <c r="L2002" t="s">
        <v>22</v>
      </c>
      <c r="M2002" t="s">
        <v>91</v>
      </c>
      <c r="N2002" t="s">
        <v>92</v>
      </c>
    </row>
    <row r="2003" spans="1:14" x14ac:dyDescent="0.3">
      <c r="A2003">
        <v>2002</v>
      </c>
      <c r="B2003">
        <v>891</v>
      </c>
      <c r="C2003">
        <f>1/COUNTIF(pizza_sales[[#All],[order_id]],pizza_sales[[#This Row],[order_id]])</f>
        <v>1</v>
      </c>
      <c r="D2003" t="s">
        <v>62</v>
      </c>
      <c r="E2003">
        <v>1</v>
      </c>
      <c r="F2003" s="1">
        <v>42019</v>
      </c>
      <c r="G2003" s="1" t="str">
        <f>TEXT(pizza_sales[[#This Row],[order_date]],"dddd")</f>
        <v>Thursday</v>
      </c>
      <c r="H2003" s="2">
        <v>36526.738587962966</v>
      </c>
      <c r="I2003">
        <v>20.75</v>
      </c>
      <c r="J2003">
        <v>20.75</v>
      </c>
      <c r="K2003" t="s">
        <v>21</v>
      </c>
      <c r="L2003" t="s">
        <v>22</v>
      </c>
      <c r="M2003" t="s">
        <v>63</v>
      </c>
      <c r="N2003" t="s">
        <v>64</v>
      </c>
    </row>
    <row r="2004" spans="1:14" x14ac:dyDescent="0.3">
      <c r="A2004">
        <v>2003</v>
      </c>
      <c r="B2004">
        <v>892</v>
      </c>
      <c r="C2004">
        <f>1/COUNTIF(pizza_sales[[#All],[order_id]],pizza_sales[[#This Row],[order_id]])</f>
        <v>0.5</v>
      </c>
      <c r="D2004" t="s">
        <v>90</v>
      </c>
      <c r="E2004">
        <v>1</v>
      </c>
      <c r="F2004" s="1">
        <v>42019</v>
      </c>
      <c r="G2004" s="1" t="str">
        <f>TEXT(pizza_sales[[#This Row],[order_date]],"dddd")</f>
        <v>Thursday</v>
      </c>
      <c r="H2004" s="2">
        <v>36526.753113425926</v>
      </c>
      <c r="I2004">
        <v>17.95</v>
      </c>
      <c r="J2004">
        <v>17.95</v>
      </c>
      <c r="K2004" t="s">
        <v>21</v>
      </c>
      <c r="L2004" t="s">
        <v>22</v>
      </c>
      <c r="M2004" t="s">
        <v>91</v>
      </c>
      <c r="N2004" t="s">
        <v>92</v>
      </c>
    </row>
    <row r="2005" spans="1:14" x14ac:dyDescent="0.3">
      <c r="A2005">
        <v>2004</v>
      </c>
      <c r="B2005">
        <v>892</v>
      </c>
      <c r="C2005">
        <f>1/COUNTIF(pizza_sales[[#All],[order_id]],pizza_sales[[#This Row],[order_id]])</f>
        <v>0.5</v>
      </c>
      <c r="D2005" t="s">
        <v>146</v>
      </c>
      <c r="E2005">
        <v>1</v>
      </c>
      <c r="F2005" s="1">
        <v>42019</v>
      </c>
      <c r="G2005" s="1" t="str">
        <f>TEXT(pizza_sales[[#This Row],[order_date]],"dddd")</f>
        <v>Thursday</v>
      </c>
      <c r="H2005" s="2">
        <v>36526.753113425926</v>
      </c>
      <c r="I2005">
        <v>20.25</v>
      </c>
      <c r="J2005">
        <v>20.25</v>
      </c>
      <c r="K2005" t="s">
        <v>21</v>
      </c>
      <c r="L2005" t="s">
        <v>22</v>
      </c>
      <c r="M2005" t="s">
        <v>104</v>
      </c>
      <c r="N2005" t="s">
        <v>105</v>
      </c>
    </row>
    <row r="2006" spans="1:14" x14ac:dyDescent="0.3">
      <c r="A2006">
        <v>2005</v>
      </c>
      <c r="B2006">
        <v>893</v>
      </c>
      <c r="C2006">
        <f>1/COUNTIF(pizza_sales[[#All],[order_id]],pizza_sales[[#This Row],[order_id]])</f>
        <v>1</v>
      </c>
      <c r="D2006" t="s">
        <v>90</v>
      </c>
      <c r="E2006">
        <v>1</v>
      </c>
      <c r="F2006" s="1">
        <v>42019</v>
      </c>
      <c r="G2006" s="1" t="str">
        <f>TEXT(pizza_sales[[#This Row],[order_date]],"dddd")</f>
        <v>Thursday</v>
      </c>
      <c r="H2006" s="2">
        <v>36526.760671296295</v>
      </c>
      <c r="I2006">
        <v>17.95</v>
      </c>
      <c r="J2006">
        <v>17.95</v>
      </c>
      <c r="K2006" t="s">
        <v>21</v>
      </c>
      <c r="L2006" t="s">
        <v>22</v>
      </c>
      <c r="M2006" t="s">
        <v>91</v>
      </c>
      <c r="N2006" t="s">
        <v>92</v>
      </c>
    </row>
    <row r="2007" spans="1:14" x14ac:dyDescent="0.3">
      <c r="A2007">
        <v>2006</v>
      </c>
      <c r="B2007">
        <v>894</v>
      </c>
      <c r="C2007">
        <f>1/COUNTIF(pizza_sales[[#All],[order_id]],pizza_sales[[#This Row],[order_id]])</f>
        <v>1</v>
      </c>
      <c r="D2007" t="s">
        <v>93</v>
      </c>
      <c r="E2007">
        <v>1</v>
      </c>
      <c r="F2007" s="1">
        <v>42019</v>
      </c>
      <c r="G2007" s="1" t="str">
        <f>TEXT(pizza_sales[[#This Row],[order_date]],"dddd")</f>
        <v>Thursday</v>
      </c>
      <c r="H2007" s="2">
        <v>36526.762106481481</v>
      </c>
      <c r="I2007">
        <v>12</v>
      </c>
      <c r="J2007">
        <v>12</v>
      </c>
      <c r="K2007" t="s">
        <v>41</v>
      </c>
      <c r="L2007" t="s">
        <v>14</v>
      </c>
      <c r="M2007" t="s">
        <v>94</v>
      </c>
      <c r="N2007" t="s">
        <v>95</v>
      </c>
    </row>
    <row r="2008" spans="1:14" x14ac:dyDescent="0.3">
      <c r="A2008">
        <v>2007</v>
      </c>
      <c r="B2008">
        <v>895</v>
      </c>
      <c r="C2008">
        <f>1/COUNTIF(pizza_sales[[#All],[order_id]],pizza_sales[[#This Row],[order_id]])</f>
        <v>0.33333333333333331</v>
      </c>
      <c r="D2008" t="s">
        <v>72</v>
      </c>
      <c r="E2008">
        <v>1</v>
      </c>
      <c r="F2008" s="1">
        <v>42019</v>
      </c>
      <c r="G2008" s="1" t="str">
        <f>TEXT(pizza_sales[[#This Row],[order_date]],"dddd")</f>
        <v>Thursday</v>
      </c>
      <c r="H2008" s="2">
        <v>36526.762627314813</v>
      </c>
      <c r="I2008">
        <v>20.75</v>
      </c>
      <c r="J2008">
        <v>20.75</v>
      </c>
      <c r="K2008" t="s">
        <v>21</v>
      </c>
      <c r="L2008" t="s">
        <v>33</v>
      </c>
      <c r="M2008" t="s">
        <v>42</v>
      </c>
      <c r="N2008" t="s">
        <v>43</v>
      </c>
    </row>
    <row r="2009" spans="1:14" x14ac:dyDescent="0.3">
      <c r="A2009">
        <v>2008</v>
      </c>
      <c r="B2009">
        <v>895</v>
      </c>
      <c r="C2009">
        <f>1/COUNTIF(pizza_sales[[#All],[order_id]],pizza_sales[[#This Row],[order_id]])</f>
        <v>0.33333333333333331</v>
      </c>
      <c r="D2009" t="s">
        <v>142</v>
      </c>
      <c r="E2009">
        <v>1</v>
      </c>
      <c r="F2009" s="1">
        <v>42019</v>
      </c>
      <c r="G2009" s="1" t="str">
        <f>TEXT(pizza_sales[[#This Row],[order_date]],"dddd")</f>
        <v>Thursday</v>
      </c>
      <c r="H2009" s="2">
        <v>36526.762627314813</v>
      </c>
      <c r="I2009">
        <v>16.5</v>
      </c>
      <c r="J2009">
        <v>16.5</v>
      </c>
      <c r="K2009" t="s">
        <v>21</v>
      </c>
      <c r="L2009" t="s">
        <v>14</v>
      </c>
      <c r="M2009" t="s">
        <v>15</v>
      </c>
      <c r="N2009" t="s">
        <v>16</v>
      </c>
    </row>
    <row r="2010" spans="1:14" x14ac:dyDescent="0.3">
      <c r="A2010">
        <v>2009</v>
      </c>
      <c r="B2010">
        <v>895</v>
      </c>
      <c r="C2010">
        <f>1/COUNTIF(pizza_sales[[#All],[order_id]],pizza_sales[[#This Row],[order_id]])</f>
        <v>0.33333333333333331</v>
      </c>
      <c r="D2010" t="s">
        <v>126</v>
      </c>
      <c r="E2010">
        <v>1</v>
      </c>
      <c r="F2010" s="1">
        <v>42019</v>
      </c>
      <c r="G2010" s="1" t="str">
        <f>TEXT(pizza_sales[[#This Row],[order_date]],"dddd")</f>
        <v>Thursday</v>
      </c>
      <c r="H2010" s="2">
        <v>36526.762627314813</v>
      </c>
      <c r="I2010">
        <v>9.75</v>
      </c>
      <c r="J2010">
        <v>9.75</v>
      </c>
      <c r="K2010" t="s">
        <v>41</v>
      </c>
      <c r="L2010" t="s">
        <v>14</v>
      </c>
      <c r="M2010" t="s">
        <v>78</v>
      </c>
      <c r="N2010" t="s">
        <v>79</v>
      </c>
    </row>
    <row r="2011" spans="1:14" x14ac:dyDescent="0.3">
      <c r="A2011">
        <v>2010</v>
      </c>
      <c r="B2011">
        <v>896</v>
      </c>
      <c r="C2011">
        <f>1/COUNTIF(pizza_sales[[#All],[order_id]],pizza_sales[[#This Row],[order_id]])</f>
        <v>0.5</v>
      </c>
      <c r="D2011" t="s">
        <v>73</v>
      </c>
      <c r="E2011">
        <v>1</v>
      </c>
      <c r="F2011" s="1">
        <v>42019</v>
      </c>
      <c r="G2011" s="1" t="str">
        <f>TEXT(pizza_sales[[#This Row],[order_date]],"dddd")</f>
        <v>Thursday</v>
      </c>
      <c r="H2011" s="2">
        <v>36526.769074074073</v>
      </c>
      <c r="I2011">
        <v>20.75</v>
      </c>
      <c r="J2011">
        <v>20.75</v>
      </c>
      <c r="K2011" t="s">
        <v>21</v>
      </c>
      <c r="L2011" t="s">
        <v>33</v>
      </c>
      <c r="M2011" t="s">
        <v>74</v>
      </c>
      <c r="N2011" t="s">
        <v>75</v>
      </c>
    </row>
    <row r="2012" spans="1:14" x14ac:dyDescent="0.3">
      <c r="A2012">
        <v>2011</v>
      </c>
      <c r="B2012">
        <v>896</v>
      </c>
      <c r="C2012">
        <f>1/COUNTIF(pizza_sales[[#All],[order_id]],pizza_sales[[#This Row],[order_id]])</f>
        <v>0.5</v>
      </c>
      <c r="D2012" t="s">
        <v>20</v>
      </c>
      <c r="E2012">
        <v>1</v>
      </c>
      <c r="F2012" s="1">
        <v>42019</v>
      </c>
      <c r="G2012" s="1" t="str">
        <f>TEXT(pizza_sales[[#This Row],[order_date]],"dddd")</f>
        <v>Thursday</v>
      </c>
      <c r="H2012" s="2">
        <v>36526.769074074073</v>
      </c>
      <c r="I2012">
        <v>18.5</v>
      </c>
      <c r="J2012">
        <v>18.5</v>
      </c>
      <c r="K2012" t="s">
        <v>21</v>
      </c>
      <c r="L2012" t="s">
        <v>22</v>
      </c>
      <c r="M2012" t="s">
        <v>23</v>
      </c>
      <c r="N2012" t="s">
        <v>24</v>
      </c>
    </row>
    <row r="2013" spans="1:14" x14ac:dyDescent="0.3">
      <c r="A2013">
        <v>2012</v>
      </c>
      <c r="B2013">
        <v>897</v>
      </c>
      <c r="C2013">
        <f>1/COUNTIF(pizza_sales[[#All],[order_id]],pizza_sales[[#This Row],[order_id]])</f>
        <v>0.33333333333333331</v>
      </c>
      <c r="D2013" t="s">
        <v>54</v>
      </c>
      <c r="E2013">
        <v>1</v>
      </c>
      <c r="F2013" s="1">
        <v>42019</v>
      </c>
      <c r="G2013" s="1" t="str">
        <f>TEXT(pizza_sales[[#This Row],[order_date]],"dddd")</f>
        <v>Thursday</v>
      </c>
      <c r="H2013" s="2">
        <v>36526.786886574075</v>
      </c>
      <c r="I2013">
        <v>20.5</v>
      </c>
      <c r="J2013">
        <v>20.5</v>
      </c>
      <c r="K2013" t="s">
        <v>21</v>
      </c>
      <c r="L2013" t="s">
        <v>14</v>
      </c>
      <c r="M2013" t="s">
        <v>55</v>
      </c>
      <c r="N2013" t="s">
        <v>56</v>
      </c>
    </row>
    <row r="2014" spans="1:14" x14ac:dyDescent="0.3">
      <c r="A2014">
        <v>2013</v>
      </c>
      <c r="B2014">
        <v>897</v>
      </c>
      <c r="C2014">
        <f>1/COUNTIF(pizza_sales[[#All],[order_id]],pizza_sales[[#This Row],[order_id]])</f>
        <v>0.33333333333333331</v>
      </c>
      <c r="D2014" t="s">
        <v>58</v>
      </c>
      <c r="E2014">
        <v>1</v>
      </c>
      <c r="F2014" s="1">
        <v>42019</v>
      </c>
      <c r="G2014" s="1" t="str">
        <f>TEXT(pizza_sales[[#This Row],[order_date]],"dddd")</f>
        <v>Thursday</v>
      </c>
      <c r="H2014" s="2">
        <v>36526.786886574075</v>
      </c>
      <c r="I2014">
        <v>12</v>
      </c>
      <c r="J2014">
        <v>12</v>
      </c>
      <c r="K2014" t="s">
        <v>41</v>
      </c>
      <c r="L2014" t="s">
        <v>22</v>
      </c>
      <c r="M2014" t="s">
        <v>30</v>
      </c>
      <c r="N2014" t="s">
        <v>31</v>
      </c>
    </row>
    <row r="2015" spans="1:14" x14ac:dyDescent="0.3">
      <c r="A2015">
        <v>2014</v>
      </c>
      <c r="B2015">
        <v>897</v>
      </c>
      <c r="C2015">
        <f>1/COUNTIF(pizza_sales[[#All],[order_id]],pizza_sales[[#This Row],[order_id]])</f>
        <v>0.33333333333333331</v>
      </c>
      <c r="D2015" t="s">
        <v>109</v>
      </c>
      <c r="E2015">
        <v>1</v>
      </c>
      <c r="F2015" s="1">
        <v>42019</v>
      </c>
      <c r="G2015" s="1" t="str">
        <f>TEXT(pizza_sales[[#This Row],[order_date]],"dddd")</f>
        <v>Thursday</v>
      </c>
      <c r="H2015" s="2">
        <v>36526.786886574075</v>
      </c>
      <c r="I2015">
        <v>20.25</v>
      </c>
      <c r="J2015">
        <v>20.25</v>
      </c>
      <c r="K2015" t="s">
        <v>21</v>
      </c>
      <c r="L2015" t="s">
        <v>22</v>
      </c>
      <c r="M2015" t="s">
        <v>110</v>
      </c>
      <c r="N2015" t="s">
        <v>111</v>
      </c>
    </row>
    <row r="2016" spans="1:14" x14ac:dyDescent="0.3">
      <c r="A2016">
        <v>2015</v>
      </c>
      <c r="B2016">
        <v>898</v>
      </c>
      <c r="C2016">
        <f>1/COUNTIF(pizza_sales[[#All],[order_id]],pizza_sales[[#This Row],[order_id]])</f>
        <v>1</v>
      </c>
      <c r="D2016" t="s">
        <v>50</v>
      </c>
      <c r="E2016">
        <v>1</v>
      </c>
      <c r="F2016" s="1">
        <v>42019</v>
      </c>
      <c r="G2016" s="1" t="str">
        <f>TEXT(pizza_sales[[#This Row],[order_date]],"dddd")</f>
        <v>Thursday</v>
      </c>
      <c r="H2016" s="2">
        <v>36526.789456018516</v>
      </c>
      <c r="I2016">
        <v>12</v>
      </c>
      <c r="J2016">
        <v>12</v>
      </c>
      <c r="K2016" t="s">
        <v>41</v>
      </c>
      <c r="L2016" t="s">
        <v>14</v>
      </c>
      <c r="M2016" t="s">
        <v>18</v>
      </c>
      <c r="N2016" t="s">
        <v>19</v>
      </c>
    </row>
    <row r="2017" spans="1:14" x14ac:dyDescent="0.3">
      <c r="A2017">
        <v>2016</v>
      </c>
      <c r="B2017">
        <v>899</v>
      </c>
      <c r="C2017">
        <f>1/COUNTIF(pizza_sales[[#All],[order_id]],pizza_sales[[#This Row],[order_id]])</f>
        <v>0.5</v>
      </c>
      <c r="D2017" t="s">
        <v>59</v>
      </c>
      <c r="E2017">
        <v>1</v>
      </c>
      <c r="F2017" s="1">
        <v>42019</v>
      </c>
      <c r="G2017" s="1" t="str">
        <f>TEXT(pizza_sales[[#This Row],[order_date]],"dddd")</f>
        <v>Thursday</v>
      </c>
      <c r="H2017" s="2">
        <v>36526.795995370368</v>
      </c>
      <c r="I2017">
        <v>20.75</v>
      </c>
      <c r="J2017">
        <v>20.75</v>
      </c>
      <c r="K2017" t="s">
        <v>21</v>
      </c>
      <c r="L2017" t="s">
        <v>26</v>
      </c>
      <c r="M2017" t="s">
        <v>60</v>
      </c>
      <c r="N2017" t="s">
        <v>61</v>
      </c>
    </row>
    <row r="2018" spans="1:14" x14ac:dyDescent="0.3">
      <c r="A2018">
        <v>2017</v>
      </c>
      <c r="B2018">
        <v>899</v>
      </c>
      <c r="C2018">
        <f>1/COUNTIF(pizza_sales[[#All],[order_id]],pizza_sales[[#This Row],[order_id]])</f>
        <v>0.5</v>
      </c>
      <c r="D2018" t="s">
        <v>140</v>
      </c>
      <c r="E2018">
        <v>1</v>
      </c>
      <c r="F2018" s="1">
        <v>42019</v>
      </c>
      <c r="G2018" s="1" t="str">
        <f>TEXT(pizza_sales[[#This Row],[order_date]],"dddd")</f>
        <v>Thursday</v>
      </c>
      <c r="H2018" s="2">
        <v>36526.795995370368</v>
      </c>
      <c r="I2018">
        <v>25.5</v>
      </c>
      <c r="J2018">
        <v>25.5</v>
      </c>
      <c r="K2018" t="s">
        <v>141</v>
      </c>
      <c r="L2018" t="s">
        <v>14</v>
      </c>
      <c r="M2018" t="s">
        <v>45</v>
      </c>
      <c r="N2018" t="s">
        <v>46</v>
      </c>
    </row>
    <row r="2019" spans="1:14" x14ac:dyDescent="0.3">
      <c r="A2019">
        <v>2018</v>
      </c>
      <c r="B2019">
        <v>900</v>
      </c>
      <c r="C2019">
        <f>1/COUNTIF(pizza_sales[[#All],[order_id]],pizza_sales[[#This Row],[order_id]])</f>
        <v>0.5</v>
      </c>
      <c r="D2019" t="s">
        <v>77</v>
      </c>
      <c r="E2019">
        <v>1</v>
      </c>
      <c r="F2019" s="1">
        <v>42019</v>
      </c>
      <c r="G2019" s="1" t="str">
        <f>TEXT(pizza_sales[[#This Row],[order_date]],"dddd")</f>
        <v>Thursday</v>
      </c>
      <c r="H2019" s="2">
        <v>36526.798506944448</v>
      </c>
      <c r="I2019">
        <v>15.25</v>
      </c>
      <c r="J2019">
        <v>15.25</v>
      </c>
      <c r="K2019" t="s">
        <v>21</v>
      </c>
      <c r="L2019" t="s">
        <v>14</v>
      </c>
      <c r="M2019" t="s">
        <v>78</v>
      </c>
      <c r="N2019" t="s">
        <v>79</v>
      </c>
    </row>
    <row r="2020" spans="1:14" x14ac:dyDescent="0.3">
      <c r="A2020">
        <v>2019</v>
      </c>
      <c r="B2020">
        <v>900</v>
      </c>
      <c r="C2020">
        <f>1/COUNTIF(pizza_sales[[#All],[order_id]],pizza_sales[[#This Row],[order_id]])</f>
        <v>0.5</v>
      </c>
      <c r="D2020" t="s">
        <v>126</v>
      </c>
      <c r="E2020">
        <v>1</v>
      </c>
      <c r="F2020" s="1">
        <v>42019</v>
      </c>
      <c r="G2020" s="1" t="str">
        <f>TEXT(pizza_sales[[#This Row],[order_date]],"dddd")</f>
        <v>Thursday</v>
      </c>
      <c r="H2020" s="2">
        <v>36526.798506944448</v>
      </c>
      <c r="I2020">
        <v>9.75</v>
      </c>
      <c r="J2020">
        <v>9.75</v>
      </c>
      <c r="K2020" t="s">
        <v>41</v>
      </c>
      <c r="L2020" t="s">
        <v>14</v>
      </c>
      <c r="M2020" t="s">
        <v>78</v>
      </c>
      <c r="N2020" t="s">
        <v>79</v>
      </c>
    </row>
    <row r="2021" spans="1:14" x14ac:dyDescent="0.3">
      <c r="A2021">
        <v>2020</v>
      </c>
      <c r="B2021">
        <v>901</v>
      </c>
      <c r="C2021">
        <f>1/COUNTIF(pizza_sales[[#All],[order_id]],pizza_sales[[#This Row],[order_id]])</f>
        <v>1</v>
      </c>
      <c r="D2021" t="s">
        <v>84</v>
      </c>
      <c r="E2021">
        <v>1</v>
      </c>
      <c r="F2021" s="1">
        <v>42019</v>
      </c>
      <c r="G2021" s="1" t="str">
        <f>TEXT(pizza_sales[[#This Row],[order_date]],"dddd")</f>
        <v>Thursday</v>
      </c>
      <c r="H2021" s="2">
        <v>36526.802905092591</v>
      </c>
      <c r="I2021">
        <v>12</v>
      </c>
      <c r="J2021">
        <v>12</v>
      </c>
      <c r="K2021" t="s">
        <v>41</v>
      </c>
      <c r="L2021" t="s">
        <v>14</v>
      </c>
      <c r="M2021" t="s">
        <v>85</v>
      </c>
      <c r="N2021" t="s">
        <v>86</v>
      </c>
    </row>
    <row r="2022" spans="1:14" x14ac:dyDescent="0.3">
      <c r="A2022">
        <v>2021</v>
      </c>
      <c r="B2022">
        <v>902</v>
      </c>
      <c r="C2022">
        <f>1/COUNTIF(pizza_sales[[#All],[order_id]],pizza_sales[[#This Row],[order_id]])</f>
        <v>1</v>
      </c>
      <c r="D2022" t="s">
        <v>135</v>
      </c>
      <c r="E2022">
        <v>1</v>
      </c>
      <c r="F2022" s="1">
        <v>42019</v>
      </c>
      <c r="G2022" s="1" t="str">
        <f>TEXT(pizza_sales[[#This Row],[order_date]],"dddd")</f>
        <v>Thursday</v>
      </c>
      <c r="H2022" s="2">
        <v>36526.806250000001</v>
      </c>
      <c r="I2022">
        <v>20.75</v>
      </c>
      <c r="J2022">
        <v>20.75</v>
      </c>
      <c r="K2022" t="s">
        <v>21</v>
      </c>
      <c r="L2022" t="s">
        <v>26</v>
      </c>
      <c r="M2022" t="s">
        <v>107</v>
      </c>
      <c r="N2022" t="s">
        <v>108</v>
      </c>
    </row>
    <row r="2023" spans="1:14" x14ac:dyDescent="0.3">
      <c r="A2023">
        <v>2022</v>
      </c>
      <c r="B2023">
        <v>903</v>
      </c>
      <c r="C2023">
        <f>1/COUNTIF(pizza_sales[[#All],[order_id]],pizza_sales[[#This Row],[order_id]])</f>
        <v>0.33333333333333331</v>
      </c>
      <c r="D2023" t="s">
        <v>138</v>
      </c>
      <c r="E2023">
        <v>1</v>
      </c>
      <c r="F2023" s="1">
        <v>42019</v>
      </c>
      <c r="G2023" s="1" t="str">
        <f>TEXT(pizza_sales[[#This Row],[order_date]],"dddd")</f>
        <v>Thursday</v>
      </c>
      <c r="H2023" s="2">
        <v>36526.810671296298</v>
      </c>
      <c r="I2023">
        <v>20.5</v>
      </c>
      <c r="J2023">
        <v>20.5</v>
      </c>
      <c r="K2023" t="s">
        <v>21</v>
      </c>
      <c r="L2023" t="s">
        <v>14</v>
      </c>
      <c r="M2023" t="s">
        <v>18</v>
      </c>
      <c r="N2023" t="s">
        <v>19</v>
      </c>
    </row>
    <row r="2024" spans="1:14" x14ac:dyDescent="0.3">
      <c r="A2024">
        <v>2023</v>
      </c>
      <c r="B2024">
        <v>903</v>
      </c>
      <c r="C2024">
        <f>1/COUNTIF(pizza_sales[[#All],[order_id]],pizza_sales[[#This Row],[order_id]])</f>
        <v>0.33333333333333331</v>
      </c>
      <c r="D2024" t="s">
        <v>135</v>
      </c>
      <c r="E2024">
        <v>1</v>
      </c>
      <c r="F2024" s="1">
        <v>42019</v>
      </c>
      <c r="G2024" s="1" t="str">
        <f>TEXT(pizza_sales[[#This Row],[order_date]],"dddd")</f>
        <v>Thursday</v>
      </c>
      <c r="H2024" s="2">
        <v>36526.810671296298</v>
      </c>
      <c r="I2024">
        <v>20.75</v>
      </c>
      <c r="J2024">
        <v>20.75</v>
      </c>
      <c r="K2024" t="s">
        <v>21</v>
      </c>
      <c r="L2024" t="s">
        <v>26</v>
      </c>
      <c r="M2024" t="s">
        <v>107</v>
      </c>
      <c r="N2024" t="s">
        <v>108</v>
      </c>
    </row>
    <row r="2025" spans="1:14" x14ac:dyDescent="0.3">
      <c r="A2025">
        <v>2024</v>
      </c>
      <c r="B2025">
        <v>903</v>
      </c>
      <c r="C2025">
        <f>1/COUNTIF(pizza_sales[[#All],[order_id]],pizza_sales[[#This Row],[order_id]])</f>
        <v>0.33333333333333331</v>
      </c>
      <c r="D2025" t="s">
        <v>87</v>
      </c>
      <c r="E2025">
        <v>1</v>
      </c>
      <c r="F2025" s="1">
        <v>42019</v>
      </c>
      <c r="G2025" s="1" t="str">
        <f>TEXT(pizza_sales[[#This Row],[order_date]],"dddd")</f>
        <v>Thursday</v>
      </c>
      <c r="H2025" s="2">
        <v>36526.810671296298</v>
      </c>
      <c r="I2025">
        <v>20.75</v>
      </c>
      <c r="J2025">
        <v>20.75</v>
      </c>
      <c r="K2025" t="s">
        <v>21</v>
      </c>
      <c r="L2025" t="s">
        <v>26</v>
      </c>
      <c r="M2025" t="s">
        <v>88</v>
      </c>
      <c r="N2025" t="s">
        <v>89</v>
      </c>
    </row>
    <row r="2026" spans="1:14" x14ac:dyDescent="0.3">
      <c r="A2026">
        <v>2025</v>
      </c>
      <c r="B2026">
        <v>904</v>
      </c>
      <c r="C2026">
        <f>1/COUNTIF(pizza_sales[[#All],[order_id]],pizza_sales[[#This Row],[order_id]])</f>
        <v>0.5</v>
      </c>
      <c r="D2026" t="s">
        <v>118</v>
      </c>
      <c r="E2026">
        <v>1</v>
      </c>
      <c r="F2026" s="1">
        <v>42019</v>
      </c>
      <c r="G2026" s="1" t="str">
        <f>TEXT(pizza_sales[[#This Row],[order_date]],"dddd")</f>
        <v>Thursday</v>
      </c>
      <c r="H2026" s="2">
        <v>36526.838206018518</v>
      </c>
      <c r="I2026">
        <v>16.75</v>
      </c>
      <c r="J2026">
        <v>16.75</v>
      </c>
      <c r="K2026" t="s">
        <v>13</v>
      </c>
      <c r="L2026" t="s">
        <v>33</v>
      </c>
      <c r="M2026" t="s">
        <v>42</v>
      </c>
      <c r="N2026" t="s">
        <v>43</v>
      </c>
    </row>
    <row r="2027" spans="1:14" x14ac:dyDescent="0.3">
      <c r="A2027">
        <v>2026</v>
      </c>
      <c r="B2027">
        <v>904</v>
      </c>
      <c r="C2027">
        <f>1/COUNTIF(pizza_sales[[#All],[order_id]],pizza_sales[[#This Row],[order_id]])</f>
        <v>0.5</v>
      </c>
      <c r="D2027" t="s">
        <v>143</v>
      </c>
      <c r="E2027">
        <v>1</v>
      </c>
      <c r="F2027" s="1">
        <v>42019</v>
      </c>
      <c r="G2027" s="1" t="str">
        <f>TEXT(pizza_sales[[#This Row],[order_date]],"dddd")</f>
        <v>Thursday</v>
      </c>
      <c r="H2027" s="2">
        <v>36526.838206018518</v>
      </c>
      <c r="I2027">
        <v>11</v>
      </c>
      <c r="J2027">
        <v>11</v>
      </c>
      <c r="K2027" t="s">
        <v>41</v>
      </c>
      <c r="L2027" t="s">
        <v>14</v>
      </c>
      <c r="M2027" t="s">
        <v>130</v>
      </c>
      <c r="N2027" t="s">
        <v>131</v>
      </c>
    </row>
    <row r="2028" spans="1:14" x14ac:dyDescent="0.3">
      <c r="A2028">
        <v>2027</v>
      </c>
      <c r="B2028">
        <v>905</v>
      </c>
      <c r="C2028">
        <f>1/COUNTIF(pizza_sales[[#All],[order_id]],pizza_sales[[#This Row],[order_id]])</f>
        <v>0.33333333333333331</v>
      </c>
      <c r="D2028" t="s">
        <v>118</v>
      </c>
      <c r="E2028">
        <v>1</v>
      </c>
      <c r="F2028" s="1">
        <v>42019</v>
      </c>
      <c r="G2028" s="1" t="str">
        <f>TEXT(pizza_sales[[#This Row],[order_date]],"dddd")</f>
        <v>Thursday</v>
      </c>
      <c r="H2028" s="2">
        <v>36526.841736111113</v>
      </c>
      <c r="I2028">
        <v>16.75</v>
      </c>
      <c r="J2028">
        <v>16.75</v>
      </c>
      <c r="K2028" t="s">
        <v>13</v>
      </c>
      <c r="L2028" t="s">
        <v>33</v>
      </c>
      <c r="M2028" t="s">
        <v>42</v>
      </c>
      <c r="N2028" t="s">
        <v>43</v>
      </c>
    </row>
    <row r="2029" spans="1:14" x14ac:dyDescent="0.3">
      <c r="A2029">
        <v>2028</v>
      </c>
      <c r="B2029">
        <v>905</v>
      </c>
      <c r="C2029">
        <f>1/COUNTIF(pizza_sales[[#All],[order_id]],pizza_sales[[#This Row],[order_id]])</f>
        <v>0.33333333333333331</v>
      </c>
      <c r="D2029" t="s">
        <v>159</v>
      </c>
      <c r="E2029">
        <v>1</v>
      </c>
      <c r="F2029" s="1">
        <v>42019</v>
      </c>
      <c r="G2029" s="1" t="str">
        <f>TEXT(pizza_sales[[#This Row],[order_date]],"dddd")</f>
        <v>Thursday</v>
      </c>
      <c r="H2029" s="2">
        <v>36526.841736111113</v>
      </c>
      <c r="I2029">
        <v>16.75</v>
      </c>
      <c r="J2029">
        <v>16.75</v>
      </c>
      <c r="K2029" t="s">
        <v>13</v>
      </c>
      <c r="L2029" t="s">
        <v>22</v>
      </c>
      <c r="M2029" t="s">
        <v>101</v>
      </c>
      <c r="N2029" t="s">
        <v>102</v>
      </c>
    </row>
    <row r="2030" spans="1:14" x14ac:dyDescent="0.3">
      <c r="A2030">
        <v>2029</v>
      </c>
      <c r="B2030">
        <v>905</v>
      </c>
      <c r="C2030">
        <f>1/COUNTIF(pizza_sales[[#All],[order_id]],pizza_sales[[#This Row],[order_id]])</f>
        <v>0.33333333333333331</v>
      </c>
      <c r="D2030" t="s">
        <v>154</v>
      </c>
      <c r="E2030">
        <v>1</v>
      </c>
      <c r="F2030" s="1">
        <v>42019</v>
      </c>
      <c r="G2030" s="1" t="str">
        <f>TEXT(pizza_sales[[#This Row],[order_date]],"dddd")</f>
        <v>Thursday</v>
      </c>
      <c r="H2030" s="2">
        <v>36526.841736111113</v>
      </c>
      <c r="I2030">
        <v>16</v>
      </c>
      <c r="J2030">
        <v>16</v>
      </c>
      <c r="K2030" t="s">
        <v>13</v>
      </c>
      <c r="L2030" t="s">
        <v>22</v>
      </c>
      <c r="M2030" t="s">
        <v>66</v>
      </c>
      <c r="N2030" t="s">
        <v>67</v>
      </c>
    </row>
    <row r="2031" spans="1:14" x14ac:dyDescent="0.3">
      <c r="A2031">
        <v>2030</v>
      </c>
      <c r="B2031">
        <v>906</v>
      </c>
      <c r="C2031">
        <f>1/COUNTIF(pizza_sales[[#All],[order_id]],pizza_sales[[#This Row],[order_id]])</f>
        <v>0.5</v>
      </c>
      <c r="D2031" t="s">
        <v>172</v>
      </c>
      <c r="E2031">
        <v>1</v>
      </c>
      <c r="F2031" s="1">
        <v>42019</v>
      </c>
      <c r="G2031" s="1" t="str">
        <f>TEXT(pizza_sales[[#This Row],[order_date]],"dddd")</f>
        <v>Thursday</v>
      </c>
      <c r="H2031" s="2">
        <v>36526.869432870371</v>
      </c>
      <c r="I2031">
        <v>12.5</v>
      </c>
      <c r="J2031">
        <v>12.5</v>
      </c>
      <c r="K2031" t="s">
        <v>41</v>
      </c>
      <c r="L2031" t="s">
        <v>26</v>
      </c>
      <c r="M2031" t="s">
        <v>88</v>
      </c>
      <c r="N2031" t="s">
        <v>89</v>
      </c>
    </row>
    <row r="2032" spans="1:14" x14ac:dyDescent="0.3">
      <c r="A2032">
        <v>2031</v>
      </c>
      <c r="B2032">
        <v>906</v>
      </c>
      <c r="C2032">
        <f>1/COUNTIF(pizza_sales[[#All],[order_id]],pizza_sales[[#This Row],[order_id]])</f>
        <v>0.5</v>
      </c>
      <c r="D2032" t="s">
        <v>69</v>
      </c>
      <c r="E2032">
        <v>1</v>
      </c>
      <c r="F2032" s="1">
        <v>42019</v>
      </c>
      <c r="G2032" s="1" t="str">
        <f>TEXT(pizza_sales[[#This Row],[order_date]],"dddd")</f>
        <v>Thursday</v>
      </c>
      <c r="H2032" s="2">
        <v>36526.869432870371</v>
      </c>
      <c r="I2032">
        <v>20.75</v>
      </c>
      <c r="J2032">
        <v>20.75</v>
      </c>
      <c r="K2032" t="s">
        <v>21</v>
      </c>
      <c r="L2032" t="s">
        <v>33</v>
      </c>
      <c r="M2032" t="s">
        <v>70</v>
      </c>
      <c r="N2032" t="s">
        <v>71</v>
      </c>
    </row>
    <row r="2033" spans="1:14" x14ac:dyDescent="0.3">
      <c r="A2033">
        <v>2032</v>
      </c>
      <c r="B2033">
        <v>907</v>
      </c>
      <c r="C2033">
        <f>1/COUNTIF(pizza_sales[[#All],[order_id]],pizza_sales[[#This Row],[order_id]])</f>
        <v>1</v>
      </c>
      <c r="D2033" t="s">
        <v>149</v>
      </c>
      <c r="E2033">
        <v>1</v>
      </c>
      <c r="F2033" s="1">
        <v>42019</v>
      </c>
      <c r="G2033" s="1" t="str">
        <f>TEXT(pizza_sales[[#This Row],[order_date]],"dddd")</f>
        <v>Thursday</v>
      </c>
      <c r="H2033" s="2">
        <v>36526.871203703704</v>
      </c>
      <c r="I2033">
        <v>12.25</v>
      </c>
      <c r="J2033">
        <v>12.25</v>
      </c>
      <c r="K2033" t="s">
        <v>41</v>
      </c>
      <c r="L2033" t="s">
        <v>26</v>
      </c>
      <c r="M2033" t="s">
        <v>114</v>
      </c>
      <c r="N2033" t="s">
        <v>115</v>
      </c>
    </row>
    <row r="2034" spans="1:14" x14ac:dyDescent="0.3">
      <c r="A2034">
        <v>2033</v>
      </c>
      <c r="B2034">
        <v>908</v>
      </c>
      <c r="C2034">
        <f>1/COUNTIF(pizza_sales[[#All],[order_id]],pizza_sales[[#This Row],[order_id]])</f>
        <v>0.5</v>
      </c>
      <c r="D2034" t="s">
        <v>119</v>
      </c>
      <c r="E2034">
        <v>1</v>
      </c>
      <c r="F2034" s="1">
        <v>42019</v>
      </c>
      <c r="G2034" s="1" t="str">
        <f>TEXT(pizza_sales[[#This Row],[order_date]],"dddd")</f>
        <v>Thursday</v>
      </c>
      <c r="H2034" s="2">
        <v>36526.904537037037</v>
      </c>
      <c r="I2034">
        <v>12.5</v>
      </c>
      <c r="J2034">
        <v>12.5</v>
      </c>
      <c r="K2034" t="s">
        <v>13</v>
      </c>
      <c r="L2034" t="s">
        <v>14</v>
      </c>
      <c r="M2034" t="s">
        <v>78</v>
      </c>
      <c r="N2034" t="s">
        <v>79</v>
      </c>
    </row>
    <row r="2035" spans="1:14" x14ac:dyDescent="0.3">
      <c r="A2035">
        <v>2034</v>
      </c>
      <c r="B2035">
        <v>908</v>
      </c>
      <c r="C2035">
        <f>1/COUNTIF(pizza_sales[[#All],[order_id]],pizza_sales[[#This Row],[order_id]])</f>
        <v>0.5</v>
      </c>
      <c r="D2035" t="s">
        <v>32</v>
      </c>
      <c r="E2035">
        <v>1</v>
      </c>
      <c r="F2035" s="1">
        <v>42019</v>
      </c>
      <c r="G2035" s="1" t="str">
        <f>TEXT(pizza_sales[[#This Row],[order_date]],"dddd")</f>
        <v>Thursday</v>
      </c>
      <c r="H2035" s="2">
        <v>36526.904537037037</v>
      </c>
      <c r="I2035">
        <v>20.75</v>
      </c>
      <c r="J2035">
        <v>20.75</v>
      </c>
      <c r="K2035" t="s">
        <v>21</v>
      </c>
      <c r="L2035" t="s">
        <v>33</v>
      </c>
      <c r="M2035" t="s">
        <v>34</v>
      </c>
      <c r="N2035" t="s">
        <v>35</v>
      </c>
    </row>
    <row r="2036" spans="1:14" x14ac:dyDescent="0.3">
      <c r="A2036">
        <v>2035</v>
      </c>
      <c r="B2036">
        <v>909</v>
      </c>
      <c r="C2036">
        <f>1/COUNTIF(pizza_sales[[#All],[order_id]],pizza_sales[[#This Row],[order_id]])</f>
        <v>0.33333333333333331</v>
      </c>
      <c r="D2036" t="s">
        <v>72</v>
      </c>
      <c r="E2036">
        <v>1</v>
      </c>
      <c r="F2036" s="1">
        <v>42020</v>
      </c>
      <c r="G2036" s="1" t="str">
        <f>TEXT(pizza_sales[[#This Row],[order_date]],"dddd")</f>
        <v>Friday</v>
      </c>
      <c r="H2036" s="2">
        <v>36526.471817129626</v>
      </c>
      <c r="I2036">
        <v>20.75</v>
      </c>
      <c r="J2036">
        <v>20.75</v>
      </c>
      <c r="K2036" t="s">
        <v>21</v>
      </c>
      <c r="L2036" t="s">
        <v>33</v>
      </c>
      <c r="M2036" t="s">
        <v>42</v>
      </c>
      <c r="N2036" t="s">
        <v>43</v>
      </c>
    </row>
    <row r="2037" spans="1:14" x14ac:dyDescent="0.3">
      <c r="A2037">
        <v>2036</v>
      </c>
      <c r="B2037">
        <v>909</v>
      </c>
      <c r="C2037">
        <f>1/COUNTIF(pizza_sales[[#All],[order_id]],pizza_sales[[#This Row],[order_id]])</f>
        <v>0.33333333333333331</v>
      </c>
      <c r="D2037" t="s">
        <v>159</v>
      </c>
      <c r="E2037">
        <v>1</v>
      </c>
      <c r="F2037" s="1">
        <v>42020</v>
      </c>
      <c r="G2037" s="1" t="str">
        <f>TEXT(pizza_sales[[#This Row],[order_date]],"dddd")</f>
        <v>Friday</v>
      </c>
      <c r="H2037" s="2">
        <v>36526.471817129626</v>
      </c>
      <c r="I2037">
        <v>16.75</v>
      </c>
      <c r="J2037">
        <v>16.75</v>
      </c>
      <c r="K2037" t="s">
        <v>13</v>
      </c>
      <c r="L2037" t="s">
        <v>22</v>
      </c>
      <c r="M2037" t="s">
        <v>101</v>
      </c>
      <c r="N2037" t="s">
        <v>102</v>
      </c>
    </row>
    <row r="2038" spans="1:14" x14ac:dyDescent="0.3">
      <c r="A2038">
        <v>2037</v>
      </c>
      <c r="B2038">
        <v>909</v>
      </c>
      <c r="C2038">
        <f>1/COUNTIF(pizza_sales[[#All],[order_id]],pizza_sales[[#This Row],[order_id]])</f>
        <v>0.33333333333333331</v>
      </c>
      <c r="D2038" t="s">
        <v>150</v>
      </c>
      <c r="E2038">
        <v>1</v>
      </c>
      <c r="F2038" s="1">
        <v>42020</v>
      </c>
      <c r="G2038" s="1" t="str">
        <f>TEXT(pizza_sales[[#This Row],[order_date]],"dddd")</f>
        <v>Friday</v>
      </c>
      <c r="H2038" s="2">
        <v>36526.471817129626</v>
      </c>
      <c r="I2038">
        <v>12.5</v>
      </c>
      <c r="J2038">
        <v>12.5</v>
      </c>
      <c r="K2038" t="s">
        <v>41</v>
      </c>
      <c r="L2038" t="s">
        <v>26</v>
      </c>
      <c r="M2038" t="s">
        <v>60</v>
      </c>
      <c r="N2038" t="s">
        <v>61</v>
      </c>
    </row>
    <row r="2039" spans="1:14" x14ac:dyDescent="0.3">
      <c r="A2039">
        <v>2038</v>
      </c>
      <c r="B2039">
        <v>910</v>
      </c>
      <c r="C2039">
        <f>1/COUNTIF(pizza_sales[[#All],[order_id]],pizza_sales[[#This Row],[order_id]])</f>
        <v>0.33333333333333331</v>
      </c>
      <c r="D2039" t="s">
        <v>160</v>
      </c>
      <c r="E2039">
        <v>1</v>
      </c>
      <c r="F2039" s="1">
        <v>42020</v>
      </c>
      <c r="G2039" s="1" t="str">
        <f>TEXT(pizza_sales[[#This Row],[order_date]],"dddd")</f>
        <v>Friday</v>
      </c>
      <c r="H2039" s="2">
        <v>36526.476157407407</v>
      </c>
      <c r="I2039">
        <v>12</v>
      </c>
      <c r="J2039">
        <v>12</v>
      </c>
      <c r="K2039" t="s">
        <v>41</v>
      </c>
      <c r="L2039" t="s">
        <v>14</v>
      </c>
      <c r="M2039" t="s">
        <v>55</v>
      </c>
      <c r="N2039" t="s">
        <v>56</v>
      </c>
    </row>
    <row r="2040" spans="1:14" x14ac:dyDescent="0.3">
      <c r="A2040">
        <v>2039</v>
      </c>
      <c r="B2040">
        <v>910</v>
      </c>
      <c r="C2040">
        <f>1/COUNTIF(pizza_sales[[#All],[order_id]],pizza_sales[[#This Row],[order_id]])</f>
        <v>0.33333333333333331</v>
      </c>
      <c r="D2040" t="s">
        <v>120</v>
      </c>
      <c r="E2040">
        <v>1</v>
      </c>
      <c r="F2040" s="1">
        <v>42020</v>
      </c>
      <c r="G2040" s="1" t="str">
        <f>TEXT(pizza_sales[[#This Row],[order_date]],"dddd")</f>
        <v>Friday</v>
      </c>
      <c r="H2040" s="2">
        <v>36526.476157407407</v>
      </c>
      <c r="I2040">
        <v>12.5</v>
      </c>
      <c r="J2040">
        <v>12.5</v>
      </c>
      <c r="K2040" t="s">
        <v>41</v>
      </c>
      <c r="L2040" t="s">
        <v>26</v>
      </c>
      <c r="M2040" t="s">
        <v>38</v>
      </c>
      <c r="N2040" t="s">
        <v>39</v>
      </c>
    </row>
    <row r="2041" spans="1:14" x14ac:dyDescent="0.3">
      <c r="A2041">
        <v>2040</v>
      </c>
      <c r="B2041">
        <v>910</v>
      </c>
      <c r="C2041">
        <f>1/COUNTIF(pizza_sales[[#All],[order_id]],pizza_sales[[#This Row],[order_id]])</f>
        <v>0.33333333333333331</v>
      </c>
      <c r="D2041" t="s">
        <v>122</v>
      </c>
      <c r="E2041">
        <v>1</v>
      </c>
      <c r="F2041" s="1">
        <v>42020</v>
      </c>
      <c r="G2041" s="1" t="str">
        <f>TEXT(pizza_sales[[#This Row],[order_date]],"dddd")</f>
        <v>Friday</v>
      </c>
      <c r="H2041" s="2">
        <v>36526.476157407407</v>
      </c>
      <c r="I2041">
        <v>20.25</v>
      </c>
      <c r="J2041">
        <v>20.25</v>
      </c>
      <c r="K2041" t="s">
        <v>21</v>
      </c>
      <c r="L2041" t="s">
        <v>22</v>
      </c>
      <c r="M2041" t="s">
        <v>66</v>
      </c>
      <c r="N2041" t="s">
        <v>67</v>
      </c>
    </row>
    <row r="2042" spans="1:14" x14ac:dyDescent="0.3">
      <c r="A2042">
        <v>2041</v>
      </c>
      <c r="B2042">
        <v>911</v>
      </c>
      <c r="C2042">
        <f>1/COUNTIF(pizza_sales[[#All],[order_id]],pizza_sales[[#This Row],[order_id]])</f>
        <v>0.5</v>
      </c>
      <c r="D2042" t="s">
        <v>40</v>
      </c>
      <c r="E2042">
        <v>1</v>
      </c>
      <c r="F2042" s="1">
        <v>42020</v>
      </c>
      <c r="G2042" s="1" t="str">
        <f>TEXT(pizza_sales[[#This Row],[order_date]],"dddd")</f>
        <v>Friday</v>
      </c>
      <c r="H2042" s="2">
        <v>36526.48333333333</v>
      </c>
      <c r="I2042">
        <v>12.75</v>
      </c>
      <c r="J2042">
        <v>12.75</v>
      </c>
      <c r="K2042" t="s">
        <v>41</v>
      </c>
      <c r="L2042" t="s">
        <v>33</v>
      </c>
      <c r="M2042" t="s">
        <v>42</v>
      </c>
      <c r="N2042" t="s">
        <v>43</v>
      </c>
    </row>
    <row r="2043" spans="1:14" x14ac:dyDescent="0.3">
      <c r="A2043">
        <v>2042</v>
      </c>
      <c r="B2043">
        <v>911</v>
      </c>
      <c r="C2043">
        <f>1/COUNTIF(pizza_sales[[#All],[order_id]],pizza_sales[[#This Row],[order_id]])</f>
        <v>0.5</v>
      </c>
      <c r="D2043" t="s">
        <v>157</v>
      </c>
      <c r="E2043">
        <v>1</v>
      </c>
      <c r="F2043" s="1">
        <v>42020</v>
      </c>
      <c r="G2043" s="1" t="str">
        <f>TEXT(pizza_sales[[#This Row],[order_date]],"dddd")</f>
        <v>Friday</v>
      </c>
      <c r="H2043" s="2">
        <v>36526.48333333333</v>
      </c>
      <c r="I2043">
        <v>12</v>
      </c>
      <c r="J2043">
        <v>12</v>
      </c>
      <c r="K2043" t="s">
        <v>41</v>
      </c>
      <c r="L2043" t="s">
        <v>22</v>
      </c>
      <c r="M2043" t="s">
        <v>110</v>
      </c>
      <c r="N2043" t="s">
        <v>111</v>
      </c>
    </row>
    <row r="2044" spans="1:14" x14ac:dyDescent="0.3">
      <c r="A2044">
        <v>2043</v>
      </c>
      <c r="B2044">
        <v>912</v>
      </c>
      <c r="C2044">
        <f>1/COUNTIF(pizza_sales[[#All],[order_id]],pizza_sales[[#This Row],[order_id]])</f>
        <v>1</v>
      </c>
      <c r="D2044" t="s">
        <v>148</v>
      </c>
      <c r="E2044">
        <v>1</v>
      </c>
      <c r="F2044" s="1">
        <v>42020</v>
      </c>
      <c r="G2044" s="1" t="str">
        <f>TEXT(pizza_sales[[#This Row],[order_date]],"dddd")</f>
        <v>Friday</v>
      </c>
      <c r="H2044" s="2">
        <v>36526.485972222225</v>
      </c>
      <c r="I2044">
        <v>14.5</v>
      </c>
      <c r="J2044">
        <v>14.5</v>
      </c>
      <c r="K2044" t="s">
        <v>13</v>
      </c>
      <c r="L2044" t="s">
        <v>14</v>
      </c>
      <c r="M2044" t="s">
        <v>130</v>
      </c>
      <c r="N2044" t="s">
        <v>131</v>
      </c>
    </row>
    <row r="2045" spans="1:14" x14ac:dyDescent="0.3">
      <c r="A2045">
        <v>2044</v>
      </c>
      <c r="B2045">
        <v>913</v>
      </c>
      <c r="C2045">
        <f>1/COUNTIF(pizza_sales[[#All],[order_id]],pizza_sales[[#This Row],[order_id]])</f>
        <v>1</v>
      </c>
      <c r="D2045" t="s">
        <v>47</v>
      </c>
      <c r="E2045">
        <v>1</v>
      </c>
      <c r="F2045" s="1">
        <v>42020</v>
      </c>
      <c r="G2045" s="1" t="str">
        <f>TEXT(pizza_sales[[#This Row],[order_date]],"dddd")</f>
        <v>Friday</v>
      </c>
      <c r="H2045" s="2">
        <v>36526.496805555558</v>
      </c>
      <c r="I2045">
        <v>12.5</v>
      </c>
      <c r="J2045">
        <v>12.5</v>
      </c>
      <c r="K2045" t="s">
        <v>41</v>
      </c>
      <c r="L2045" t="s">
        <v>26</v>
      </c>
      <c r="M2045" t="s">
        <v>48</v>
      </c>
      <c r="N2045" t="s">
        <v>49</v>
      </c>
    </row>
    <row r="2046" spans="1:14" x14ac:dyDescent="0.3">
      <c r="A2046">
        <v>2045</v>
      </c>
      <c r="B2046">
        <v>914</v>
      </c>
      <c r="C2046">
        <f>1/COUNTIF(pizza_sales[[#All],[order_id]],pizza_sales[[#This Row],[order_id]])</f>
        <v>1</v>
      </c>
      <c r="D2046" t="s">
        <v>154</v>
      </c>
      <c r="E2046">
        <v>1</v>
      </c>
      <c r="F2046" s="1">
        <v>42020</v>
      </c>
      <c r="G2046" s="1" t="str">
        <f>TEXT(pizza_sales[[#This Row],[order_date]],"dddd")</f>
        <v>Friday</v>
      </c>
      <c r="H2046" s="2">
        <v>36526.509976851848</v>
      </c>
      <c r="I2046">
        <v>16</v>
      </c>
      <c r="J2046">
        <v>16</v>
      </c>
      <c r="K2046" t="s">
        <v>13</v>
      </c>
      <c r="L2046" t="s">
        <v>22</v>
      </c>
      <c r="M2046" t="s">
        <v>66</v>
      </c>
      <c r="N2046" t="s">
        <v>67</v>
      </c>
    </row>
    <row r="2047" spans="1:14" x14ac:dyDescent="0.3">
      <c r="A2047">
        <v>2046</v>
      </c>
      <c r="B2047">
        <v>915</v>
      </c>
      <c r="C2047">
        <f>1/COUNTIF(pizza_sales[[#All],[order_id]],pizza_sales[[#This Row],[order_id]])</f>
        <v>0.125</v>
      </c>
      <c r="D2047" t="s">
        <v>118</v>
      </c>
      <c r="E2047">
        <v>1</v>
      </c>
      <c r="F2047" s="1">
        <v>42020</v>
      </c>
      <c r="G2047" s="1" t="str">
        <f>TEXT(pizza_sales[[#This Row],[order_date]],"dddd")</f>
        <v>Friday</v>
      </c>
      <c r="H2047" s="2">
        <v>36526.514143518521</v>
      </c>
      <c r="I2047">
        <v>16.75</v>
      </c>
      <c r="J2047">
        <v>16.75</v>
      </c>
      <c r="K2047" t="s">
        <v>13</v>
      </c>
      <c r="L2047" t="s">
        <v>33</v>
      </c>
      <c r="M2047" t="s">
        <v>42</v>
      </c>
      <c r="N2047" t="s">
        <v>43</v>
      </c>
    </row>
    <row r="2048" spans="1:14" x14ac:dyDescent="0.3">
      <c r="A2048">
        <v>2047</v>
      </c>
      <c r="B2048">
        <v>915</v>
      </c>
      <c r="C2048">
        <f>1/COUNTIF(pizza_sales[[#All],[order_id]],pizza_sales[[#This Row],[order_id]])</f>
        <v>0.125</v>
      </c>
      <c r="D2048" t="s">
        <v>20</v>
      </c>
      <c r="E2048">
        <v>1</v>
      </c>
      <c r="F2048" s="1">
        <v>42020</v>
      </c>
      <c r="G2048" s="1" t="str">
        <f>TEXT(pizza_sales[[#This Row],[order_date]],"dddd")</f>
        <v>Friday</v>
      </c>
      <c r="H2048" s="2">
        <v>36526.514143518521</v>
      </c>
      <c r="I2048">
        <v>18.5</v>
      </c>
      <c r="J2048">
        <v>18.5</v>
      </c>
      <c r="K2048" t="s">
        <v>21</v>
      </c>
      <c r="L2048" t="s">
        <v>22</v>
      </c>
      <c r="M2048" t="s">
        <v>23</v>
      </c>
      <c r="N2048" t="s">
        <v>24</v>
      </c>
    </row>
    <row r="2049" spans="1:14" x14ac:dyDescent="0.3">
      <c r="A2049">
        <v>2048</v>
      </c>
      <c r="B2049">
        <v>915</v>
      </c>
      <c r="C2049">
        <f>1/COUNTIF(pizza_sales[[#All],[order_id]],pizza_sales[[#This Row],[order_id]])</f>
        <v>0.125</v>
      </c>
      <c r="D2049" t="s">
        <v>51</v>
      </c>
      <c r="E2049">
        <v>1</v>
      </c>
      <c r="F2049" s="1">
        <v>42020</v>
      </c>
      <c r="G2049" s="1" t="str">
        <f>TEXT(pizza_sales[[#This Row],[order_date]],"dddd")</f>
        <v>Friday</v>
      </c>
      <c r="H2049" s="2">
        <v>36526.514143518521</v>
      </c>
      <c r="I2049">
        <v>12</v>
      </c>
      <c r="J2049">
        <v>12</v>
      </c>
      <c r="K2049" t="s">
        <v>41</v>
      </c>
      <c r="L2049" t="s">
        <v>22</v>
      </c>
      <c r="M2049" t="s">
        <v>52</v>
      </c>
      <c r="N2049" t="s">
        <v>53</v>
      </c>
    </row>
    <row r="2050" spans="1:14" x14ac:dyDescent="0.3">
      <c r="A2050">
        <v>2049</v>
      </c>
      <c r="B2050">
        <v>915</v>
      </c>
      <c r="C2050">
        <f>1/COUNTIF(pizza_sales[[#All],[order_id]],pizza_sales[[#This Row],[order_id]])</f>
        <v>0.125</v>
      </c>
      <c r="D2050" t="s">
        <v>163</v>
      </c>
      <c r="E2050">
        <v>1</v>
      </c>
      <c r="F2050" s="1">
        <v>42020</v>
      </c>
      <c r="G2050" s="1" t="str">
        <f>TEXT(pizza_sales[[#This Row],[order_date]],"dddd")</f>
        <v>Friday</v>
      </c>
      <c r="H2050" s="2">
        <v>36526.514143518521</v>
      </c>
      <c r="I2050">
        <v>16</v>
      </c>
      <c r="J2050">
        <v>16</v>
      </c>
      <c r="K2050" t="s">
        <v>13</v>
      </c>
      <c r="L2050" t="s">
        <v>14</v>
      </c>
      <c r="M2050" t="s">
        <v>94</v>
      </c>
      <c r="N2050" t="s">
        <v>95</v>
      </c>
    </row>
    <row r="2051" spans="1:14" x14ac:dyDescent="0.3">
      <c r="A2051">
        <v>2050</v>
      </c>
      <c r="B2051">
        <v>915</v>
      </c>
      <c r="C2051">
        <f>1/COUNTIF(pizza_sales[[#All],[order_id]],pizza_sales[[#This Row],[order_id]])</f>
        <v>0.125</v>
      </c>
      <c r="D2051" t="s">
        <v>77</v>
      </c>
      <c r="E2051">
        <v>1</v>
      </c>
      <c r="F2051" s="1">
        <v>42020</v>
      </c>
      <c r="G2051" s="1" t="str">
        <f>TEXT(pizza_sales[[#This Row],[order_date]],"dddd")</f>
        <v>Friday</v>
      </c>
      <c r="H2051" s="2">
        <v>36526.514143518521</v>
      </c>
      <c r="I2051">
        <v>15.25</v>
      </c>
      <c r="J2051">
        <v>15.25</v>
      </c>
      <c r="K2051" t="s">
        <v>21</v>
      </c>
      <c r="L2051" t="s">
        <v>14</v>
      </c>
      <c r="M2051" t="s">
        <v>78</v>
      </c>
      <c r="N2051" t="s">
        <v>79</v>
      </c>
    </row>
    <row r="2052" spans="1:14" x14ac:dyDescent="0.3">
      <c r="A2052">
        <v>2051</v>
      </c>
      <c r="B2052">
        <v>915</v>
      </c>
      <c r="C2052">
        <f>1/COUNTIF(pizza_sales[[#All],[order_id]],pizza_sales[[#This Row],[order_id]])</f>
        <v>0.125</v>
      </c>
      <c r="D2052" t="s">
        <v>119</v>
      </c>
      <c r="E2052">
        <v>1</v>
      </c>
      <c r="F2052" s="1">
        <v>42020</v>
      </c>
      <c r="G2052" s="1" t="str">
        <f>TEXT(pizza_sales[[#This Row],[order_date]],"dddd")</f>
        <v>Friday</v>
      </c>
      <c r="H2052" s="2">
        <v>36526.514143518521</v>
      </c>
      <c r="I2052">
        <v>12.5</v>
      </c>
      <c r="J2052">
        <v>12.5</v>
      </c>
      <c r="K2052" t="s">
        <v>13</v>
      </c>
      <c r="L2052" t="s">
        <v>14</v>
      </c>
      <c r="M2052" t="s">
        <v>78</v>
      </c>
      <c r="N2052" t="s">
        <v>79</v>
      </c>
    </row>
    <row r="2053" spans="1:14" x14ac:dyDescent="0.3">
      <c r="A2053">
        <v>2052</v>
      </c>
      <c r="B2053">
        <v>915</v>
      </c>
      <c r="C2053">
        <f>1/COUNTIF(pizza_sales[[#All],[order_id]],pizza_sales[[#This Row],[order_id]])</f>
        <v>0.125</v>
      </c>
      <c r="D2053" t="s">
        <v>120</v>
      </c>
      <c r="E2053">
        <v>1</v>
      </c>
      <c r="F2053" s="1">
        <v>42020</v>
      </c>
      <c r="G2053" s="1" t="str">
        <f>TEXT(pizza_sales[[#This Row],[order_date]],"dddd")</f>
        <v>Friday</v>
      </c>
      <c r="H2053" s="2">
        <v>36526.514143518521</v>
      </c>
      <c r="I2053">
        <v>12.5</v>
      </c>
      <c r="J2053">
        <v>12.5</v>
      </c>
      <c r="K2053" t="s">
        <v>41</v>
      </c>
      <c r="L2053" t="s">
        <v>26</v>
      </c>
      <c r="M2053" t="s">
        <v>38</v>
      </c>
      <c r="N2053" t="s">
        <v>39</v>
      </c>
    </row>
    <row r="2054" spans="1:14" x14ac:dyDescent="0.3">
      <c r="A2054">
        <v>2053</v>
      </c>
      <c r="B2054">
        <v>915</v>
      </c>
      <c r="C2054">
        <f>1/COUNTIF(pizza_sales[[#All],[order_id]],pizza_sales[[#This Row],[order_id]])</f>
        <v>0.125</v>
      </c>
      <c r="D2054" t="s">
        <v>59</v>
      </c>
      <c r="E2054">
        <v>1</v>
      </c>
      <c r="F2054" s="1">
        <v>42020</v>
      </c>
      <c r="G2054" s="1" t="str">
        <f>TEXT(pizza_sales[[#This Row],[order_date]],"dddd")</f>
        <v>Friday</v>
      </c>
      <c r="H2054" s="2">
        <v>36526.514143518521</v>
      </c>
      <c r="I2054">
        <v>20.75</v>
      </c>
      <c r="J2054">
        <v>20.75</v>
      </c>
      <c r="K2054" t="s">
        <v>21</v>
      </c>
      <c r="L2054" t="s">
        <v>26</v>
      </c>
      <c r="M2054" t="s">
        <v>60</v>
      </c>
      <c r="N2054" t="s">
        <v>61</v>
      </c>
    </row>
    <row r="2055" spans="1:14" x14ac:dyDescent="0.3">
      <c r="A2055">
        <v>2054</v>
      </c>
      <c r="B2055">
        <v>916</v>
      </c>
      <c r="C2055">
        <f>1/COUNTIF(pizza_sales[[#All],[order_id]],pizza_sales[[#This Row],[order_id]])</f>
        <v>0.25</v>
      </c>
      <c r="D2055" t="s">
        <v>36</v>
      </c>
      <c r="E2055">
        <v>1</v>
      </c>
      <c r="F2055" s="1">
        <v>42020</v>
      </c>
      <c r="G2055" s="1" t="str">
        <f>TEXT(pizza_sales[[#This Row],[order_date]],"dddd")</f>
        <v>Friday</v>
      </c>
      <c r="H2055" s="2">
        <v>36526.520937499998</v>
      </c>
      <c r="I2055">
        <v>16.5</v>
      </c>
      <c r="J2055">
        <v>16.5</v>
      </c>
      <c r="K2055" t="s">
        <v>13</v>
      </c>
      <c r="L2055" t="s">
        <v>26</v>
      </c>
      <c r="M2055" t="s">
        <v>27</v>
      </c>
      <c r="N2055" t="s">
        <v>28</v>
      </c>
    </row>
    <row r="2056" spans="1:14" x14ac:dyDescent="0.3">
      <c r="A2056">
        <v>2055</v>
      </c>
      <c r="B2056">
        <v>916</v>
      </c>
      <c r="C2056">
        <f>1/COUNTIF(pizza_sales[[#All],[order_id]],pizza_sales[[#This Row],[order_id]])</f>
        <v>0.25</v>
      </c>
      <c r="D2056" t="s">
        <v>68</v>
      </c>
      <c r="E2056">
        <v>1</v>
      </c>
      <c r="F2056" s="1">
        <v>42020</v>
      </c>
      <c r="G2056" s="1" t="str">
        <f>TEXT(pizza_sales[[#This Row],[order_date]],"dddd")</f>
        <v>Friday</v>
      </c>
      <c r="H2056" s="2">
        <v>36526.520937499998</v>
      </c>
      <c r="I2056">
        <v>20.25</v>
      </c>
      <c r="J2056">
        <v>20.25</v>
      </c>
      <c r="K2056" t="s">
        <v>21</v>
      </c>
      <c r="L2056" t="s">
        <v>22</v>
      </c>
      <c r="M2056" t="s">
        <v>30</v>
      </c>
      <c r="N2056" t="s">
        <v>31</v>
      </c>
    </row>
    <row r="2057" spans="1:14" x14ac:dyDescent="0.3">
      <c r="A2057">
        <v>2056</v>
      </c>
      <c r="B2057">
        <v>916</v>
      </c>
      <c r="C2057">
        <f>1/COUNTIF(pizza_sales[[#All],[order_id]],pizza_sales[[#This Row],[order_id]])</f>
        <v>0.25</v>
      </c>
      <c r="D2057" t="s">
        <v>77</v>
      </c>
      <c r="E2057">
        <v>1</v>
      </c>
      <c r="F2057" s="1">
        <v>42020</v>
      </c>
      <c r="G2057" s="1" t="str">
        <f>TEXT(pizza_sales[[#This Row],[order_date]],"dddd")</f>
        <v>Friday</v>
      </c>
      <c r="H2057" s="2">
        <v>36526.520937499998</v>
      </c>
      <c r="I2057">
        <v>15.25</v>
      </c>
      <c r="J2057">
        <v>15.25</v>
      </c>
      <c r="K2057" t="s">
        <v>21</v>
      </c>
      <c r="L2057" t="s">
        <v>14</v>
      </c>
      <c r="M2057" t="s">
        <v>78</v>
      </c>
      <c r="N2057" t="s">
        <v>79</v>
      </c>
    </row>
    <row r="2058" spans="1:14" x14ac:dyDescent="0.3">
      <c r="A2058">
        <v>2057</v>
      </c>
      <c r="B2058">
        <v>916</v>
      </c>
      <c r="C2058">
        <f>1/COUNTIF(pizza_sales[[#All],[order_id]],pizza_sales[[#This Row],[order_id]])</f>
        <v>0.25</v>
      </c>
      <c r="D2058" t="s">
        <v>140</v>
      </c>
      <c r="E2058">
        <v>1</v>
      </c>
      <c r="F2058" s="1">
        <v>42020</v>
      </c>
      <c r="G2058" s="1" t="str">
        <f>TEXT(pizza_sales[[#This Row],[order_date]],"dddd")</f>
        <v>Friday</v>
      </c>
      <c r="H2058" s="2">
        <v>36526.520937499998</v>
      </c>
      <c r="I2058">
        <v>25.5</v>
      </c>
      <c r="J2058">
        <v>25.5</v>
      </c>
      <c r="K2058" t="s">
        <v>141</v>
      </c>
      <c r="L2058" t="s">
        <v>14</v>
      </c>
      <c r="M2058" t="s">
        <v>45</v>
      </c>
      <c r="N2058" t="s">
        <v>46</v>
      </c>
    </row>
    <row r="2059" spans="1:14" x14ac:dyDescent="0.3">
      <c r="A2059">
        <v>2058</v>
      </c>
      <c r="B2059">
        <v>917</v>
      </c>
      <c r="C2059">
        <f>1/COUNTIF(pizza_sales[[#All],[order_id]],pizza_sales[[#This Row],[order_id]])</f>
        <v>1</v>
      </c>
      <c r="D2059" t="s">
        <v>69</v>
      </c>
      <c r="E2059">
        <v>1</v>
      </c>
      <c r="F2059" s="1">
        <v>42020</v>
      </c>
      <c r="G2059" s="1" t="str">
        <f>TEXT(pizza_sales[[#This Row],[order_date]],"dddd")</f>
        <v>Friday</v>
      </c>
      <c r="H2059" s="2">
        <v>36526.523784722223</v>
      </c>
      <c r="I2059">
        <v>20.75</v>
      </c>
      <c r="J2059">
        <v>20.75</v>
      </c>
      <c r="K2059" t="s">
        <v>21</v>
      </c>
      <c r="L2059" t="s">
        <v>33</v>
      </c>
      <c r="M2059" t="s">
        <v>70</v>
      </c>
      <c r="N2059" t="s">
        <v>71</v>
      </c>
    </row>
    <row r="2060" spans="1:14" x14ac:dyDescent="0.3">
      <c r="A2060">
        <v>2059</v>
      </c>
      <c r="B2060">
        <v>918</v>
      </c>
      <c r="C2060">
        <f>1/COUNTIF(pizza_sales[[#All],[order_id]],pizza_sales[[#This Row],[order_id]])</f>
        <v>1</v>
      </c>
      <c r="D2060" t="s">
        <v>157</v>
      </c>
      <c r="E2060">
        <v>1</v>
      </c>
      <c r="F2060" s="1">
        <v>42020</v>
      </c>
      <c r="G2060" s="1" t="str">
        <f>TEXT(pizza_sales[[#This Row],[order_date]],"dddd")</f>
        <v>Friday</v>
      </c>
      <c r="H2060" s="2">
        <v>36526.54587962963</v>
      </c>
      <c r="I2060">
        <v>12</v>
      </c>
      <c r="J2060">
        <v>12</v>
      </c>
      <c r="K2060" t="s">
        <v>41</v>
      </c>
      <c r="L2060" t="s">
        <v>22</v>
      </c>
      <c r="M2060" t="s">
        <v>110</v>
      </c>
      <c r="N2060" t="s">
        <v>111</v>
      </c>
    </row>
    <row r="2061" spans="1:14" x14ac:dyDescent="0.3">
      <c r="A2061">
        <v>2060</v>
      </c>
      <c r="B2061">
        <v>919</v>
      </c>
      <c r="C2061">
        <f>1/COUNTIF(pizza_sales[[#All],[order_id]],pizza_sales[[#This Row],[order_id]])</f>
        <v>1</v>
      </c>
      <c r="D2061" t="s">
        <v>112</v>
      </c>
      <c r="E2061">
        <v>1</v>
      </c>
      <c r="F2061" s="1">
        <v>42020</v>
      </c>
      <c r="G2061" s="1" t="str">
        <f>TEXT(pizza_sales[[#This Row],[order_date]],"dddd")</f>
        <v>Friday</v>
      </c>
      <c r="H2061" s="2">
        <v>36526.549479166664</v>
      </c>
      <c r="I2061">
        <v>20.5</v>
      </c>
      <c r="J2061">
        <v>20.5</v>
      </c>
      <c r="K2061" t="s">
        <v>21</v>
      </c>
      <c r="L2061" t="s">
        <v>14</v>
      </c>
      <c r="M2061" t="s">
        <v>94</v>
      </c>
      <c r="N2061" t="s">
        <v>95</v>
      </c>
    </row>
    <row r="2062" spans="1:14" x14ac:dyDescent="0.3">
      <c r="A2062">
        <v>2061</v>
      </c>
      <c r="B2062">
        <v>920</v>
      </c>
      <c r="C2062">
        <f>1/COUNTIF(pizza_sales[[#All],[order_id]],pizza_sales[[#This Row],[order_id]])</f>
        <v>0.5</v>
      </c>
      <c r="D2062" t="s">
        <v>118</v>
      </c>
      <c r="E2062">
        <v>1</v>
      </c>
      <c r="F2062" s="1">
        <v>42020</v>
      </c>
      <c r="G2062" s="1" t="str">
        <f>TEXT(pizza_sales[[#This Row],[order_date]],"dddd")</f>
        <v>Friday</v>
      </c>
      <c r="H2062" s="2">
        <v>36526.553414351853</v>
      </c>
      <c r="I2062">
        <v>16.75</v>
      </c>
      <c r="J2062">
        <v>16.75</v>
      </c>
      <c r="K2062" t="s">
        <v>13</v>
      </c>
      <c r="L2062" t="s">
        <v>33</v>
      </c>
      <c r="M2062" t="s">
        <v>42</v>
      </c>
      <c r="N2062" t="s">
        <v>43</v>
      </c>
    </row>
    <row r="2063" spans="1:14" x14ac:dyDescent="0.3">
      <c r="A2063">
        <v>2062</v>
      </c>
      <c r="B2063">
        <v>920</v>
      </c>
      <c r="C2063">
        <f>1/COUNTIF(pizza_sales[[#All],[order_id]],pizza_sales[[#This Row],[order_id]])</f>
        <v>0.5</v>
      </c>
      <c r="D2063" t="s">
        <v>17</v>
      </c>
      <c r="E2063">
        <v>1</v>
      </c>
      <c r="F2063" s="1">
        <v>42020</v>
      </c>
      <c r="G2063" s="1" t="str">
        <f>TEXT(pizza_sales[[#This Row],[order_date]],"dddd")</f>
        <v>Friday</v>
      </c>
      <c r="H2063" s="2">
        <v>36526.553414351853</v>
      </c>
      <c r="I2063">
        <v>16</v>
      </c>
      <c r="J2063">
        <v>16</v>
      </c>
      <c r="K2063" t="s">
        <v>13</v>
      </c>
      <c r="L2063" t="s">
        <v>14</v>
      </c>
      <c r="M2063" t="s">
        <v>18</v>
      </c>
      <c r="N2063" t="s">
        <v>19</v>
      </c>
    </row>
    <row r="2064" spans="1:14" x14ac:dyDescent="0.3">
      <c r="A2064">
        <v>2063</v>
      </c>
      <c r="B2064">
        <v>921</v>
      </c>
      <c r="C2064">
        <f>1/COUNTIF(pizza_sales[[#All],[order_id]],pizza_sales[[#This Row],[order_id]])</f>
        <v>0.5</v>
      </c>
      <c r="D2064" t="s">
        <v>69</v>
      </c>
      <c r="E2064">
        <v>1</v>
      </c>
      <c r="F2064" s="1">
        <v>42020</v>
      </c>
      <c r="G2064" s="1" t="str">
        <f>TEXT(pizza_sales[[#This Row],[order_date]],"dddd")</f>
        <v>Friday</v>
      </c>
      <c r="H2064" s="2">
        <v>36526.554537037038</v>
      </c>
      <c r="I2064">
        <v>20.75</v>
      </c>
      <c r="J2064">
        <v>20.75</v>
      </c>
      <c r="K2064" t="s">
        <v>21</v>
      </c>
      <c r="L2064" t="s">
        <v>33</v>
      </c>
      <c r="M2064" t="s">
        <v>70</v>
      </c>
      <c r="N2064" t="s">
        <v>71</v>
      </c>
    </row>
    <row r="2065" spans="1:14" x14ac:dyDescent="0.3">
      <c r="A2065">
        <v>2064</v>
      </c>
      <c r="B2065">
        <v>921</v>
      </c>
      <c r="C2065">
        <f>1/COUNTIF(pizza_sales[[#All],[order_id]],pizza_sales[[#This Row],[order_id]])</f>
        <v>0.5</v>
      </c>
      <c r="D2065" t="s">
        <v>62</v>
      </c>
      <c r="E2065">
        <v>1</v>
      </c>
      <c r="F2065" s="1">
        <v>42020</v>
      </c>
      <c r="G2065" s="1" t="str">
        <f>TEXT(pizza_sales[[#This Row],[order_date]],"dddd")</f>
        <v>Friday</v>
      </c>
      <c r="H2065" s="2">
        <v>36526.554537037038</v>
      </c>
      <c r="I2065">
        <v>20.75</v>
      </c>
      <c r="J2065">
        <v>20.75</v>
      </c>
      <c r="K2065" t="s">
        <v>21</v>
      </c>
      <c r="L2065" t="s">
        <v>22</v>
      </c>
      <c r="M2065" t="s">
        <v>63</v>
      </c>
      <c r="N2065" t="s">
        <v>64</v>
      </c>
    </row>
    <row r="2066" spans="1:14" x14ac:dyDescent="0.3">
      <c r="A2066">
        <v>2065</v>
      </c>
      <c r="B2066">
        <v>922</v>
      </c>
      <c r="C2066">
        <f>1/COUNTIF(pizza_sales[[#All],[order_id]],pizza_sales[[#This Row],[order_id]])</f>
        <v>0.33333333333333331</v>
      </c>
      <c r="D2066" t="s">
        <v>96</v>
      </c>
      <c r="E2066">
        <v>1</v>
      </c>
      <c r="F2066" s="1">
        <v>42020</v>
      </c>
      <c r="G2066" s="1" t="str">
        <f>TEXT(pizza_sales[[#This Row],[order_date]],"dddd")</f>
        <v>Friday</v>
      </c>
      <c r="H2066" s="2">
        <v>36526.555358796293</v>
      </c>
      <c r="I2066">
        <v>16.25</v>
      </c>
      <c r="J2066">
        <v>16.25</v>
      </c>
      <c r="K2066" t="s">
        <v>13</v>
      </c>
      <c r="L2066" t="s">
        <v>26</v>
      </c>
      <c r="M2066" t="s">
        <v>97</v>
      </c>
      <c r="N2066" t="s">
        <v>98</v>
      </c>
    </row>
    <row r="2067" spans="1:14" x14ac:dyDescent="0.3">
      <c r="A2067">
        <v>2066</v>
      </c>
      <c r="B2067">
        <v>922</v>
      </c>
      <c r="C2067">
        <f>1/COUNTIF(pizza_sales[[#All],[order_id]],pizza_sales[[#This Row],[order_id]])</f>
        <v>0.33333333333333331</v>
      </c>
      <c r="D2067" t="s">
        <v>119</v>
      </c>
      <c r="E2067">
        <v>1</v>
      </c>
      <c r="F2067" s="1">
        <v>42020</v>
      </c>
      <c r="G2067" s="1" t="str">
        <f>TEXT(pizza_sales[[#This Row],[order_date]],"dddd")</f>
        <v>Friday</v>
      </c>
      <c r="H2067" s="2">
        <v>36526.555358796293</v>
      </c>
      <c r="I2067">
        <v>12.5</v>
      </c>
      <c r="J2067">
        <v>12.5</v>
      </c>
      <c r="K2067" t="s">
        <v>13</v>
      </c>
      <c r="L2067" t="s">
        <v>14</v>
      </c>
      <c r="M2067" t="s">
        <v>78</v>
      </c>
      <c r="N2067" t="s">
        <v>79</v>
      </c>
    </row>
    <row r="2068" spans="1:14" x14ac:dyDescent="0.3">
      <c r="A2068">
        <v>2067</v>
      </c>
      <c r="B2068">
        <v>922</v>
      </c>
      <c r="C2068">
        <f>1/COUNTIF(pizza_sales[[#All],[order_id]],pizza_sales[[#This Row],[order_id]])</f>
        <v>0.33333333333333331</v>
      </c>
      <c r="D2068" t="s">
        <v>69</v>
      </c>
      <c r="E2068">
        <v>1</v>
      </c>
      <c r="F2068" s="1">
        <v>42020</v>
      </c>
      <c r="G2068" s="1" t="str">
        <f>TEXT(pizza_sales[[#This Row],[order_date]],"dddd")</f>
        <v>Friday</v>
      </c>
      <c r="H2068" s="2">
        <v>36526.555358796293</v>
      </c>
      <c r="I2068">
        <v>20.75</v>
      </c>
      <c r="J2068">
        <v>20.75</v>
      </c>
      <c r="K2068" t="s">
        <v>21</v>
      </c>
      <c r="L2068" t="s">
        <v>33</v>
      </c>
      <c r="M2068" t="s">
        <v>70</v>
      </c>
      <c r="N2068" t="s">
        <v>71</v>
      </c>
    </row>
    <row r="2069" spans="1:14" x14ac:dyDescent="0.3">
      <c r="A2069">
        <v>2068</v>
      </c>
      <c r="B2069">
        <v>923</v>
      </c>
      <c r="C2069">
        <f>1/COUNTIF(pizza_sales[[#All],[order_id]],pizza_sales[[#This Row],[order_id]])</f>
        <v>0.5</v>
      </c>
      <c r="D2069" t="s">
        <v>29</v>
      </c>
      <c r="E2069">
        <v>1</v>
      </c>
      <c r="F2069" s="1">
        <v>42020</v>
      </c>
      <c r="G2069" s="1" t="str">
        <f>TEXT(pizza_sales[[#This Row],[order_date]],"dddd")</f>
        <v>Friday</v>
      </c>
      <c r="H2069" s="2">
        <v>36526.557974537034</v>
      </c>
      <c r="I2069">
        <v>16</v>
      </c>
      <c r="J2069">
        <v>16</v>
      </c>
      <c r="K2069" t="s">
        <v>13</v>
      </c>
      <c r="L2069" t="s">
        <v>22</v>
      </c>
      <c r="M2069" t="s">
        <v>30</v>
      </c>
      <c r="N2069" t="s">
        <v>31</v>
      </c>
    </row>
    <row r="2070" spans="1:14" x14ac:dyDescent="0.3">
      <c r="A2070">
        <v>2069</v>
      </c>
      <c r="B2070">
        <v>923</v>
      </c>
      <c r="C2070">
        <f>1/COUNTIF(pizza_sales[[#All],[order_id]],pizza_sales[[#This Row],[order_id]])</f>
        <v>0.5</v>
      </c>
      <c r="D2070" t="s">
        <v>157</v>
      </c>
      <c r="E2070">
        <v>1</v>
      </c>
      <c r="F2070" s="1">
        <v>42020</v>
      </c>
      <c r="G2070" s="1" t="str">
        <f>TEXT(pizza_sales[[#This Row],[order_date]],"dddd")</f>
        <v>Friday</v>
      </c>
      <c r="H2070" s="2">
        <v>36526.557974537034</v>
      </c>
      <c r="I2070">
        <v>12</v>
      </c>
      <c r="J2070">
        <v>12</v>
      </c>
      <c r="K2070" t="s">
        <v>41</v>
      </c>
      <c r="L2070" t="s">
        <v>22</v>
      </c>
      <c r="M2070" t="s">
        <v>110</v>
      </c>
      <c r="N2070" t="s">
        <v>111</v>
      </c>
    </row>
    <row r="2071" spans="1:14" x14ac:dyDescent="0.3">
      <c r="A2071">
        <v>2070</v>
      </c>
      <c r="B2071">
        <v>924</v>
      </c>
      <c r="C2071">
        <f>1/COUNTIF(pizza_sales[[#All],[order_id]],pizza_sales[[#This Row],[order_id]])</f>
        <v>0.5</v>
      </c>
      <c r="D2071" t="s">
        <v>77</v>
      </c>
      <c r="E2071">
        <v>1</v>
      </c>
      <c r="F2071" s="1">
        <v>42020</v>
      </c>
      <c r="G2071" s="1" t="str">
        <f>TEXT(pizza_sales[[#This Row],[order_date]],"dddd")</f>
        <v>Friday</v>
      </c>
      <c r="H2071" s="2">
        <v>36526.561076388891</v>
      </c>
      <c r="I2071">
        <v>15.25</v>
      </c>
      <c r="J2071">
        <v>15.25</v>
      </c>
      <c r="K2071" t="s">
        <v>21</v>
      </c>
      <c r="L2071" t="s">
        <v>14</v>
      </c>
      <c r="M2071" t="s">
        <v>78</v>
      </c>
      <c r="N2071" t="s">
        <v>79</v>
      </c>
    </row>
    <row r="2072" spans="1:14" x14ac:dyDescent="0.3">
      <c r="A2072">
        <v>2071</v>
      </c>
      <c r="B2072">
        <v>924</v>
      </c>
      <c r="C2072">
        <f>1/COUNTIF(pizza_sales[[#All],[order_id]],pizza_sales[[#This Row],[order_id]])</f>
        <v>0.5</v>
      </c>
      <c r="D2072" t="s">
        <v>69</v>
      </c>
      <c r="E2072">
        <v>1</v>
      </c>
      <c r="F2072" s="1">
        <v>42020</v>
      </c>
      <c r="G2072" s="1" t="str">
        <f>TEXT(pizza_sales[[#This Row],[order_date]],"dddd")</f>
        <v>Friday</v>
      </c>
      <c r="H2072" s="2">
        <v>36526.561076388891</v>
      </c>
      <c r="I2072">
        <v>20.75</v>
      </c>
      <c r="J2072">
        <v>20.75</v>
      </c>
      <c r="K2072" t="s">
        <v>21</v>
      </c>
      <c r="L2072" t="s">
        <v>33</v>
      </c>
      <c r="M2072" t="s">
        <v>70</v>
      </c>
      <c r="N2072" t="s">
        <v>71</v>
      </c>
    </row>
    <row r="2073" spans="1:14" x14ac:dyDescent="0.3">
      <c r="A2073">
        <v>2072</v>
      </c>
      <c r="B2073">
        <v>925</v>
      </c>
      <c r="C2073">
        <f>1/COUNTIF(pizza_sales[[#All],[order_id]],pizza_sales[[#This Row],[order_id]])</f>
        <v>1</v>
      </c>
      <c r="D2073" t="s">
        <v>122</v>
      </c>
      <c r="E2073">
        <v>1</v>
      </c>
      <c r="F2073" s="1">
        <v>42020</v>
      </c>
      <c r="G2073" s="1" t="str">
        <f>TEXT(pizza_sales[[#This Row],[order_date]],"dddd")</f>
        <v>Friday</v>
      </c>
      <c r="H2073" s="2">
        <v>36526.571377314816</v>
      </c>
      <c r="I2073">
        <v>20.25</v>
      </c>
      <c r="J2073">
        <v>20.25</v>
      </c>
      <c r="K2073" t="s">
        <v>21</v>
      </c>
      <c r="L2073" t="s">
        <v>22</v>
      </c>
      <c r="M2073" t="s">
        <v>66</v>
      </c>
      <c r="N2073" t="s">
        <v>67</v>
      </c>
    </row>
    <row r="2074" spans="1:14" x14ac:dyDescent="0.3">
      <c r="A2074">
        <v>2073</v>
      </c>
      <c r="B2074">
        <v>926</v>
      </c>
      <c r="C2074">
        <f>1/COUNTIF(pizza_sales[[#All],[order_id]],pizza_sales[[#This Row],[order_id]])</f>
        <v>0.25</v>
      </c>
      <c r="D2074" t="s">
        <v>17</v>
      </c>
      <c r="E2074">
        <v>1</v>
      </c>
      <c r="F2074" s="1">
        <v>42020</v>
      </c>
      <c r="G2074" s="1" t="str">
        <f>TEXT(pizza_sales[[#This Row],[order_date]],"dddd")</f>
        <v>Friday</v>
      </c>
      <c r="H2074" s="2">
        <v>36526.577523148146</v>
      </c>
      <c r="I2074">
        <v>16</v>
      </c>
      <c r="J2074">
        <v>16</v>
      </c>
      <c r="K2074" t="s">
        <v>13</v>
      </c>
      <c r="L2074" t="s">
        <v>14</v>
      </c>
      <c r="M2074" t="s">
        <v>18</v>
      </c>
      <c r="N2074" t="s">
        <v>19</v>
      </c>
    </row>
    <row r="2075" spans="1:14" x14ac:dyDescent="0.3">
      <c r="A2075">
        <v>2074</v>
      </c>
      <c r="B2075">
        <v>926</v>
      </c>
      <c r="C2075">
        <f>1/COUNTIF(pizza_sales[[#All],[order_id]],pizza_sales[[#This Row],[order_id]])</f>
        <v>0.25</v>
      </c>
      <c r="D2075" t="s">
        <v>77</v>
      </c>
      <c r="E2075">
        <v>1</v>
      </c>
      <c r="F2075" s="1">
        <v>42020</v>
      </c>
      <c r="G2075" s="1" t="str">
        <f>TEXT(pizza_sales[[#This Row],[order_date]],"dddd")</f>
        <v>Friday</v>
      </c>
      <c r="H2075" s="2">
        <v>36526.577523148146</v>
      </c>
      <c r="I2075">
        <v>15.25</v>
      </c>
      <c r="J2075">
        <v>15.25</v>
      </c>
      <c r="K2075" t="s">
        <v>21</v>
      </c>
      <c r="L2075" t="s">
        <v>14</v>
      </c>
      <c r="M2075" t="s">
        <v>78</v>
      </c>
      <c r="N2075" t="s">
        <v>79</v>
      </c>
    </row>
    <row r="2076" spans="1:14" x14ac:dyDescent="0.3">
      <c r="A2076">
        <v>2075</v>
      </c>
      <c r="B2076">
        <v>926</v>
      </c>
      <c r="C2076">
        <f>1/COUNTIF(pizza_sales[[#All],[order_id]],pizza_sales[[#This Row],[order_id]])</f>
        <v>0.25</v>
      </c>
      <c r="D2076" t="s">
        <v>149</v>
      </c>
      <c r="E2076">
        <v>1</v>
      </c>
      <c r="F2076" s="1">
        <v>42020</v>
      </c>
      <c r="G2076" s="1" t="str">
        <f>TEXT(pizza_sales[[#This Row],[order_date]],"dddd")</f>
        <v>Friday</v>
      </c>
      <c r="H2076" s="2">
        <v>36526.577523148146</v>
      </c>
      <c r="I2076">
        <v>12.25</v>
      </c>
      <c r="J2076">
        <v>12.25</v>
      </c>
      <c r="K2076" t="s">
        <v>41</v>
      </c>
      <c r="L2076" t="s">
        <v>26</v>
      </c>
      <c r="M2076" t="s">
        <v>114</v>
      </c>
      <c r="N2076" t="s">
        <v>115</v>
      </c>
    </row>
    <row r="2077" spans="1:14" x14ac:dyDescent="0.3">
      <c r="A2077">
        <v>2076</v>
      </c>
      <c r="B2077">
        <v>926</v>
      </c>
      <c r="C2077">
        <f>1/COUNTIF(pizza_sales[[#All],[order_id]],pizza_sales[[#This Row],[order_id]])</f>
        <v>0.25</v>
      </c>
      <c r="D2077" t="s">
        <v>122</v>
      </c>
      <c r="E2077">
        <v>1</v>
      </c>
      <c r="F2077" s="1">
        <v>42020</v>
      </c>
      <c r="G2077" s="1" t="str">
        <f>TEXT(pizza_sales[[#This Row],[order_date]],"dddd")</f>
        <v>Friday</v>
      </c>
      <c r="H2077" s="2">
        <v>36526.577523148146</v>
      </c>
      <c r="I2077">
        <v>20.25</v>
      </c>
      <c r="J2077">
        <v>20.25</v>
      </c>
      <c r="K2077" t="s">
        <v>21</v>
      </c>
      <c r="L2077" t="s">
        <v>22</v>
      </c>
      <c r="M2077" t="s">
        <v>66</v>
      </c>
      <c r="N2077" t="s">
        <v>67</v>
      </c>
    </row>
    <row r="2078" spans="1:14" x14ac:dyDescent="0.3">
      <c r="A2078">
        <v>2077</v>
      </c>
      <c r="B2078">
        <v>927</v>
      </c>
      <c r="C2078">
        <f>1/COUNTIF(pizza_sales[[#All],[order_id]],pizza_sales[[#This Row],[order_id]])</f>
        <v>0.1111111111111111</v>
      </c>
      <c r="D2078" t="s">
        <v>76</v>
      </c>
      <c r="E2078">
        <v>1</v>
      </c>
      <c r="F2078" s="1">
        <v>42020</v>
      </c>
      <c r="G2078" s="1" t="str">
        <f>TEXT(pizza_sales[[#This Row],[order_date]],"dddd")</f>
        <v>Friday</v>
      </c>
      <c r="H2078" s="2">
        <v>36526.582881944443</v>
      </c>
      <c r="I2078">
        <v>16.75</v>
      </c>
      <c r="J2078">
        <v>16.75</v>
      </c>
      <c r="K2078" t="s">
        <v>13</v>
      </c>
      <c r="L2078" t="s">
        <v>33</v>
      </c>
      <c r="M2078" t="s">
        <v>74</v>
      </c>
      <c r="N2078" t="s">
        <v>75</v>
      </c>
    </row>
    <row r="2079" spans="1:14" x14ac:dyDescent="0.3">
      <c r="A2079">
        <v>2078</v>
      </c>
      <c r="B2079">
        <v>927</v>
      </c>
      <c r="C2079">
        <f>1/COUNTIF(pizza_sales[[#All],[order_id]],pizza_sales[[#This Row],[order_id]])</f>
        <v>0.1111111111111111</v>
      </c>
      <c r="D2079" t="s">
        <v>134</v>
      </c>
      <c r="E2079">
        <v>1</v>
      </c>
      <c r="F2079" s="1">
        <v>42020</v>
      </c>
      <c r="G2079" s="1" t="str">
        <f>TEXT(pizza_sales[[#This Row],[order_date]],"dddd")</f>
        <v>Friday</v>
      </c>
      <c r="H2079" s="2">
        <v>36526.582881944443</v>
      </c>
      <c r="I2079">
        <v>16.75</v>
      </c>
      <c r="J2079">
        <v>16.75</v>
      </c>
      <c r="K2079" t="s">
        <v>13</v>
      </c>
      <c r="L2079" t="s">
        <v>33</v>
      </c>
      <c r="M2079" t="s">
        <v>124</v>
      </c>
      <c r="N2079" t="s">
        <v>125</v>
      </c>
    </row>
    <row r="2080" spans="1:14" x14ac:dyDescent="0.3">
      <c r="A2080">
        <v>2079</v>
      </c>
      <c r="B2080">
        <v>927</v>
      </c>
      <c r="C2080">
        <f>1/COUNTIF(pizza_sales[[#All],[order_id]],pizza_sales[[#This Row],[order_id]])</f>
        <v>0.1111111111111111</v>
      </c>
      <c r="D2080" t="s">
        <v>17</v>
      </c>
      <c r="E2080">
        <v>1</v>
      </c>
      <c r="F2080" s="1">
        <v>42020</v>
      </c>
      <c r="G2080" s="1" t="str">
        <f>TEXT(pizza_sales[[#This Row],[order_date]],"dddd")</f>
        <v>Friday</v>
      </c>
      <c r="H2080" s="2">
        <v>36526.582881944443</v>
      </c>
      <c r="I2080">
        <v>16</v>
      </c>
      <c r="J2080">
        <v>16</v>
      </c>
      <c r="K2080" t="s">
        <v>13</v>
      </c>
      <c r="L2080" t="s">
        <v>14</v>
      </c>
      <c r="M2080" t="s">
        <v>18</v>
      </c>
      <c r="N2080" t="s">
        <v>19</v>
      </c>
    </row>
    <row r="2081" spans="1:14" x14ac:dyDescent="0.3">
      <c r="A2081">
        <v>2080</v>
      </c>
      <c r="B2081">
        <v>927</v>
      </c>
      <c r="C2081">
        <f>1/COUNTIF(pizza_sales[[#All],[order_id]],pizza_sales[[#This Row],[order_id]])</f>
        <v>0.1111111111111111</v>
      </c>
      <c r="D2081" t="s">
        <v>99</v>
      </c>
      <c r="E2081">
        <v>1</v>
      </c>
      <c r="F2081" s="1">
        <v>42020</v>
      </c>
      <c r="G2081" s="1" t="str">
        <f>TEXT(pizza_sales[[#This Row],[order_date]],"dddd")</f>
        <v>Friday</v>
      </c>
      <c r="H2081" s="2">
        <v>36526.582881944443</v>
      </c>
      <c r="I2081">
        <v>14.75</v>
      </c>
      <c r="J2081">
        <v>14.75</v>
      </c>
      <c r="K2081" t="s">
        <v>13</v>
      </c>
      <c r="L2081" t="s">
        <v>22</v>
      </c>
      <c r="M2081" t="s">
        <v>91</v>
      </c>
      <c r="N2081" t="s">
        <v>92</v>
      </c>
    </row>
    <row r="2082" spans="1:14" x14ac:dyDescent="0.3">
      <c r="A2082">
        <v>2081</v>
      </c>
      <c r="B2082">
        <v>927</v>
      </c>
      <c r="C2082">
        <f>1/COUNTIF(pizza_sales[[#All],[order_id]],pizza_sales[[#This Row],[order_id]])</f>
        <v>0.1111111111111111</v>
      </c>
      <c r="D2082" t="s">
        <v>132</v>
      </c>
      <c r="E2082">
        <v>1</v>
      </c>
      <c r="F2082" s="1">
        <v>42020</v>
      </c>
      <c r="G2082" s="1" t="str">
        <f>TEXT(pizza_sales[[#This Row],[order_date]],"dddd")</f>
        <v>Friday</v>
      </c>
      <c r="H2082" s="2">
        <v>36526.582881944443</v>
      </c>
      <c r="I2082">
        <v>10.5</v>
      </c>
      <c r="J2082">
        <v>10.5</v>
      </c>
      <c r="K2082" t="s">
        <v>41</v>
      </c>
      <c r="L2082" t="s">
        <v>14</v>
      </c>
      <c r="M2082" t="s">
        <v>15</v>
      </c>
      <c r="N2082" t="s">
        <v>16</v>
      </c>
    </row>
    <row r="2083" spans="1:14" x14ac:dyDescent="0.3">
      <c r="A2083">
        <v>2082</v>
      </c>
      <c r="B2083">
        <v>927</v>
      </c>
      <c r="C2083">
        <f>1/COUNTIF(pizza_sales[[#All],[order_id]],pizza_sales[[#This Row],[order_id]])</f>
        <v>0.1111111111111111</v>
      </c>
      <c r="D2083" t="s">
        <v>160</v>
      </c>
      <c r="E2083">
        <v>1</v>
      </c>
      <c r="F2083" s="1">
        <v>42020</v>
      </c>
      <c r="G2083" s="1" t="str">
        <f>TEXT(pizza_sales[[#This Row],[order_date]],"dddd")</f>
        <v>Friday</v>
      </c>
      <c r="H2083" s="2">
        <v>36526.582881944443</v>
      </c>
      <c r="I2083">
        <v>12</v>
      </c>
      <c r="J2083">
        <v>12</v>
      </c>
      <c r="K2083" t="s">
        <v>41</v>
      </c>
      <c r="L2083" t="s">
        <v>14</v>
      </c>
      <c r="M2083" t="s">
        <v>55</v>
      </c>
      <c r="N2083" t="s">
        <v>56</v>
      </c>
    </row>
    <row r="2084" spans="1:14" x14ac:dyDescent="0.3">
      <c r="A2084">
        <v>2083</v>
      </c>
      <c r="B2084">
        <v>927</v>
      </c>
      <c r="C2084">
        <f>1/COUNTIF(pizza_sales[[#All],[order_id]],pizza_sales[[#This Row],[order_id]])</f>
        <v>0.1111111111111111</v>
      </c>
      <c r="D2084" t="s">
        <v>29</v>
      </c>
      <c r="E2084">
        <v>1</v>
      </c>
      <c r="F2084" s="1">
        <v>42020</v>
      </c>
      <c r="G2084" s="1" t="str">
        <f>TEXT(pizza_sales[[#This Row],[order_date]],"dddd")</f>
        <v>Friday</v>
      </c>
      <c r="H2084" s="2">
        <v>36526.582881944443</v>
      </c>
      <c r="I2084">
        <v>16</v>
      </c>
      <c r="J2084">
        <v>16</v>
      </c>
      <c r="K2084" t="s">
        <v>13</v>
      </c>
      <c r="L2084" t="s">
        <v>22</v>
      </c>
      <c r="M2084" t="s">
        <v>30</v>
      </c>
      <c r="N2084" t="s">
        <v>31</v>
      </c>
    </row>
    <row r="2085" spans="1:14" x14ac:dyDescent="0.3">
      <c r="A2085">
        <v>2084</v>
      </c>
      <c r="B2085">
        <v>927</v>
      </c>
      <c r="C2085">
        <f>1/COUNTIF(pizza_sales[[#All],[order_id]],pizza_sales[[#This Row],[order_id]])</f>
        <v>0.1111111111111111</v>
      </c>
      <c r="D2085" t="s">
        <v>163</v>
      </c>
      <c r="E2085">
        <v>1</v>
      </c>
      <c r="F2085" s="1">
        <v>42020</v>
      </c>
      <c r="G2085" s="1" t="str">
        <f>TEXT(pizza_sales[[#This Row],[order_date]],"dddd")</f>
        <v>Friday</v>
      </c>
      <c r="H2085" s="2">
        <v>36526.582881944443</v>
      </c>
      <c r="I2085">
        <v>16</v>
      </c>
      <c r="J2085">
        <v>16</v>
      </c>
      <c r="K2085" t="s">
        <v>13</v>
      </c>
      <c r="L2085" t="s">
        <v>14</v>
      </c>
      <c r="M2085" t="s">
        <v>94</v>
      </c>
      <c r="N2085" t="s">
        <v>95</v>
      </c>
    </row>
    <row r="2086" spans="1:14" x14ac:dyDescent="0.3">
      <c r="A2086">
        <v>2085</v>
      </c>
      <c r="B2086">
        <v>927</v>
      </c>
      <c r="C2086">
        <f>1/COUNTIF(pizza_sales[[#All],[order_id]],pizza_sales[[#This Row],[order_id]])</f>
        <v>0.1111111111111111</v>
      </c>
      <c r="D2086" t="s">
        <v>162</v>
      </c>
      <c r="E2086">
        <v>1</v>
      </c>
      <c r="F2086" s="1">
        <v>42020</v>
      </c>
      <c r="G2086" s="1" t="str">
        <f>TEXT(pizza_sales[[#This Row],[order_date]],"dddd")</f>
        <v>Friday</v>
      </c>
      <c r="H2086" s="2">
        <v>36526.582881944443</v>
      </c>
      <c r="I2086">
        <v>16</v>
      </c>
      <c r="J2086">
        <v>16</v>
      </c>
      <c r="K2086" t="s">
        <v>13</v>
      </c>
      <c r="L2086" t="s">
        <v>22</v>
      </c>
      <c r="M2086" t="s">
        <v>110</v>
      </c>
      <c r="N2086" t="s">
        <v>111</v>
      </c>
    </row>
    <row r="2087" spans="1:14" x14ac:dyDescent="0.3">
      <c r="A2087">
        <v>2086</v>
      </c>
      <c r="B2087">
        <v>928</v>
      </c>
      <c r="C2087">
        <f>1/COUNTIF(pizza_sales[[#All],[order_id]],pizza_sales[[#This Row],[order_id]])</f>
        <v>0.5</v>
      </c>
      <c r="D2087" t="s">
        <v>73</v>
      </c>
      <c r="E2087">
        <v>1</v>
      </c>
      <c r="F2087" s="1">
        <v>42020</v>
      </c>
      <c r="G2087" s="1" t="str">
        <f>TEXT(pizza_sales[[#This Row],[order_date]],"dddd")</f>
        <v>Friday</v>
      </c>
      <c r="H2087" s="2">
        <v>36526.593518518515</v>
      </c>
      <c r="I2087">
        <v>20.75</v>
      </c>
      <c r="J2087">
        <v>20.75</v>
      </c>
      <c r="K2087" t="s">
        <v>21</v>
      </c>
      <c r="L2087" t="s">
        <v>33</v>
      </c>
      <c r="M2087" t="s">
        <v>74</v>
      </c>
      <c r="N2087" t="s">
        <v>75</v>
      </c>
    </row>
    <row r="2088" spans="1:14" x14ac:dyDescent="0.3">
      <c r="A2088">
        <v>2087</v>
      </c>
      <c r="B2088">
        <v>928</v>
      </c>
      <c r="C2088">
        <f>1/COUNTIF(pizza_sales[[#All],[order_id]],pizza_sales[[#This Row],[order_id]])</f>
        <v>0.5</v>
      </c>
      <c r="D2088" t="s">
        <v>32</v>
      </c>
      <c r="E2088">
        <v>1</v>
      </c>
      <c r="F2088" s="1">
        <v>42020</v>
      </c>
      <c r="G2088" s="1" t="str">
        <f>TEXT(pizza_sales[[#This Row],[order_date]],"dddd")</f>
        <v>Friday</v>
      </c>
      <c r="H2088" s="2">
        <v>36526.593518518515</v>
      </c>
      <c r="I2088">
        <v>20.75</v>
      </c>
      <c r="J2088">
        <v>20.75</v>
      </c>
      <c r="K2088" t="s">
        <v>21</v>
      </c>
      <c r="L2088" t="s">
        <v>33</v>
      </c>
      <c r="M2088" t="s">
        <v>34</v>
      </c>
      <c r="N2088" t="s">
        <v>35</v>
      </c>
    </row>
    <row r="2089" spans="1:14" x14ac:dyDescent="0.3">
      <c r="A2089">
        <v>2088</v>
      </c>
      <c r="B2089">
        <v>929</v>
      </c>
      <c r="C2089">
        <f>1/COUNTIF(pizza_sales[[#All],[order_id]],pizza_sales[[#This Row],[order_id]])</f>
        <v>1</v>
      </c>
      <c r="D2089" t="s">
        <v>20</v>
      </c>
      <c r="E2089">
        <v>1</v>
      </c>
      <c r="F2089" s="1">
        <v>42020</v>
      </c>
      <c r="G2089" s="1" t="str">
        <f>TEXT(pizza_sales[[#This Row],[order_date]],"dddd")</f>
        <v>Friday</v>
      </c>
      <c r="H2089" s="2">
        <v>36526.60052083333</v>
      </c>
      <c r="I2089">
        <v>18.5</v>
      </c>
      <c r="J2089">
        <v>18.5</v>
      </c>
      <c r="K2089" t="s">
        <v>21</v>
      </c>
      <c r="L2089" t="s">
        <v>22</v>
      </c>
      <c r="M2089" t="s">
        <v>23</v>
      </c>
      <c r="N2089" t="s">
        <v>24</v>
      </c>
    </row>
    <row r="2090" spans="1:14" x14ac:dyDescent="0.3">
      <c r="A2090">
        <v>2089</v>
      </c>
      <c r="B2090">
        <v>930</v>
      </c>
      <c r="C2090">
        <f>1/COUNTIF(pizza_sales[[#All],[order_id]],pizza_sales[[#This Row],[order_id]])</f>
        <v>0.33333333333333331</v>
      </c>
      <c r="D2090" t="s">
        <v>160</v>
      </c>
      <c r="E2090">
        <v>1</v>
      </c>
      <c r="F2090" s="1">
        <v>42020</v>
      </c>
      <c r="G2090" s="1" t="str">
        <f>TEXT(pizza_sales[[#This Row],[order_date]],"dddd")</f>
        <v>Friday</v>
      </c>
      <c r="H2090" s="2">
        <v>36526.625127314815</v>
      </c>
      <c r="I2090">
        <v>12</v>
      </c>
      <c r="J2090">
        <v>12</v>
      </c>
      <c r="K2090" t="s">
        <v>41</v>
      </c>
      <c r="L2090" t="s">
        <v>14</v>
      </c>
      <c r="M2090" t="s">
        <v>55</v>
      </c>
      <c r="N2090" t="s">
        <v>56</v>
      </c>
    </row>
    <row r="2091" spans="1:14" x14ac:dyDescent="0.3">
      <c r="A2091">
        <v>2090</v>
      </c>
      <c r="B2091">
        <v>930</v>
      </c>
      <c r="C2091">
        <f>1/COUNTIF(pizza_sales[[#All],[order_id]],pizza_sales[[#This Row],[order_id]])</f>
        <v>0.33333333333333331</v>
      </c>
      <c r="D2091" t="s">
        <v>112</v>
      </c>
      <c r="E2091">
        <v>1</v>
      </c>
      <c r="F2091" s="1">
        <v>42020</v>
      </c>
      <c r="G2091" s="1" t="str">
        <f>TEXT(pizza_sales[[#This Row],[order_date]],"dddd")</f>
        <v>Friday</v>
      </c>
      <c r="H2091" s="2">
        <v>36526.625127314815</v>
      </c>
      <c r="I2091">
        <v>20.5</v>
      </c>
      <c r="J2091">
        <v>20.5</v>
      </c>
      <c r="K2091" t="s">
        <v>21</v>
      </c>
      <c r="L2091" t="s">
        <v>14</v>
      </c>
      <c r="M2091" t="s">
        <v>94</v>
      </c>
      <c r="N2091" t="s">
        <v>95</v>
      </c>
    </row>
    <row r="2092" spans="1:14" x14ac:dyDescent="0.3">
      <c r="A2092">
        <v>2091</v>
      </c>
      <c r="B2092">
        <v>930</v>
      </c>
      <c r="C2092">
        <f>1/COUNTIF(pizza_sales[[#All],[order_id]],pizza_sales[[#This Row],[order_id]])</f>
        <v>0.33333333333333331</v>
      </c>
      <c r="D2092" t="s">
        <v>143</v>
      </c>
      <c r="E2092">
        <v>1</v>
      </c>
      <c r="F2092" s="1">
        <v>42020</v>
      </c>
      <c r="G2092" s="1" t="str">
        <f>TEXT(pizza_sales[[#This Row],[order_date]],"dddd")</f>
        <v>Friday</v>
      </c>
      <c r="H2092" s="2">
        <v>36526.625127314815</v>
      </c>
      <c r="I2092">
        <v>11</v>
      </c>
      <c r="J2092">
        <v>11</v>
      </c>
      <c r="K2092" t="s">
        <v>41</v>
      </c>
      <c r="L2092" t="s">
        <v>14</v>
      </c>
      <c r="M2092" t="s">
        <v>130</v>
      </c>
      <c r="N2092" t="s">
        <v>131</v>
      </c>
    </row>
    <row r="2093" spans="1:14" x14ac:dyDescent="0.3">
      <c r="A2093">
        <v>2092</v>
      </c>
      <c r="B2093">
        <v>931</v>
      </c>
      <c r="C2093">
        <f>1/COUNTIF(pizza_sales[[#All],[order_id]],pizza_sales[[#This Row],[order_id]])</f>
        <v>0.33333333333333331</v>
      </c>
      <c r="D2093" t="s">
        <v>72</v>
      </c>
      <c r="E2093">
        <v>1</v>
      </c>
      <c r="F2093" s="1">
        <v>42020</v>
      </c>
      <c r="G2093" s="1" t="str">
        <f>TEXT(pizza_sales[[#This Row],[order_date]],"dddd")</f>
        <v>Friday</v>
      </c>
      <c r="H2093" s="2">
        <v>36526.64402777778</v>
      </c>
      <c r="I2093">
        <v>20.75</v>
      </c>
      <c r="J2093">
        <v>20.75</v>
      </c>
      <c r="K2093" t="s">
        <v>21</v>
      </c>
      <c r="L2093" t="s">
        <v>33</v>
      </c>
      <c r="M2093" t="s">
        <v>42</v>
      </c>
      <c r="N2093" t="s">
        <v>43</v>
      </c>
    </row>
    <row r="2094" spans="1:14" x14ac:dyDescent="0.3">
      <c r="A2094">
        <v>2093</v>
      </c>
      <c r="B2094">
        <v>931</v>
      </c>
      <c r="C2094">
        <f>1/COUNTIF(pizza_sales[[#All],[order_id]],pizza_sales[[#This Row],[order_id]])</f>
        <v>0.33333333333333331</v>
      </c>
      <c r="D2094" t="s">
        <v>20</v>
      </c>
      <c r="E2094">
        <v>1</v>
      </c>
      <c r="F2094" s="1">
        <v>42020</v>
      </c>
      <c r="G2094" s="1" t="str">
        <f>TEXT(pizza_sales[[#This Row],[order_date]],"dddd")</f>
        <v>Friday</v>
      </c>
      <c r="H2094" s="2">
        <v>36526.64402777778</v>
      </c>
      <c r="I2094">
        <v>18.5</v>
      </c>
      <c r="J2094">
        <v>18.5</v>
      </c>
      <c r="K2094" t="s">
        <v>21</v>
      </c>
      <c r="L2094" t="s">
        <v>22</v>
      </c>
      <c r="M2094" t="s">
        <v>23</v>
      </c>
      <c r="N2094" t="s">
        <v>24</v>
      </c>
    </row>
    <row r="2095" spans="1:14" x14ac:dyDescent="0.3">
      <c r="A2095">
        <v>2094</v>
      </c>
      <c r="B2095">
        <v>931</v>
      </c>
      <c r="C2095">
        <f>1/COUNTIF(pizza_sales[[#All],[order_id]],pizza_sales[[#This Row],[order_id]])</f>
        <v>0.33333333333333331</v>
      </c>
      <c r="D2095" t="s">
        <v>106</v>
      </c>
      <c r="E2095">
        <v>1</v>
      </c>
      <c r="F2095" s="1">
        <v>42020</v>
      </c>
      <c r="G2095" s="1" t="str">
        <f>TEXT(pizza_sales[[#This Row],[order_date]],"dddd")</f>
        <v>Friday</v>
      </c>
      <c r="H2095" s="2">
        <v>36526.64402777778</v>
      </c>
      <c r="I2095">
        <v>12.5</v>
      </c>
      <c r="J2095">
        <v>12.5</v>
      </c>
      <c r="K2095" t="s">
        <v>41</v>
      </c>
      <c r="L2095" t="s">
        <v>26</v>
      </c>
      <c r="M2095" t="s">
        <v>107</v>
      </c>
      <c r="N2095" t="s">
        <v>108</v>
      </c>
    </row>
    <row r="2096" spans="1:14" x14ac:dyDescent="0.3">
      <c r="A2096">
        <v>2095</v>
      </c>
      <c r="B2096">
        <v>932</v>
      </c>
      <c r="C2096">
        <f>1/COUNTIF(pizza_sales[[#All],[order_id]],pizza_sales[[#This Row],[order_id]])</f>
        <v>0.5</v>
      </c>
      <c r="D2096" t="s">
        <v>96</v>
      </c>
      <c r="E2096">
        <v>1</v>
      </c>
      <c r="F2096" s="1">
        <v>42020</v>
      </c>
      <c r="G2096" s="1" t="str">
        <f>TEXT(pizza_sales[[#This Row],[order_date]],"dddd")</f>
        <v>Friday</v>
      </c>
      <c r="H2096" s="2">
        <v>36526.648136574076</v>
      </c>
      <c r="I2096">
        <v>16.25</v>
      </c>
      <c r="J2096">
        <v>16.25</v>
      </c>
      <c r="K2096" t="s">
        <v>13</v>
      </c>
      <c r="L2096" t="s">
        <v>26</v>
      </c>
      <c r="M2096" t="s">
        <v>97</v>
      </c>
      <c r="N2096" t="s">
        <v>98</v>
      </c>
    </row>
    <row r="2097" spans="1:14" x14ac:dyDescent="0.3">
      <c r="A2097">
        <v>2096</v>
      </c>
      <c r="B2097">
        <v>932</v>
      </c>
      <c r="C2097">
        <f>1/COUNTIF(pizza_sales[[#All],[order_id]],pizza_sales[[#This Row],[order_id]])</f>
        <v>0.5</v>
      </c>
      <c r="D2097" t="s">
        <v>151</v>
      </c>
      <c r="E2097">
        <v>1</v>
      </c>
      <c r="F2097" s="1">
        <v>42020</v>
      </c>
      <c r="G2097" s="1" t="str">
        <f>TEXT(pizza_sales[[#This Row],[order_date]],"dddd")</f>
        <v>Friday</v>
      </c>
      <c r="H2097" s="2">
        <v>36526.648136574076</v>
      </c>
      <c r="I2097">
        <v>12.75</v>
      </c>
      <c r="J2097">
        <v>12.75</v>
      </c>
      <c r="K2097" t="s">
        <v>41</v>
      </c>
      <c r="L2097" t="s">
        <v>33</v>
      </c>
      <c r="M2097" t="s">
        <v>34</v>
      </c>
      <c r="N2097" t="s">
        <v>35</v>
      </c>
    </row>
    <row r="2098" spans="1:14" x14ac:dyDescent="0.3">
      <c r="A2098">
        <v>2097</v>
      </c>
      <c r="B2098">
        <v>933</v>
      </c>
      <c r="C2098">
        <f>1/COUNTIF(pizza_sales[[#All],[order_id]],pizza_sales[[#This Row],[order_id]])</f>
        <v>1</v>
      </c>
      <c r="D2098" t="s">
        <v>20</v>
      </c>
      <c r="E2098">
        <v>1</v>
      </c>
      <c r="F2098" s="1">
        <v>42020</v>
      </c>
      <c r="G2098" s="1" t="str">
        <f>TEXT(pizza_sales[[#This Row],[order_date]],"dddd")</f>
        <v>Friday</v>
      </c>
      <c r="H2098" s="2">
        <v>36526.659085648149</v>
      </c>
      <c r="I2098">
        <v>18.5</v>
      </c>
      <c r="J2098">
        <v>18.5</v>
      </c>
      <c r="K2098" t="s">
        <v>21</v>
      </c>
      <c r="L2098" t="s">
        <v>22</v>
      </c>
      <c r="M2098" t="s">
        <v>23</v>
      </c>
      <c r="N2098" t="s">
        <v>24</v>
      </c>
    </row>
    <row r="2099" spans="1:14" x14ac:dyDescent="0.3">
      <c r="A2099">
        <v>2098</v>
      </c>
      <c r="B2099">
        <v>934</v>
      </c>
      <c r="C2099">
        <f>1/COUNTIF(pizza_sales[[#All],[order_id]],pizza_sales[[#This Row],[order_id]])</f>
        <v>1</v>
      </c>
      <c r="D2099" t="s">
        <v>32</v>
      </c>
      <c r="E2099">
        <v>1</v>
      </c>
      <c r="F2099" s="1">
        <v>42020</v>
      </c>
      <c r="G2099" s="1" t="str">
        <f>TEXT(pizza_sales[[#This Row],[order_date]],"dddd")</f>
        <v>Friday</v>
      </c>
      <c r="H2099" s="2">
        <v>36526.663472222222</v>
      </c>
      <c r="I2099">
        <v>20.75</v>
      </c>
      <c r="J2099">
        <v>20.75</v>
      </c>
      <c r="K2099" t="s">
        <v>21</v>
      </c>
      <c r="L2099" t="s">
        <v>33</v>
      </c>
      <c r="M2099" t="s">
        <v>34</v>
      </c>
      <c r="N2099" t="s">
        <v>35</v>
      </c>
    </row>
    <row r="2100" spans="1:14" x14ac:dyDescent="0.3">
      <c r="A2100">
        <v>2099</v>
      </c>
      <c r="B2100">
        <v>935</v>
      </c>
      <c r="C2100">
        <f>1/COUNTIF(pizza_sales[[#All],[order_id]],pizza_sales[[#This Row],[order_id]])</f>
        <v>0.25</v>
      </c>
      <c r="D2100" t="s">
        <v>84</v>
      </c>
      <c r="E2100">
        <v>1</v>
      </c>
      <c r="F2100" s="1">
        <v>42020</v>
      </c>
      <c r="G2100" s="1" t="str">
        <f>TEXT(pizza_sales[[#This Row],[order_date]],"dddd")</f>
        <v>Friday</v>
      </c>
      <c r="H2100" s="2">
        <v>36526.677071759259</v>
      </c>
      <c r="I2100">
        <v>12</v>
      </c>
      <c r="J2100">
        <v>12</v>
      </c>
      <c r="K2100" t="s">
        <v>41</v>
      </c>
      <c r="L2100" t="s">
        <v>14</v>
      </c>
      <c r="M2100" t="s">
        <v>85</v>
      </c>
      <c r="N2100" t="s">
        <v>86</v>
      </c>
    </row>
    <row r="2101" spans="1:14" x14ac:dyDescent="0.3">
      <c r="A2101">
        <v>2100</v>
      </c>
      <c r="B2101">
        <v>935</v>
      </c>
      <c r="C2101">
        <f>1/COUNTIF(pizza_sales[[#All],[order_id]],pizza_sales[[#This Row],[order_id]])</f>
        <v>0.25</v>
      </c>
      <c r="D2101" t="s">
        <v>59</v>
      </c>
      <c r="E2101">
        <v>1</v>
      </c>
      <c r="F2101" s="1">
        <v>42020</v>
      </c>
      <c r="G2101" s="1" t="str">
        <f>TEXT(pizza_sales[[#This Row],[order_date]],"dddd")</f>
        <v>Friday</v>
      </c>
      <c r="H2101" s="2">
        <v>36526.677071759259</v>
      </c>
      <c r="I2101">
        <v>20.75</v>
      </c>
      <c r="J2101">
        <v>20.75</v>
      </c>
      <c r="K2101" t="s">
        <v>21</v>
      </c>
      <c r="L2101" t="s">
        <v>26</v>
      </c>
      <c r="M2101" t="s">
        <v>60</v>
      </c>
      <c r="N2101" t="s">
        <v>61</v>
      </c>
    </row>
    <row r="2102" spans="1:14" x14ac:dyDescent="0.3">
      <c r="A2102">
        <v>2101</v>
      </c>
      <c r="B2102">
        <v>935</v>
      </c>
      <c r="C2102">
        <f>1/COUNTIF(pizza_sales[[#All],[order_id]],pizza_sales[[#This Row],[order_id]])</f>
        <v>0.25</v>
      </c>
      <c r="D2102" t="s">
        <v>162</v>
      </c>
      <c r="E2102">
        <v>1</v>
      </c>
      <c r="F2102" s="1">
        <v>42020</v>
      </c>
      <c r="G2102" s="1" t="str">
        <f>TEXT(pizza_sales[[#This Row],[order_date]],"dddd")</f>
        <v>Friday</v>
      </c>
      <c r="H2102" s="2">
        <v>36526.677071759259</v>
      </c>
      <c r="I2102">
        <v>16</v>
      </c>
      <c r="J2102">
        <v>16</v>
      </c>
      <c r="K2102" t="s">
        <v>13</v>
      </c>
      <c r="L2102" t="s">
        <v>22</v>
      </c>
      <c r="M2102" t="s">
        <v>110</v>
      </c>
      <c r="N2102" t="s">
        <v>111</v>
      </c>
    </row>
    <row r="2103" spans="1:14" x14ac:dyDescent="0.3">
      <c r="A2103">
        <v>2102</v>
      </c>
      <c r="B2103">
        <v>935</v>
      </c>
      <c r="C2103">
        <f>1/COUNTIF(pizza_sales[[#All],[order_id]],pizza_sales[[#This Row],[order_id]])</f>
        <v>0.25</v>
      </c>
      <c r="D2103" t="s">
        <v>155</v>
      </c>
      <c r="E2103">
        <v>1</v>
      </c>
      <c r="F2103" s="1">
        <v>42020</v>
      </c>
      <c r="G2103" s="1" t="str">
        <f>TEXT(pizza_sales[[#This Row],[order_date]],"dddd")</f>
        <v>Friday</v>
      </c>
      <c r="H2103" s="2">
        <v>36526.677071759259</v>
      </c>
      <c r="I2103">
        <v>16</v>
      </c>
      <c r="J2103">
        <v>16</v>
      </c>
      <c r="K2103" t="s">
        <v>13</v>
      </c>
      <c r="L2103" t="s">
        <v>14</v>
      </c>
      <c r="M2103" t="s">
        <v>45</v>
      </c>
      <c r="N2103" t="s">
        <v>46</v>
      </c>
    </row>
    <row r="2104" spans="1:14" x14ac:dyDescent="0.3">
      <c r="A2104">
        <v>2103</v>
      </c>
      <c r="B2104">
        <v>936</v>
      </c>
      <c r="C2104">
        <f>1/COUNTIF(pizza_sales[[#All],[order_id]],pizza_sales[[#This Row],[order_id]])</f>
        <v>1</v>
      </c>
      <c r="D2104" t="s">
        <v>149</v>
      </c>
      <c r="E2104">
        <v>1</v>
      </c>
      <c r="F2104" s="1">
        <v>42020</v>
      </c>
      <c r="G2104" s="1" t="str">
        <f>TEXT(pizza_sales[[#This Row],[order_date]],"dddd")</f>
        <v>Friday</v>
      </c>
      <c r="H2104" s="2">
        <v>36526.680081018516</v>
      </c>
      <c r="I2104">
        <v>12.25</v>
      </c>
      <c r="J2104">
        <v>12.25</v>
      </c>
      <c r="K2104" t="s">
        <v>41</v>
      </c>
      <c r="L2104" t="s">
        <v>26</v>
      </c>
      <c r="M2104" t="s">
        <v>114</v>
      </c>
      <c r="N2104" t="s">
        <v>115</v>
      </c>
    </row>
    <row r="2105" spans="1:14" x14ac:dyDescent="0.3">
      <c r="A2105">
        <v>2104</v>
      </c>
      <c r="B2105">
        <v>937</v>
      </c>
      <c r="C2105">
        <f>1/COUNTIF(pizza_sales[[#All],[order_id]],pizza_sales[[#This Row],[order_id]])</f>
        <v>1</v>
      </c>
      <c r="D2105" t="s">
        <v>150</v>
      </c>
      <c r="E2105">
        <v>1</v>
      </c>
      <c r="F2105" s="1">
        <v>42020</v>
      </c>
      <c r="G2105" s="1" t="str">
        <f>TEXT(pizza_sales[[#This Row],[order_date]],"dddd")</f>
        <v>Friday</v>
      </c>
      <c r="H2105" s="2">
        <v>36526.680925925924</v>
      </c>
      <c r="I2105">
        <v>12.5</v>
      </c>
      <c r="J2105">
        <v>12.5</v>
      </c>
      <c r="K2105" t="s">
        <v>41</v>
      </c>
      <c r="L2105" t="s">
        <v>26</v>
      </c>
      <c r="M2105" t="s">
        <v>60</v>
      </c>
      <c r="N2105" t="s">
        <v>61</v>
      </c>
    </row>
    <row r="2106" spans="1:14" x14ac:dyDescent="0.3">
      <c r="A2106">
        <v>2105</v>
      </c>
      <c r="B2106">
        <v>938</v>
      </c>
      <c r="C2106">
        <f>1/COUNTIF(pizza_sales[[#All],[order_id]],pizza_sales[[#This Row],[order_id]])</f>
        <v>0.33333333333333331</v>
      </c>
      <c r="D2106" t="s">
        <v>36</v>
      </c>
      <c r="E2106">
        <v>1</v>
      </c>
      <c r="F2106" s="1">
        <v>42020</v>
      </c>
      <c r="G2106" s="1" t="str">
        <f>TEXT(pizza_sales[[#This Row],[order_date]],"dddd")</f>
        <v>Friday</v>
      </c>
      <c r="H2106" s="2">
        <v>36526.696631944447</v>
      </c>
      <c r="I2106">
        <v>16.5</v>
      </c>
      <c r="J2106">
        <v>16.5</v>
      </c>
      <c r="K2106" t="s">
        <v>13</v>
      </c>
      <c r="L2106" t="s">
        <v>26</v>
      </c>
      <c r="M2106" t="s">
        <v>27</v>
      </c>
      <c r="N2106" t="s">
        <v>28</v>
      </c>
    </row>
    <row r="2107" spans="1:14" x14ac:dyDescent="0.3">
      <c r="A2107">
        <v>2106</v>
      </c>
      <c r="B2107">
        <v>938</v>
      </c>
      <c r="C2107">
        <f>1/COUNTIF(pizza_sales[[#All],[order_id]],pizza_sales[[#This Row],[order_id]])</f>
        <v>0.33333333333333331</v>
      </c>
      <c r="D2107" t="s">
        <v>135</v>
      </c>
      <c r="E2107">
        <v>1</v>
      </c>
      <c r="F2107" s="1">
        <v>42020</v>
      </c>
      <c r="G2107" s="1" t="str">
        <f>TEXT(pizza_sales[[#This Row],[order_date]],"dddd")</f>
        <v>Friday</v>
      </c>
      <c r="H2107" s="2">
        <v>36526.696631944447</v>
      </c>
      <c r="I2107">
        <v>20.75</v>
      </c>
      <c r="J2107">
        <v>20.75</v>
      </c>
      <c r="K2107" t="s">
        <v>21</v>
      </c>
      <c r="L2107" t="s">
        <v>26</v>
      </c>
      <c r="M2107" t="s">
        <v>107</v>
      </c>
      <c r="N2107" t="s">
        <v>108</v>
      </c>
    </row>
    <row r="2108" spans="1:14" x14ac:dyDescent="0.3">
      <c r="A2108">
        <v>2107</v>
      </c>
      <c r="B2108">
        <v>938</v>
      </c>
      <c r="C2108">
        <f>1/COUNTIF(pizza_sales[[#All],[order_id]],pizza_sales[[#This Row],[order_id]])</f>
        <v>0.33333333333333331</v>
      </c>
      <c r="D2108" t="s">
        <v>109</v>
      </c>
      <c r="E2108">
        <v>1</v>
      </c>
      <c r="F2108" s="1">
        <v>42020</v>
      </c>
      <c r="G2108" s="1" t="str">
        <f>TEXT(pizza_sales[[#This Row],[order_date]],"dddd")</f>
        <v>Friday</v>
      </c>
      <c r="H2108" s="2">
        <v>36526.696631944447</v>
      </c>
      <c r="I2108">
        <v>20.25</v>
      </c>
      <c r="J2108">
        <v>20.25</v>
      </c>
      <c r="K2108" t="s">
        <v>21</v>
      </c>
      <c r="L2108" t="s">
        <v>22</v>
      </c>
      <c r="M2108" t="s">
        <v>110</v>
      </c>
      <c r="N2108" t="s">
        <v>111</v>
      </c>
    </row>
    <row r="2109" spans="1:14" x14ac:dyDescent="0.3">
      <c r="A2109">
        <v>2108</v>
      </c>
      <c r="B2109">
        <v>939</v>
      </c>
      <c r="C2109">
        <f>1/COUNTIF(pizza_sales[[#All],[order_id]],pizza_sales[[#This Row],[order_id]])</f>
        <v>0.5</v>
      </c>
      <c r="D2109" t="s">
        <v>135</v>
      </c>
      <c r="E2109">
        <v>1</v>
      </c>
      <c r="F2109" s="1">
        <v>42020</v>
      </c>
      <c r="G2109" s="1" t="str">
        <f>TEXT(pizza_sales[[#This Row],[order_date]],"dddd")</f>
        <v>Friday</v>
      </c>
      <c r="H2109" s="2">
        <v>36526.707905092589</v>
      </c>
      <c r="I2109">
        <v>20.75</v>
      </c>
      <c r="J2109">
        <v>20.75</v>
      </c>
      <c r="K2109" t="s">
        <v>21</v>
      </c>
      <c r="L2109" t="s">
        <v>26</v>
      </c>
      <c r="M2109" t="s">
        <v>107</v>
      </c>
      <c r="N2109" t="s">
        <v>108</v>
      </c>
    </row>
    <row r="2110" spans="1:14" x14ac:dyDescent="0.3">
      <c r="A2110">
        <v>2109</v>
      </c>
      <c r="B2110">
        <v>939</v>
      </c>
      <c r="C2110">
        <f>1/COUNTIF(pizza_sales[[#All],[order_id]],pizza_sales[[#This Row],[order_id]])</f>
        <v>0.5</v>
      </c>
      <c r="D2110" t="s">
        <v>136</v>
      </c>
      <c r="E2110">
        <v>1</v>
      </c>
      <c r="F2110" s="1">
        <v>42020</v>
      </c>
      <c r="G2110" s="1" t="str">
        <f>TEXT(pizza_sales[[#This Row],[order_date]],"dddd")</f>
        <v>Friday</v>
      </c>
      <c r="H2110" s="2">
        <v>36526.707905092589</v>
      </c>
      <c r="I2110">
        <v>12.5</v>
      </c>
      <c r="J2110">
        <v>12.5</v>
      </c>
      <c r="K2110" t="s">
        <v>41</v>
      </c>
      <c r="L2110" t="s">
        <v>22</v>
      </c>
      <c r="M2110" t="s">
        <v>63</v>
      </c>
      <c r="N2110" t="s">
        <v>64</v>
      </c>
    </row>
    <row r="2111" spans="1:14" x14ac:dyDescent="0.3">
      <c r="A2111">
        <v>2110</v>
      </c>
      <c r="B2111">
        <v>940</v>
      </c>
      <c r="C2111">
        <f>1/COUNTIF(pizza_sales[[#All],[order_id]],pizza_sales[[#This Row],[order_id]])</f>
        <v>0.33333333333333331</v>
      </c>
      <c r="D2111" t="s">
        <v>112</v>
      </c>
      <c r="E2111">
        <v>1</v>
      </c>
      <c r="F2111" s="1">
        <v>42020</v>
      </c>
      <c r="G2111" s="1" t="str">
        <f>TEXT(pizza_sales[[#This Row],[order_date]],"dddd")</f>
        <v>Friday</v>
      </c>
      <c r="H2111" s="2">
        <v>36526.711898148147</v>
      </c>
      <c r="I2111">
        <v>20.5</v>
      </c>
      <c r="J2111">
        <v>20.5</v>
      </c>
      <c r="K2111" t="s">
        <v>21</v>
      </c>
      <c r="L2111" t="s">
        <v>14</v>
      </c>
      <c r="M2111" t="s">
        <v>94</v>
      </c>
      <c r="N2111" t="s">
        <v>95</v>
      </c>
    </row>
    <row r="2112" spans="1:14" x14ac:dyDescent="0.3">
      <c r="A2112">
        <v>2111</v>
      </c>
      <c r="B2112">
        <v>940</v>
      </c>
      <c r="C2112">
        <f>1/COUNTIF(pizza_sales[[#All],[order_id]],pizza_sales[[#This Row],[order_id]])</f>
        <v>0.33333333333333331</v>
      </c>
      <c r="D2112" t="s">
        <v>148</v>
      </c>
      <c r="E2112">
        <v>1</v>
      </c>
      <c r="F2112" s="1">
        <v>42020</v>
      </c>
      <c r="G2112" s="1" t="str">
        <f>TEXT(pizza_sales[[#This Row],[order_date]],"dddd")</f>
        <v>Friday</v>
      </c>
      <c r="H2112" s="2">
        <v>36526.711898148147</v>
      </c>
      <c r="I2112">
        <v>14.5</v>
      </c>
      <c r="J2112">
        <v>14.5</v>
      </c>
      <c r="K2112" t="s">
        <v>13</v>
      </c>
      <c r="L2112" t="s">
        <v>14</v>
      </c>
      <c r="M2112" t="s">
        <v>130</v>
      </c>
      <c r="N2112" t="s">
        <v>131</v>
      </c>
    </row>
    <row r="2113" spans="1:14" x14ac:dyDescent="0.3">
      <c r="A2113">
        <v>2112</v>
      </c>
      <c r="B2113">
        <v>940</v>
      </c>
      <c r="C2113">
        <f>1/COUNTIF(pizza_sales[[#All],[order_id]],pizza_sales[[#This Row],[order_id]])</f>
        <v>0.33333333333333331</v>
      </c>
      <c r="D2113" t="s">
        <v>133</v>
      </c>
      <c r="E2113">
        <v>1</v>
      </c>
      <c r="F2113" s="1">
        <v>42020</v>
      </c>
      <c r="G2113" s="1" t="str">
        <f>TEXT(pizza_sales[[#This Row],[order_date]],"dddd")</f>
        <v>Friday</v>
      </c>
      <c r="H2113" s="2">
        <v>36526.711898148147</v>
      </c>
      <c r="I2113">
        <v>16.5</v>
      </c>
      <c r="J2113">
        <v>16.5</v>
      </c>
      <c r="K2113" t="s">
        <v>13</v>
      </c>
      <c r="L2113" t="s">
        <v>26</v>
      </c>
      <c r="M2113" t="s">
        <v>107</v>
      </c>
      <c r="N2113" t="s">
        <v>108</v>
      </c>
    </row>
    <row r="2114" spans="1:14" x14ac:dyDescent="0.3">
      <c r="A2114">
        <v>2113</v>
      </c>
      <c r="B2114">
        <v>941</v>
      </c>
      <c r="C2114">
        <f>1/COUNTIF(pizza_sales[[#All],[order_id]],pizza_sales[[#This Row],[order_id]])</f>
        <v>0.5</v>
      </c>
      <c r="D2114" t="s">
        <v>128</v>
      </c>
      <c r="E2114">
        <v>1</v>
      </c>
      <c r="F2114" s="1">
        <v>42020</v>
      </c>
      <c r="G2114" s="1" t="str">
        <f>TEXT(pizza_sales[[#This Row],[order_date]],"dddd")</f>
        <v>Friday</v>
      </c>
      <c r="H2114" s="2">
        <v>36526.714675925927</v>
      </c>
      <c r="I2114">
        <v>16</v>
      </c>
      <c r="J2114">
        <v>16</v>
      </c>
      <c r="K2114" t="s">
        <v>13</v>
      </c>
      <c r="L2114" t="s">
        <v>22</v>
      </c>
      <c r="M2114" t="s">
        <v>52</v>
      </c>
      <c r="N2114" t="s">
        <v>53</v>
      </c>
    </row>
    <row r="2115" spans="1:14" x14ac:dyDescent="0.3">
      <c r="A2115">
        <v>2114</v>
      </c>
      <c r="B2115">
        <v>941</v>
      </c>
      <c r="C2115">
        <f>1/COUNTIF(pizza_sales[[#All],[order_id]],pizza_sales[[#This Row],[order_id]])</f>
        <v>0.5</v>
      </c>
      <c r="D2115" t="s">
        <v>54</v>
      </c>
      <c r="E2115">
        <v>1</v>
      </c>
      <c r="F2115" s="1">
        <v>42020</v>
      </c>
      <c r="G2115" s="1" t="str">
        <f>TEXT(pizza_sales[[#This Row],[order_date]],"dddd")</f>
        <v>Friday</v>
      </c>
      <c r="H2115" s="2">
        <v>36526.714675925927</v>
      </c>
      <c r="I2115">
        <v>20.5</v>
      </c>
      <c r="J2115">
        <v>20.5</v>
      </c>
      <c r="K2115" t="s">
        <v>21</v>
      </c>
      <c r="L2115" t="s">
        <v>14</v>
      </c>
      <c r="M2115" t="s">
        <v>55</v>
      </c>
      <c r="N2115" t="s">
        <v>56</v>
      </c>
    </row>
    <row r="2116" spans="1:14" x14ac:dyDescent="0.3">
      <c r="A2116">
        <v>2115</v>
      </c>
      <c r="B2116">
        <v>942</v>
      </c>
      <c r="C2116">
        <f>1/COUNTIF(pizza_sales[[#All],[order_id]],pizza_sales[[#This Row],[order_id]])</f>
        <v>0.5</v>
      </c>
      <c r="D2116" t="s">
        <v>118</v>
      </c>
      <c r="E2116">
        <v>1</v>
      </c>
      <c r="F2116" s="1">
        <v>42020</v>
      </c>
      <c r="G2116" s="1" t="str">
        <f>TEXT(pizza_sales[[#This Row],[order_date]],"dddd")</f>
        <v>Friday</v>
      </c>
      <c r="H2116" s="2">
        <v>36526.721261574072</v>
      </c>
      <c r="I2116">
        <v>16.75</v>
      </c>
      <c r="J2116">
        <v>16.75</v>
      </c>
      <c r="K2116" t="s">
        <v>13</v>
      </c>
      <c r="L2116" t="s">
        <v>33</v>
      </c>
      <c r="M2116" t="s">
        <v>42</v>
      </c>
      <c r="N2116" t="s">
        <v>43</v>
      </c>
    </row>
    <row r="2117" spans="1:14" x14ac:dyDescent="0.3">
      <c r="A2117">
        <v>2116</v>
      </c>
      <c r="B2117">
        <v>942</v>
      </c>
      <c r="C2117">
        <f>1/COUNTIF(pizza_sales[[#All],[order_id]],pizza_sales[[#This Row],[order_id]])</f>
        <v>0.5</v>
      </c>
      <c r="D2117" t="s">
        <v>69</v>
      </c>
      <c r="E2117">
        <v>1</v>
      </c>
      <c r="F2117" s="1">
        <v>42020</v>
      </c>
      <c r="G2117" s="1" t="str">
        <f>TEXT(pizza_sales[[#This Row],[order_date]],"dddd")</f>
        <v>Friday</v>
      </c>
      <c r="H2117" s="2">
        <v>36526.721261574072</v>
      </c>
      <c r="I2117">
        <v>20.75</v>
      </c>
      <c r="J2117">
        <v>20.75</v>
      </c>
      <c r="K2117" t="s">
        <v>21</v>
      </c>
      <c r="L2117" t="s">
        <v>33</v>
      </c>
      <c r="M2117" t="s">
        <v>70</v>
      </c>
      <c r="N2117" t="s">
        <v>71</v>
      </c>
    </row>
    <row r="2118" spans="1:14" x14ac:dyDescent="0.3">
      <c r="A2118">
        <v>2117</v>
      </c>
      <c r="B2118">
        <v>943</v>
      </c>
      <c r="C2118">
        <f>1/COUNTIF(pizza_sales[[#All],[order_id]],pizza_sales[[#This Row],[order_id]])</f>
        <v>1</v>
      </c>
      <c r="D2118" t="s">
        <v>149</v>
      </c>
      <c r="E2118">
        <v>1</v>
      </c>
      <c r="F2118" s="1">
        <v>42020</v>
      </c>
      <c r="G2118" s="1" t="str">
        <f>TEXT(pizza_sales[[#This Row],[order_date]],"dddd")</f>
        <v>Friday</v>
      </c>
      <c r="H2118" s="2">
        <v>36526.723611111112</v>
      </c>
      <c r="I2118">
        <v>12.25</v>
      </c>
      <c r="J2118">
        <v>12.25</v>
      </c>
      <c r="K2118" t="s">
        <v>41</v>
      </c>
      <c r="L2118" t="s">
        <v>26</v>
      </c>
      <c r="M2118" t="s">
        <v>114</v>
      </c>
      <c r="N2118" t="s">
        <v>115</v>
      </c>
    </row>
    <row r="2119" spans="1:14" x14ac:dyDescent="0.3">
      <c r="A2119">
        <v>2118</v>
      </c>
      <c r="B2119">
        <v>944</v>
      </c>
      <c r="C2119">
        <f>1/COUNTIF(pizza_sales[[#All],[order_id]],pizza_sales[[#This Row],[order_id]])</f>
        <v>1</v>
      </c>
      <c r="D2119" t="s">
        <v>17</v>
      </c>
      <c r="E2119">
        <v>1</v>
      </c>
      <c r="F2119" s="1">
        <v>42020</v>
      </c>
      <c r="G2119" s="1" t="str">
        <f>TEXT(pizza_sales[[#This Row],[order_date]],"dddd")</f>
        <v>Friday</v>
      </c>
      <c r="H2119" s="2">
        <v>36526.746215277781</v>
      </c>
      <c r="I2119">
        <v>16</v>
      </c>
      <c r="J2119">
        <v>16</v>
      </c>
      <c r="K2119" t="s">
        <v>13</v>
      </c>
      <c r="L2119" t="s">
        <v>14</v>
      </c>
      <c r="M2119" t="s">
        <v>18</v>
      </c>
      <c r="N2119" t="s">
        <v>19</v>
      </c>
    </row>
    <row r="2120" spans="1:14" x14ac:dyDescent="0.3">
      <c r="A2120">
        <v>2119</v>
      </c>
      <c r="B2120">
        <v>945</v>
      </c>
      <c r="C2120">
        <f>1/COUNTIF(pizza_sales[[#All],[order_id]],pizza_sales[[#This Row],[order_id]])</f>
        <v>0.25</v>
      </c>
      <c r="D2120" t="s">
        <v>72</v>
      </c>
      <c r="E2120">
        <v>1</v>
      </c>
      <c r="F2120" s="1">
        <v>42020</v>
      </c>
      <c r="G2120" s="1" t="str">
        <f>TEXT(pizza_sales[[#This Row],[order_date]],"dddd")</f>
        <v>Friday</v>
      </c>
      <c r="H2120" s="2">
        <v>36526.749050925922</v>
      </c>
      <c r="I2120">
        <v>20.75</v>
      </c>
      <c r="J2120">
        <v>20.75</v>
      </c>
      <c r="K2120" t="s">
        <v>21</v>
      </c>
      <c r="L2120" t="s">
        <v>33</v>
      </c>
      <c r="M2120" t="s">
        <v>42</v>
      </c>
      <c r="N2120" t="s">
        <v>43</v>
      </c>
    </row>
    <row r="2121" spans="1:14" x14ac:dyDescent="0.3">
      <c r="A2121">
        <v>2120</v>
      </c>
      <c r="B2121">
        <v>945</v>
      </c>
      <c r="C2121">
        <f>1/COUNTIF(pizza_sales[[#All],[order_id]],pizza_sales[[#This Row],[order_id]])</f>
        <v>0.25</v>
      </c>
      <c r="D2121" t="s">
        <v>20</v>
      </c>
      <c r="E2121">
        <v>1</v>
      </c>
      <c r="F2121" s="1">
        <v>42020</v>
      </c>
      <c r="G2121" s="1" t="str">
        <f>TEXT(pizza_sales[[#This Row],[order_date]],"dddd")</f>
        <v>Friday</v>
      </c>
      <c r="H2121" s="2">
        <v>36526.749050925922</v>
      </c>
      <c r="I2121">
        <v>18.5</v>
      </c>
      <c r="J2121">
        <v>18.5</v>
      </c>
      <c r="K2121" t="s">
        <v>21</v>
      </c>
      <c r="L2121" t="s">
        <v>22</v>
      </c>
      <c r="M2121" t="s">
        <v>23</v>
      </c>
      <c r="N2121" t="s">
        <v>24</v>
      </c>
    </row>
    <row r="2122" spans="1:14" x14ac:dyDescent="0.3">
      <c r="A2122">
        <v>2121</v>
      </c>
      <c r="B2122">
        <v>945</v>
      </c>
      <c r="C2122">
        <f>1/COUNTIF(pizza_sales[[#All],[order_id]],pizza_sales[[#This Row],[order_id]])</f>
        <v>0.25</v>
      </c>
      <c r="D2122" t="s">
        <v>90</v>
      </c>
      <c r="E2122">
        <v>1</v>
      </c>
      <c r="F2122" s="1">
        <v>42020</v>
      </c>
      <c r="G2122" s="1" t="str">
        <f>TEXT(pizza_sales[[#This Row],[order_date]],"dddd")</f>
        <v>Friday</v>
      </c>
      <c r="H2122" s="2">
        <v>36526.749050925922</v>
      </c>
      <c r="I2122">
        <v>17.95</v>
      </c>
      <c r="J2122">
        <v>17.95</v>
      </c>
      <c r="K2122" t="s">
        <v>21</v>
      </c>
      <c r="L2122" t="s">
        <v>22</v>
      </c>
      <c r="M2122" t="s">
        <v>91</v>
      </c>
      <c r="N2122" t="s">
        <v>92</v>
      </c>
    </row>
    <row r="2123" spans="1:14" x14ac:dyDescent="0.3">
      <c r="A2123">
        <v>2122</v>
      </c>
      <c r="B2123">
        <v>945</v>
      </c>
      <c r="C2123">
        <f>1/COUNTIF(pizza_sales[[#All],[order_id]],pizza_sales[[#This Row],[order_id]])</f>
        <v>0.25</v>
      </c>
      <c r="D2123" t="s">
        <v>132</v>
      </c>
      <c r="E2123">
        <v>1</v>
      </c>
      <c r="F2123" s="1">
        <v>42020</v>
      </c>
      <c r="G2123" s="1" t="str">
        <f>TEXT(pizza_sales[[#This Row],[order_date]],"dddd")</f>
        <v>Friday</v>
      </c>
      <c r="H2123" s="2">
        <v>36526.749050925922</v>
      </c>
      <c r="I2123">
        <v>10.5</v>
      </c>
      <c r="J2123">
        <v>10.5</v>
      </c>
      <c r="K2123" t="s">
        <v>41</v>
      </c>
      <c r="L2123" t="s">
        <v>14</v>
      </c>
      <c r="M2123" t="s">
        <v>15</v>
      </c>
      <c r="N2123" t="s">
        <v>16</v>
      </c>
    </row>
    <row r="2124" spans="1:14" x14ac:dyDescent="0.3">
      <c r="A2124">
        <v>2123</v>
      </c>
      <c r="B2124">
        <v>946</v>
      </c>
      <c r="C2124">
        <f>1/COUNTIF(pizza_sales[[#All],[order_id]],pizza_sales[[#This Row],[order_id]])</f>
        <v>0.25</v>
      </c>
      <c r="D2124" t="s">
        <v>80</v>
      </c>
      <c r="E2124">
        <v>1</v>
      </c>
      <c r="F2124" s="1">
        <v>42020</v>
      </c>
      <c r="G2124" s="1" t="str">
        <f>TEXT(pizza_sales[[#This Row],[order_date]],"dddd")</f>
        <v>Friday</v>
      </c>
      <c r="H2124" s="2">
        <v>36526.750555555554</v>
      </c>
      <c r="I2124">
        <v>12.75</v>
      </c>
      <c r="J2124">
        <v>12.75</v>
      </c>
      <c r="K2124" t="s">
        <v>41</v>
      </c>
      <c r="L2124" t="s">
        <v>33</v>
      </c>
      <c r="M2124" t="s">
        <v>74</v>
      </c>
      <c r="N2124" t="s">
        <v>75</v>
      </c>
    </row>
    <row r="2125" spans="1:14" x14ac:dyDescent="0.3">
      <c r="A2125">
        <v>2124</v>
      </c>
      <c r="B2125">
        <v>946</v>
      </c>
      <c r="C2125">
        <f>1/COUNTIF(pizza_sales[[#All],[order_id]],pizza_sales[[#This Row],[order_id]])</f>
        <v>0.25</v>
      </c>
      <c r="D2125" t="s">
        <v>126</v>
      </c>
      <c r="E2125">
        <v>1</v>
      </c>
      <c r="F2125" s="1">
        <v>42020</v>
      </c>
      <c r="G2125" s="1" t="str">
        <f>TEXT(pizza_sales[[#This Row],[order_date]],"dddd")</f>
        <v>Friday</v>
      </c>
      <c r="H2125" s="2">
        <v>36526.750555555554</v>
      </c>
      <c r="I2125">
        <v>9.75</v>
      </c>
      <c r="J2125">
        <v>9.75</v>
      </c>
      <c r="K2125" t="s">
        <v>41</v>
      </c>
      <c r="L2125" t="s">
        <v>14</v>
      </c>
      <c r="M2125" t="s">
        <v>78</v>
      </c>
      <c r="N2125" t="s">
        <v>79</v>
      </c>
    </row>
    <row r="2126" spans="1:14" x14ac:dyDescent="0.3">
      <c r="A2126">
        <v>2125</v>
      </c>
      <c r="B2126">
        <v>946</v>
      </c>
      <c r="C2126">
        <f>1/COUNTIF(pizza_sales[[#All],[order_id]],pizza_sales[[#This Row],[order_id]])</f>
        <v>0.25</v>
      </c>
      <c r="D2126" t="s">
        <v>62</v>
      </c>
      <c r="E2126">
        <v>1</v>
      </c>
      <c r="F2126" s="1">
        <v>42020</v>
      </c>
      <c r="G2126" s="1" t="str">
        <f>TEXT(pizza_sales[[#This Row],[order_date]],"dddd")</f>
        <v>Friday</v>
      </c>
      <c r="H2126" s="2">
        <v>36526.750555555554</v>
      </c>
      <c r="I2126">
        <v>20.75</v>
      </c>
      <c r="J2126">
        <v>20.75</v>
      </c>
      <c r="K2126" t="s">
        <v>21</v>
      </c>
      <c r="L2126" t="s">
        <v>22</v>
      </c>
      <c r="M2126" t="s">
        <v>63</v>
      </c>
      <c r="N2126" t="s">
        <v>64</v>
      </c>
    </row>
    <row r="2127" spans="1:14" x14ac:dyDescent="0.3">
      <c r="A2127">
        <v>2126</v>
      </c>
      <c r="B2127">
        <v>946</v>
      </c>
      <c r="C2127">
        <f>1/COUNTIF(pizza_sales[[#All],[order_id]],pizza_sales[[#This Row],[order_id]])</f>
        <v>0.25</v>
      </c>
      <c r="D2127" t="s">
        <v>47</v>
      </c>
      <c r="E2127">
        <v>1</v>
      </c>
      <c r="F2127" s="1">
        <v>42020</v>
      </c>
      <c r="G2127" s="1" t="str">
        <f>TEXT(pizza_sales[[#This Row],[order_date]],"dddd")</f>
        <v>Friday</v>
      </c>
      <c r="H2127" s="2">
        <v>36526.750555555554</v>
      </c>
      <c r="I2127">
        <v>12.5</v>
      </c>
      <c r="J2127">
        <v>12.5</v>
      </c>
      <c r="K2127" t="s">
        <v>41</v>
      </c>
      <c r="L2127" t="s">
        <v>26</v>
      </c>
      <c r="M2127" t="s">
        <v>48</v>
      </c>
      <c r="N2127" t="s">
        <v>49</v>
      </c>
    </row>
    <row r="2128" spans="1:14" x14ac:dyDescent="0.3">
      <c r="A2128">
        <v>2127</v>
      </c>
      <c r="B2128">
        <v>947</v>
      </c>
      <c r="C2128">
        <f>1/COUNTIF(pizza_sales[[#All],[order_id]],pizza_sales[[#This Row],[order_id]])</f>
        <v>0.33333333333333331</v>
      </c>
      <c r="D2128" t="s">
        <v>76</v>
      </c>
      <c r="E2128">
        <v>1</v>
      </c>
      <c r="F2128" s="1">
        <v>42020</v>
      </c>
      <c r="G2128" s="1" t="str">
        <f>TEXT(pizza_sales[[#This Row],[order_date]],"dddd")</f>
        <v>Friday</v>
      </c>
      <c r="H2128" s="2">
        <v>36526.759201388886</v>
      </c>
      <c r="I2128">
        <v>16.75</v>
      </c>
      <c r="J2128">
        <v>16.75</v>
      </c>
      <c r="K2128" t="s">
        <v>13</v>
      </c>
      <c r="L2128" t="s">
        <v>33</v>
      </c>
      <c r="M2128" t="s">
        <v>74</v>
      </c>
      <c r="N2128" t="s">
        <v>75</v>
      </c>
    </row>
    <row r="2129" spans="1:14" x14ac:dyDescent="0.3">
      <c r="A2129">
        <v>2128</v>
      </c>
      <c r="B2129">
        <v>947</v>
      </c>
      <c r="C2129">
        <f>1/COUNTIF(pizza_sales[[#All],[order_id]],pizza_sales[[#This Row],[order_id]])</f>
        <v>0.33333333333333331</v>
      </c>
      <c r="D2129" t="s">
        <v>77</v>
      </c>
      <c r="E2129">
        <v>1</v>
      </c>
      <c r="F2129" s="1">
        <v>42020</v>
      </c>
      <c r="G2129" s="1" t="str">
        <f>TEXT(pizza_sales[[#This Row],[order_date]],"dddd")</f>
        <v>Friday</v>
      </c>
      <c r="H2129" s="2">
        <v>36526.759201388886</v>
      </c>
      <c r="I2129">
        <v>15.25</v>
      </c>
      <c r="J2129">
        <v>15.25</v>
      </c>
      <c r="K2129" t="s">
        <v>21</v>
      </c>
      <c r="L2129" t="s">
        <v>14</v>
      </c>
      <c r="M2129" t="s">
        <v>78</v>
      </c>
      <c r="N2129" t="s">
        <v>79</v>
      </c>
    </row>
    <row r="2130" spans="1:14" x14ac:dyDescent="0.3">
      <c r="A2130">
        <v>2129</v>
      </c>
      <c r="B2130">
        <v>947</v>
      </c>
      <c r="C2130">
        <f>1/COUNTIF(pizza_sales[[#All],[order_id]],pizza_sales[[#This Row],[order_id]])</f>
        <v>0.33333333333333331</v>
      </c>
      <c r="D2130" t="s">
        <v>140</v>
      </c>
      <c r="E2130">
        <v>1</v>
      </c>
      <c r="F2130" s="1">
        <v>42020</v>
      </c>
      <c r="G2130" s="1" t="str">
        <f>TEXT(pizza_sales[[#This Row],[order_date]],"dddd")</f>
        <v>Friday</v>
      </c>
      <c r="H2130" s="2">
        <v>36526.759201388886</v>
      </c>
      <c r="I2130">
        <v>25.5</v>
      </c>
      <c r="J2130">
        <v>25.5</v>
      </c>
      <c r="K2130" t="s">
        <v>141</v>
      </c>
      <c r="L2130" t="s">
        <v>14</v>
      </c>
      <c r="M2130" t="s">
        <v>45</v>
      </c>
      <c r="N2130" t="s">
        <v>46</v>
      </c>
    </row>
    <row r="2131" spans="1:14" x14ac:dyDescent="0.3">
      <c r="A2131">
        <v>2130</v>
      </c>
      <c r="B2131">
        <v>948</v>
      </c>
      <c r="C2131">
        <f>1/COUNTIF(pizza_sales[[#All],[order_id]],pizza_sales[[#This Row],[order_id]])</f>
        <v>0.25</v>
      </c>
      <c r="D2131" t="s">
        <v>143</v>
      </c>
      <c r="E2131">
        <v>1</v>
      </c>
      <c r="F2131" s="1">
        <v>42020</v>
      </c>
      <c r="G2131" s="1" t="str">
        <f>TEXT(pizza_sales[[#This Row],[order_date]],"dddd")</f>
        <v>Friday</v>
      </c>
      <c r="H2131" s="2">
        <v>36526.779363425929</v>
      </c>
      <c r="I2131">
        <v>11</v>
      </c>
      <c r="J2131">
        <v>11</v>
      </c>
      <c r="K2131" t="s">
        <v>41</v>
      </c>
      <c r="L2131" t="s">
        <v>14</v>
      </c>
      <c r="M2131" t="s">
        <v>130</v>
      </c>
      <c r="N2131" t="s">
        <v>131</v>
      </c>
    </row>
    <row r="2132" spans="1:14" x14ac:dyDescent="0.3">
      <c r="A2132">
        <v>2131</v>
      </c>
      <c r="B2132">
        <v>948</v>
      </c>
      <c r="C2132">
        <f>1/COUNTIF(pizza_sales[[#All],[order_id]],pizza_sales[[#This Row],[order_id]])</f>
        <v>0.25</v>
      </c>
      <c r="D2132" t="s">
        <v>77</v>
      </c>
      <c r="E2132">
        <v>1</v>
      </c>
      <c r="F2132" s="1">
        <v>42020</v>
      </c>
      <c r="G2132" s="1" t="str">
        <f>TEXT(pizza_sales[[#This Row],[order_date]],"dddd")</f>
        <v>Friday</v>
      </c>
      <c r="H2132" s="2">
        <v>36526.779363425929</v>
      </c>
      <c r="I2132">
        <v>15.25</v>
      </c>
      <c r="J2132">
        <v>15.25</v>
      </c>
      <c r="K2132" t="s">
        <v>21</v>
      </c>
      <c r="L2132" t="s">
        <v>14</v>
      </c>
      <c r="M2132" t="s">
        <v>78</v>
      </c>
      <c r="N2132" t="s">
        <v>79</v>
      </c>
    </row>
    <row r="2133" spans="1:14" x14ac:dyDescent="0.3">
      <c r="A2133">
        <v>2132</v>
      </c>
      <c r="B2133">
        <v>948</v>
      </c>
      <c r="C2133">
        <f>1/COUNTIF(pizza_sales[[#All],[order_id]],pizza_sales[[#This Row],[order_id]])</f>
        <v>0.25</v>
      </c>
      <c r="D2133" t="s">
        <v>59</v>
      </c>
      <c r="E2133">
        <v>1</v>
      </c>
      <c r="F2133" s="1">
        <v>42020</v>
      </c>
      <c r="G2133" s="1" t="str">
        <f>TEXT(pizza_sales[[#This Row],[order_date]],"dddd")</f>
        <v>Friday</v>
      </c>
      <c r="H2133" s="2">
        <v>36526.779363425929</v>
      </c>
      <c r="I2133">
        <v>20.75</v>
      </c>
      <c r="J2133">
        <v>20.75</v>
      </c>
      <c r="K2133" t="s">
        <v>21</v>
      </c>
      <c r="L2133" t="s">
        <v>26</v>
      </c>
      <c r="M2133" t="s">
        <v>60</v>
      </c>
      <c r="N2133" t="s">
        <v>61</v>
      </c>
    </row>
    <row r="2134" spans="1:14" x14ac:dyDescent="0.3">
      <c r="A2134">
        <v>2133</v>
      </c>
      <c r="B2134">
        <v>948</v>
      </c>
      <c r="C2134">
        <f>1/COUNTIF(pizza_sales[[#All],[order_id]],pizza_sales[[#This Row],[order_id]])</f>
        <v>0.25</v>
      </c>
      <c r="D2134" t="s">
        <v>65</v>
      </c>
      <c r="E2134">
        <v>1</v>
      </c>
      <c r="F2134" s="1">
        <v>42020</v>
      </c>
      <c r="G2134" s="1" t="str">
        <f>TEXT(pizza_sales[[#This Row],[order_date]],"dddd")</f>
        <v>Friday</v>
      </c>
      <c r="H2134" s="2">
        <v>36526.779363425929</v>
      </c>
      <c r="I2134">
        <v>12</v>
      </c>
      <c r="J2134">
        <v>12</v>
      </c>
      <c r="K2134" t="s">
        <v>41</v>
      </c>
      <c r="L2134" t="s">
        <v>22</v>
      </c>
      <c r="M2134" t="s">
        <v>66</v>
      </c>
      <c r="N2134" t="s">
        <v>67</v>
      </c>
    </row>
    <row r="2135" spans="1:14" x14ac:dyDescent="0.3">
      <c r="A2135">
        <v>2134</v>
      </c>
      <c r="B2135">
        <v>949</v>
      </c>
      <c r="C2135">
        <f>1/COUNTIF(pizza_sales[[#All],[order_id]],pizza_sales[[#This Row],[order_id]])</f>
        <v>0.5</v>
      </c>
      <c r="D2135" t="s">
        <v>68</v>
      </c>
      <c r="E2135">
        <v>1</v>
      </c>
      <c r="F2135" s="1">
        <v>42020</v>
      </c>
      <c r="G2135" s="1" t="str">
        <f>TEXT(pizza_sales[[#This Row],[order_date]],"dddd")</f>
        <v>Friday</v>
      </c>
      <c r="H2135" s="2">
        <v>36526.786319444444</v>
      </c>
      <c r="I2135">
        <v>20.25</v>
      </c>
      <c r="J2135">
        <v>20.25</v>
      </c>
      <c r="K2135" t="s">
        <v>21</v>
      </c>
      <c r="L2135" t="s">
        <v>22</v>
      </c>
      <c r="M2135" t="s">
        <v>30</v>
      </c>
      <c r="N2135" t="s">
        <v>31</v>
      </c>
    </row>
    <row r="2136" spans="1:14" x14ac:dyDescent="0.3">
      <c r="A2136">
        <v>2135</v>
      </c>
      <c r="B2136">
        <v>949</v>
      </c>
      <c r="C2136">
        <f>1/COUNTIF(pizza_sales[[#All],[order_id]],pizza_sales[[#This Row],[order_id]])</f>
        <v>0.5</v>
      </c>
      <c r="D2136" t="s">
        <v>154</v>
      </c>
      <c r="E2136">
        <v>1</v>
      </c>
      <c r="F2136" s="1">
        <v>42020</v>
      </c>
      <c r="G2136" s="1" t="str">
        <f>TEXT(pizza_sales[[#This Row],[order_date]],"dddd")</f>
        <v>Friday</v>
      </c>
      <c r="H2136" s="2">
        <v>36526.786319444444</v>
      </c>
      <c r="I2136">
        <v>16</v>
      </c>
      <c r="J2136">
        <v>16</v>
      </c>
      <c r="K2136" t="s">
        <v>13</v>
      </c>
      <c r="L2136" t="s">
        <v>22</v>
      </c>
      <c r="M2136" t="s">
        <v>66</v>
      </c>
      <c r="N2136" t="s">
        <v>67</v>
      </c>
    </row>
    <row r="2137" spans="1:14" x14ac:dyDescent="0.3">
      <c r="A2137">
        <v>2136</v>
      </c>
      <c r="B2137">
        <v>950</v>
      </c>
      <c r="C2137">
        <f>1/COUNTIF(pizza_sales[[#All],[order_id]],pizza_sales[[#This Row],[order_id]])</f>
        <v>1</v>
      </c>
      <c r="D2137" t="s">
        <v>76</v>
      </c>
      <c r="E2137">
        <v>1</v>
      </c>
      <c r="F2137" s="1">
        <v>42020</v>
      </c>
      <c r="G2137" s="1" t="str">
        <f>TEXT(pizza_sales[[#This Row],[order_date]],"dddd")</f>
        <v>Friday</v>
      </c>
      <c r="H2137" s="2">
        <v>36526.790231481478</v>
      </c>
      <c r="I2137">
        <v>16.75</v>
      </c>
      <c r="J2137">
        <v>16.75</v>
      </c>
      <c r="K2137" t="s">
        <v>13</v>
      </c>
      <c r="L2137" t="s">
        <v>33</v>
      </c>
      <c r="M2137" t="s">
        <v>74</v>
      </c>
      <c r="N2137" t="s">
        <v>75</v>
      </c>
    </row>
    <row r="2138" spans="1:14" x14ac:dyDescent="0.3">
      <c r="A2138">
        <v>2137</v>
      </c>
      <c r="B2138">
        <v>951</v>
      </c>
      <c r="C2138">
        <f>1/COUNTIF(pizza_sales[[#All],[order_id]],pizza_sales[[#This Row],[order_id]])</f>
        <v>1</v>
      </c>
      <c r="D2138" t="s">
        <v>159</v>
      </c>
      <c r="E2138">
        <v>1</v>
      </c>
      <c r="F2138" s="1">
        <v>42020</v>
      </c>
      <c r="G2138" s="1" t="str">
        <f>TEXT(pizza_sales[[#This Row],[order_date]],"dddd")</f>
        <v>Friday</v>
      </c>
      <c r="H2138" s="2">
        <v>36526.794282407405</v>
      </c>
      <c r="I2138">
        <v>16.75</v>
      </c>
      <c r="J2138">
        <v>16.75</v>
      </c>
      <c r="K2138" t="s">
        <v>13</v>
      </c>
      <c r="L2138" t="s">
        <v>22</v>
      </c>
      <c r="M2138" t="s">
        <v>101</v>
      </c>
      <c r="N2138" t="s">
        <v>102</v>
      </c>
    </row>
    <row r="2139" spans="1:14" x14ac:dyDescent="0.3">
      <c r="A2139">
        <v>2138</v>
      </c>
      <c r="B2139">
        <v>952</v>
      </c>
      <c r="C2139">
        <f>1/COUNTIF(pizza_sales[[#All],[order_id]],pizza_sales[[#This Row],[order_id]])</f>
        <v>0.25</v>
      </c>
      <c r="D2139" t="s">
        <v>84</v>
      </c>
      <c r="E2139">
        <v>1</v>
      </c>
      <c r="F2139" s="1">
        <v>42020</v>
      </c>
      <c r="G2139" s="1" t="str">
        <f>TEXT(pizza_sales[[#This Row],[order_date]],"dddd")</f>
        <v>Friday</v>
      </c>
      <c r="H2139" s="2">
        <v>36526.795543981483</v>
      </c>
      <c r="I2139">
        <v>12</v>
      </c>
      <c r="J2139">
        <v>12</v>
      </c>
      <c r="K2139" t="s">
        <v>41</v>
      </c>
      <c r="L2139" t="s">
        <v>14</v>
      </c>
      <c r="M2139" t="s">
        <v>85</v>
      </c>
      <c r="N2139" t="s">
        <v>86</v>
      </c>
    </row>
    <row r="2140" spans="1:14" x14ac:dyDescent="0.3">
      <c r="A2140">
        <v>2139</v>
      </c>
      <c r="B2140">
        <v>952</v>
      </c>
      <c r="C2140">
        <f>1/COUNTIF(pizza_sales[[#All],[order_id]],pizza_sales[[#This Row],[order_id]])</f>
        <v>0.25</v>
      </c>
      <c r="D2140" t="s">
        <v>173</v>
      </c>
      <c r="E2140">
        <v>1</v>
      </c>
      <c r="F2140" s="1">
        <v>42020</v>
      </c>
      <c r="G2140" s="1" t="str">
        <f>TEXT(pizza_sales[[#This Row],[order_date]],"dddd")</f>
        <v>Friday</v>
      </c>
      <c r="H2140" s="2">
        <v>36526.795543981483</v>
      </c>
      <c r="I2140">
        <v>20.25</v>
      </c>
      <c r="J2140">
        <v>20.25</v>
      </c>
      <c r="K2140" t="s">
        <v>21</v>
      </c>
      <c r="L2140" t="s">
        <v>26</v>
      </c>
      <c r="M2140" t="s">
        <v>97</v>
      </c>
      <c r="N2140" t="s">
        <v>98</v>
      </c>
    </row>
    <row r="2141" spans="1:14" x14ac:dyDescent="0.3">
      <c r="A2141">
        <v>2140</v>
      </c>
      <c r="B2141">
        <v>952</v>
      </c>
      <c r="C2141">
        <f>1/COUNTIF(pizza_sales[[#All],[order_id]],pizza_sales[[#This Row],[order_id]])</f>
        <v>0.25</v>
      </c>
      <c r="D2141" t="s">
        <v>133</v>
      </c>
      <c r="E2141">
        <v>1</v>
      </c>
      <c r="F2141" s="1">
        <v>42020</v>
      </c>
      <c r="G2141" s="1" t="str">
        <f>TEXT(pizza_sales[[#This Row],[order_date]],"dddd")</f>
        <v>Friday</v>
      </c>
      <c r="H2141" s="2">
        <v>36526.795543981483</v>
      </c>
      <c r="I2141">
        <v>16.5</v>
      </c>
      <c r="J2141">
        <v>16.5</v>
      </c>
      <c r="K2141" t="s">
        <v>13</v>
      </c>
      <c r="L2141" t="s">
        <v>26</v>
      </c>
      <c r="M2141" t="s">
        <v>107</v>
      </c>
      <c r="N2141" t="s">
        <v>108</v>
      </c>
    </row>
    <row r="2142" spans="1:14" x14ac:dyDescent="0.3">
      <c r="A2142">
        <v>2141</v>
      </c>
      <c r="B2142">
        <v>952</v>
      </c>
      <c r="C2142">
        <f>1/COUNTIF(pizza_sales[[#All],[order_id]],pizza_sales[[#This Row],[order_id]])</f>
        <v>0.25</v>
      </c>
      <c r="D2142" t="s">
        <v>157</v>
      </c>
      <c r="E2142">
        <v>1</v>
      </c>
      <c r="F2142" s="1">
        <v>42020</v>
      </c>
      <c r="G2142" s="1" t="str">
        <f>TEXT(pizza_sales[[#This Row],[order_date]],"dddd")</f>
        <v>Friday</v>
      </c>
      <c r="H2142" s="2">
        <v>36526.795543981483</v>
      </c>
      <c r="I2142">
        <v>12</v>
      </c>
      <c r="J2142">
        <v>12</v>
      </c>
      <c r="K2142" t="s">
        <v>41</v>
      </c>
      <c r="L2142" t="s">
        <v>22</v>
      </c>
      <c r="M2142" t="s">
        <v>110</v>
      </c>
      <c r="N2142" t="s">
        <v>111</v>
      </c>
    </row>
    <row r="2143" spans="1:14" x14ac:dyDescent="0.3">
      <c r="A2143">
        <v>2142</v>
      </c>
      <c r="B2143">
        <v>953</v>
      </c>
      <c r="C2143">
        <f>1/COUNTIF(pizza_sales[[#All],[order_id]],pizza_sales[[#This Row],[order_id]])</f>
        <v>0.33333333333333331</v>
      </c>
      <c r="D2143" t="s">
        <v>40</v>
      </c>
      <c r="E2143">
        <v>1</v>
      </c>
      <c r="F2143" s="1">
        <v>42020</v>
      </c>
      <c r="G2143" s="1" t="str">
        <f>TEXT(pizza_sales[[#This Row],[order_date]],"dddd")</f>
        <v>Friday</v>
      </c>
      <c r="H2143" s="2">
        <v>36526.800092592595</v>
      </c>
      <c r="I2143">
        <v>12.75</v>
      </c>
      <c r="J2143">
        <v>12.75</v>
      </c>
      <c r="K2143" t="s">
        <v>41</v>
      </c>
      <c r="L2143" t="s">
        <v>33</v>
      </c>
      <c r="M2143" t="s">
        <v>42</v>
      </c>
      <c r="N2143" t="s">
        <v>43</v>
      </c>
    </row>
    <row r="2144" spans="1:14" x14ac:dyDescent="0.3">
      <c r="A2144">
        <v>2143</v>
      </c>
      <c r="B2144">
        <v>953</v>
      </c>
      <c r="C2144">
        <f>1/COUNTIF(pizza_sales[[#All],[order_id]],pizza_sales[[#This Row],[order_id]])</f>
        <v>0.33333333333333331</v>
      </c>
      <c r="D2144" t="s">
        <v>134</v>
      </c>
      <c r="E2144">
        <v>1</v>
      </c>
      <c r="F2144" s="1">
        <v>42020</v>
      </c>
      <c r="G2144" s="1" t="str">
        <f>TEXT(pizza_sales[[#This Row],[order_date]],"dddd")</f>
        <v>Friday</v>
      </c>
      <c r="H2144" s="2">
        <v>36526.800092592595</v>
      </c>
      <c r="I2144">
        <v>16.75</v>
      </c>
      <c r="J2144">
        <v>16.75</v>
      </c>
      <c r="K2144" t="s">
        <v>13</v>
      </c>
      <c r="L2144" t="s">
        <v>33</v>
      </c>
      <c r="M2144" t="s">
        <v>124</v>
      </c>
      <c r="N2144" t="s">
        <v>125</v>
      </c>
    </row>
    <row r="2145" spans="1:14" x14ac:dyDescent="0.3">
      <c r="A2145">
        <v>2144</v>
      </c>
      <c r="B2145">
        <v>953</v>
      </c>
      <c r="C2145">
        <f>1/COUNTIF(pizza_sales[[#All],[order_id]],pizza_sales[[#This Row],[order_id]])</f>
        <v>0.33333333333333331</v>
      </c>
      <c r="D2145" t="s">
        <v>157</v>
      </c>
      <c r="E2145">
        <v>1</v>
      </c>
      <c r="F2145" s="1">
        <v>42020</v>
      </c>
      <c r="G2145" s="1" t="str">
        <f>TEXT(pizza_sales[[#This Row],[order_date]],"dddd")</f>
        <v>Friday</v>
      </c>
      <c r="H2145" s="2">
        <v>36526.800092592595</v>
      </c>
      <c r="I2145">
        <v>12</v>
      </c>
      <c r="J2145">
        <v>12</v>
      </c>
      <c r="K2145" t="s">
        <v>41</v>
      </c>
      <c r="L2145" t="s">
        <v>22</v>
      </c>
      <c r="M2145" t="s">
        <v>110</v>
      </c>
      <c r="N2145" t="s">
        <v>111</v>
      </c>
    </row>
    <row r="2146" spans="1:14" x14ac:dyDescent="0.3">
      <c r="A2146">
        <v>2145</v>
      </c>
      <c r="B2146">
        <v>954</v>
      </c>
      <c r="C2146">
        <f>1/COUNTIF(pizza_sales[[#All],[order_id]],pizza_sales[[#This Row],[order_id]])</f>
        <v>1</v>
      </c>
      <c r="D2146" t="s">
        <v>32</v>
      </c>
      <c r="E2146">
        <v>2</v>
      </c>
      <c r="F2146" s="1">
        <v>42020</v>
      </c>
      <c r="G2146" s="1" t="str">
        <f>TEXT(pizza_sales[[#This Row],[order_date]],"dddd")</f>
        <v>Friday</v>
      </c>
      <c r="H2146" s="2">
        <v>36526.801423611112</v>
      </c>
      <c r="I2146">
        <v>20.75</v>
      </c>
      <c r="J2146">
        <v>41.5</v>
      </c>
      <c r="K2146" t="s">
        <v>21</v>
      </c>
      <c r="L2146" t="s">
        <v>33</v>
      </c>
      <c r="M2146" t="s">
        <v>34</v>
      </c>
      <c r="N2146" t="s">
        <v>35</v>
      </c>
    </row>
    <row r="2147" spans="1:14" x14ac:dyDescent="0.3">
      <c r="A2147">
        <v>2146</v>
      </c>
      <c r="B2147">
        <v>955</v>
      </c>
      <c r="C2147">
        <f>1/COUNTIF(pizza_sales[[#All],[order_id]],pizza_sales[[#This Row],[order_id]])</f>
        <v>0.33333333333333331</v>
      </c>
      <c r="D2147" t="s">
        <v>76</v>
      </c>
      <c r="E2147">
        <v>1</v>
      </c>
      <c r="F2147" s="1">
        <v>42020</v>
      </c>
      <c r="G2147" s="1" t="str">
        <f>TEXT(pizza_sales[[#This Row],[order_date]],"dddd")</f>
        <v>Friday</v>
      </c>
      <c r="H2147" s="2">
        <v>36526.808518518519</v>
      </c>
      <c r="I2147">
        <v>16.75</v>
      </c>
      <c r="J2147">
        <v>16.75</v>
      </c>
      <c r="K2147" t="s">
        <v>13</v>
      </c>
      <c r="L2147" t="s">
        <v>33</v>
      </c>
      <c r="M2147" t="s">
        <v>74</v>
      </c>
      <c r="N2147" t="s">
        <v>75</v>
      </c>
    </row>
    <row r="2148" spans="1:14" x14ac:dyDescent="0.3">
      <c r="A2148">
        <v>2147</v>
      </c>
      <c r="B2148">
        <v>955</v>
      </c>
      <c r="C2148">
        <f>1/COUNTIF(pizza_sales[[#All],[order_id]],pizza_sales[[#This Row],[order_id]])</f>
        <v>0.33333333333333331</v>
      </c>
      <c r="D2148" t="s">
        <v>20</v>
      </c>
      <c r="E2148">
        <v>1</v>
      </c>
      <c r="F2148" s="1">
        <v>42020</v>
      </c>
      <c r="G2148" s="1" t="str">
        <f>TEXT(pizza_sales[[#This Row],[order_date]],"dddd")</f>
        <v>Friday</v>
      </c>
      <c r="H2148" s="2">
        <v>36526.808518518519</v>
      </c>
      <c r="I2148">
        <v>18.5</v>
      </c>
      <c r="J2148">
        <v>18.5</v>
      </c>
      <c r="K2148" t="s">
        <v>21</v>
      </c>
      <c r="L2148" t="s">
        <v>22</v>
      </c>
      <c r="M2148" t="s">
        <v>23</v>
      </c>
      <c r="N2148" t="s">
        <v>24</v>
      </c>
    </row>
    <row r="2149" spans="1:14" x14ac:dyDescent="0.3">
      <c r="A2149">
        <v>2148</v>
      </c>
      <c r="B2149">
        <v>955</v>
      </c>
      <c r="C2149">
        <f>1/COUNTIF(pizza_sales[[#All],[order_id]],pizza_sales[[#This Row],[order_id]])</f>
        <v>0.33333333333333331</v>
      </c>
      <c r="D2149" t="s">
        <v>112</v>
      </c>
      <c r="E2149">
        <v>1</v>
      </c>
      <c r="F2149" s="1">
        <v>42020</v>
      </c>
      <c r="G2149" s="1" t="str">
        <f>TEXT(pizza_sales[[#This Row],[order_date]],"dddd")</f>
        <v>Friday</v>
      </c>
      <c r="H2149" s="2">
        <v>36526.808518518519</v>
      </c>
      <c r="I2149">
        <v>20.5</v>
      </c>
      <c r="J2149">
        <v>20.5</v>
      </c>
      <c r="K2149" t="s">
        <v>21</v>
      </c>
      <c r="L2149" t="s">
        <v>14</v>
      </c>
      <c r="M2149" t="s">
        <v>94</v>
      </c>
      <c r="N2149" t="s">
        <v>95</v>
      </c>
    </row>
    <row r="2150" spans="1:14" x14ac:dyDescent="0.3">
      <c r="A2150">
        <v>2149</v>
      </c>
      <c r="B2150">
        <v>956</v>
      </c>
      <c r="C2150">
        <f>1/COUNTIF(pizza_sales[[#All],[order_id]],pizza_sales[[#This Row],[order_id]])</f>
        <v>0.5</v>
      </c>
      <c r="D2150" t="s">
        <v>145</v>
      </c>
      <c r="E2150">
        <v>1</v>
      </c>
      <c r="F2150" s="1">
        <v>42020</v>
      </c>
      <c r="G2150" s="1" t="str">
        <f>TEXT(pizza_sales[[#This Row],[order_date]],"dddd")</f>
        <v>Friday</v>
      </c>
      <c r="H2150" s="2">
        <v>36526.808796296296</v>
      </c>
      <c r="I2150">
        <v>16.5</v>
      </c>
      <c r="J2150">
        <v>16.5</v>
      </c>
      <c r="K2150" t="s">
        <v>13</v>
      </c>
      <c r="L2150" t="s">
        <v>26</v>
      </c>
      <c r="M2150" t="s">
        <v>38</v>
      </c>
      <c r="N2150" t="s">
        <v>39</v>
      </c>
    </row>
    <row r="2151" spans="1:14" x14ac:dyDescent="0.3">
      <c r="A2151">
        <v>2150</v>
      </c>
      <c r="B2151">
        <v>956</v>
      </c>
      <c r="C2151">
        <f>1/COUNTIF(pizza_sales[[#All],[order_id]],pizza_sales[[#This Row],[order_id]])</f>
        <v>0.5</v>
      </c>
      <c r="D2151" t="s">
        <v>151</v>
      </c>
      <c r="E2151">
        <v>1</v>
      </c>
      <c r="F2151" s="1">
        <v>42020</v>
      </c>
      <c r="G2151" s="1" t="str">
        <f>TEXT(pizza_sales[[#This Row],[order_date]],"dddd")</f>
        <v>Friday</v>
      </c>
      <c r="H2151" s="2">
        <v>36526.808796296296</v>
      </c>
      <c r="I2151">
        <v>12.75</v>
      </c>
      <c r="J2151">
        <v>12.75</v>
      </c>
      <c r="K2151" t="s">
        <v>41</v>
      </c>
      <c r="L2151" t="s">
        <v>33</v>
      </c>
      <c r="M2151" t="s">
        <v>34</v>
      </c>
      <c r="N2151" t="s">
        <v>35</v>
      </c>
    </row>
    <row r="2152" spans="1:14" x14ac:dyDescent="0.3">
      <c r="A2152">
        <v>2151</v>
      </c>
      <c r="B2152">
        <v>957</v>
      </c>
      <c r="C2152">
        <f>1/COUNTIF(pizza_sales[[#All],[order_id]],pizza_sales[[#This Row],[order_id]])</f>
        <v>0.25</v>
      </c>
      <c r="D2152" t="s">
        <v>90</v>
      </c>
      <c r="E2152">
        <v>1</v>
      </c>
      <c r="F2152" s="1">
        <v>42020</v>
      </c>
      <c r="G2152" s="1" t="str">
        <f>TEXT(pizza_sales[[#This Row],[order_date]],"dddd")</f>
        <v>Friday</v>
      </c>
      <c r="H2152" s="2">
        <v>36526.814027777778</v>
      </c>
      <c r="I2152">
        <v>17.95</v>
      </c>
      <c r="J2152">
        <v>17.95</v>
      </c>
      <c r="K2152" t="s">
        <v>21</v>
      </c>
      <c r="L2152" t="s">
        <v>22</v>
      </c>
      <c r="M2152" t="s">
        <v>91</v>
      </c>
      <c r="N2152" t="s">
        <v>92</v>
      </c>
    </row>
    <row r="2153" spans="1:14" x14ac:dyDescent="0.3">
      <c r="A2153">
        <v>2152</v>
      </c>
      <c r="B2153">
        <v>957</v>
      </c>
      <c r="C2153">
        <f>1/COUNTIF(pizza_sales[[#All],[order_id]],pizza_sales[[#This Row],[order_id]])</f>
        <v>0.25</v>
      </c>
      <c r="D2153" t="s">
        <v>127</v>
      </c>
      <c r="E2153">
        <v>1</v>
      </c>
      <c r="F2153" s="1">
        <v>42020</v>
      </c>
      <c r="G2153" s="1" t="str">
        <f>TEXT(pizza_sales[[#This Row],[order_date]],"dddd")</f>
        <v>Friday</v>
      </c>
      <c r="H2153" s="2">
        <v>36526.814027777778</v>
      </c>
      <c r="I2153">
        <v>20.25</v>
      </c>
      <c r="J2153">
        <v>20.25</v>
      </c>
      <c r="K2153" t="s">
        <v>21</v>
      </c>
      <c r="L2153" t="s">
        <v>22</v>
      </c>
      <c r="M2153" t="s">
        <v>52</v>
      </c>
      <c r="N2153" t="s">
        <v>53</v>
      </c>
    </row>
    <row r="2154" spans="1:14" x14ac:dyDescent="0.3">
      <c r="A2154">
        <v>2153</v>
      </c>
      <c r="B2154">
        <v>957</v>
      </c>
      <c r="C2154">
        <f>1/COUNTIF(pizza_sales[[#All],[order_id]],pizza_sales[[#This Row],[order_id]])</f>
        <v>0.25</v>
      </c>
      <c r="D2154" t="s">
        <v>100</v>
      </c>
      <c r="E2154">
        <v>1</v>
      </c>
      <c r="F2154" s="1">
        <v>42020</v>
      </c>
      <c r="G2154" s="1" t="str">
        <f>TEXT(pizza_sales[[#This Row],[order_date]],"dddd")</f>
        <v>Friday</v>
      </c>
      <c r="H2154" s="2">
        <v>36526.814027777778</v>
      </c>
      <c r="I2154">
        <v>12.75</v>
      </c>
      <c r="J2154">
        <v>12.75</v>
      </c>
      <c r="K2154" t="s">
        <v>41</v>
      </c>
      <c r="L2154" t="s">
        <v>22</v>
      </c>
      <c r="M2154" t="s">
        <v>101</v>
      </c>
      <c r="N2154" t="s">
        <v>102</v>
      </c>
    </row>
    <row r="2155" spans="1:14" x14ac:dyDescent="0.3">
      <c r="A2155">
        <v>2154</v>
      </c>
      <c r="B2155">
        <v>957</v>
      </c>
      <c r="C2155">
        <f>1/COUNTIF(pizza_sales[[#All],[order_id]],pizza_sales[[#This Row],[order_id]])</f>
        <v>0.25</v>
      </c>
      <c r="D2155" t="s">
        <v>62</v>
      </c>
      <c r="E2155">
        <v>1</v>
      </c>
      <c r="F2155" s="1">
        <v>42020</v>
      </c>
      <c r="G2155" s="1" t="str">
        <f>TEXT(pizza_sales[[#This Row],[order_date]],"dddd")</f>
        <v>Friday</v>
      </c>
      <c r="H2155" s="2">
        <v>36526.814027777778</v>
      </c>
      <c r="I2155">
        <v>20.75</v>
      </c>
      <c r="J2155">
        <v>20.75</v>
      </c>
      <c r="K2155" t="s">
        <v>21</v>
      </c>
      <c r="L2155" t="s">
        <v>22</v>
      </c>
      <c r="M2155" t="s">
        <v>63</v>
      </c>
      <c r="N2155" t="s">
        <v>64</v>
      </c>
    </row>
    <row r="2156" spans="1:14" x14ac:dyDescent="0.3">
      <c r="A2156">
        <v>2155</v>
      </c>
      <c r="B2156">
        <v>958</v>
      </c>
      <c r="C2156">
        <f>1/COUNTIF(pizza_sales[[#All],[order_id]],pizza_sales[[#This Row],[order_id]])</f>
        <v>1</v>
      </c>
      <c r="D2156" t="s">
        <v>77</v>
      </c>
      <c r="E2156">
        <v>1</v>
      </c>
      <c r="F2156" s="1">
        <v>42020</v>
      </c>
      <c r="G2156" s="1" t="str">
        <f>TEXT(pizza_sales[[#This Row],[order_date]],"dddd")</f>
        <v>Friday</v>
      </c>
      <c r="H2156" s="2">
        <v>36526.814965277779</v>
      </c>
      <c r="I2156">
        <v>15.25</v>
      </c>
      <c r="J2156">
        <v>15.25</v>
      </c>
      <c r="K2156" t="s">
        <v>21</v>
      </c>
      <c r="L2156" t="s">
        <v>14</v>
      </c>
      <c r="M2156" t="s">
        <v>78</v>
      </c>
      <c r="N2156" t="s">
        <v>79</v>
      </c>
    </row>
    <row r="2157" spans="1:14" x14ac:dyDescent="0.3">
      <c r="A2157">
        <v>2156</v>
      </c>
      <c r="B2157">
        <v>959</v>
      </c>
      <c r="C2157">
        <f>1/COUNTIF(pizza_sales[[#All],[order_id]],pizza_sales[[#This Row],[order_id]])</f>
        <v>0.5</v>
      </c>
      <c r="D2157" t="s">
        <v>80</v>
      </c>
      <c r="E2157">
        <v>1</v>
      </c>
      <c r="F2157" s="1">
        <v>42020</v>
      </c>
      <c r="G2157" s="1" t="str">
        <f>TEXT(pizza_sales[[#This Row],[order_date]],"dddd")</f>
        <v>Friday</v>
      </c>
      <c r="H2157" s="2">
        <v>36526.81527777778</v>
      </c>
      <c r="I2157">
        <v>12.75</v>
      </c>
      <c r="J2157">
        <v>12.75</v>
      </c>
      <c r="K2157" t="s">
        <v>41</v>
      </c>
      <c r="L2157" t="s">
        <v>33</v>
      </c>
      <c r="M2157" t="s">
        <v>74</v>
      </c>
      <c r="N2157" t="s">
        <v>75</v>
      </c>
    </row>
    <row r="2158" spans="1:14" x14ac:dyDescent="0.3">
      <c r="A2158">
        <v>2157</v>
      </c>
      <c r="B2158">
        <v>959</v>
      </c>
      <c r="C2158">
        <f>1/COUNTIF(pizza_sales[[#All],[order_id]],pizza_sales[[#This Row],[order_id]])</f>
        <v>0.5</v>
      </c>
      <c r="D2158" t="s">
        <v>164</v>
      </c>
      <c r="E2158">
        <v>1</v>
      </c>
      <c r="F2158" s="1">
        <v>42020</v>
      </c>
      <c r="G2158" s="1" t="str">
        <f>TEXT(pizza_sales[[#This Row],[order_date]],"dddd")</f>
        <v>Friday</v>
      </c>
      <c r="H2158" s="2">
        <v>36526.81527777778</v>
      </c>
      <c r="I2158">
        <v>16.5</v>
      </c>
      <c r="J2158">
        <v>16.5</v>
      </c>
      <c r="K2158" t="s">
        <v>13</v>
      </c>
      <c r="L2158" t="s">
        <v>22</v>
      </c>
      <c r="M2158" t="s">
        <v>63</v>
      </c>
      <c r="N2158" t="s">
        <v>64</v>
      </c>
    </row>
    <row r="2159" spans="1:14" x14ac:dyDescent="0.3">
      <c r="A2159">
        <v>2158</v>
      </c>
      <c r="B2159">
        <v>960</v>
      </c>
      <c r="C2159">
        <f>1/COUNTIF(pizza_sales[[#All],[order_id]],pizza_sales[[#This Row],[order_id]])</f>
        <v>1</v>
      </c>
      <c r="D2159" t="s">
        <v>59</v>
      </c>
      <c r="E2159">
        <v>2</v>
      </c>
      <c r="F2159" s="1">
        <v>42020</v>
      </c>
      <c r="G2159" s="1" t="str">
        <f>TEXT(pizza_sales[[#This Row],[order_date]],"dddd")</f>
        <v>Friday</v>
      </c>
      <c r="H2159" s="2">
        <v>36526.815972222219</v>
      </c>
      <c r="I2159">
        <v>20.75</v>
      </c>
      <c r="J2159">
        <v>41.5</v>
      </c>
      <c r="K2159" t="s">
        <v>21</v>
      </c>
      <c r="L2159" t="s">
        <v>26</v>
      </c>
      <c r="M2159" t="s">
        <v>60</v>
      </c>
      <c r="N2159" t="s">
        <v>61</v>
      </c>
    </row>
    <row r="2160" spans="1:14" x14ac:dyDescent="0.3">
      <c r="A2160">
        <v>2159</v>
      </c>
      <c r="B2160">
        <v>961</v>
      </c>
      <c r="C2160">
        <f>1/COUNTIF(pizza_sales[[#All],[order_id]],pizza_sales[[#This Row],[order_id]])</f>
        <v>0.5</v>
      </c>
      <c r="D2160" t="s">
        <v>40</v>
      </c>
      <c r="E2160">
        <v>1</v>
      </c>
      <c r="F2160" s="1">
        <v>42020</v>
      </c>
      <c r="G2160" s="1" t="str">
        <f>TEXT(pizza_sales[[#This Row],[order_date]],"dddd")</f>
        <v>Friday</v>
      </c>
      <c r="H2160" s="2">
        <v>36526.821064814816</v>
      </c>
      <c r="I2160">
        <v>12.75</v>
      </c>
      <c r="J2160">
        <v>12.75</v>
      </c>
      <c r="K2160" t="s">
        <v>41</v>
      </c>
      <c r="L2160" t="s">
        <v>33</v>
      </c>
      <c r="M2160" t="s">
        <v>42</v>
      </c>
      <c r="N2160" t="s">
        <v>43</v>
      </c>
    </row>
    <row r="2161" spans="1:14" x14ac:dyDescent="0.3">
      <c r="A2161">
        <v>2160</v>
      </c>
      <c r="B2161">
        <v>961</v>
      </c>
      <c r="C2161">
        <f>1/COUNTIF(pizza_sales[[#All],[order_id]],pizza_sales[[#This Row],[order_id]])</f>
        <v>0.5</v>
      </c>
      <c r="D2161" t="s">
        <v>54</v>
      </c>
      <c r="E2161">
        <v>1</v>
      </c>
      <c r="F2161" s="1">
        <v>42020</v>
      </c>
      <c r="G2161" s="1" t="str">
        <f>TEXT(pizza_sales[[#This Row],[order_date]],"dddd")</f>
        <v>Friday</v>
      </c>
      <c r="H2161" s="2">
        <v>36526.821064814816</v>
      </c>
      <c r="I2161">
        <v>20.5</v>
      </c>
      <c r="J2161">
        <v>20.5</v>
      </c>
      <c r="K2161" t="s">
        <v>21</v>
      </c>
      <c r="L2161" t="s">
        <v>14</v>
      </c>
      <c r="M2161" t="s">
        <v>55</v>
      </c>
      <c r="N2161" t="s">
        <v>56</v>
      </c>
    </row>
    <row r="2162" spans="1:14" x14ac:dyDescent="0.3">
      <c r="A2162">
        <v>2161</v>
      </c>
      <c r="B2162">
        <v>962</v>
      </c>
      <c r="C2162">
        <f>1/COUNTIF(pizza_sales[[#All],[order_id]],pizza_sales[[#This Row],[order_id]])</f>
        <v>0.5</v>
      </c>
      <c r="D2162" t="s">
        <v>84</v>
      </c>
      <c r="E2162">
        <v>1</v>
      </c>
      <c r="F2162" s="1">
        <v>42020</v>
      </c>
      <c r="G2162" s="1" t="str">
        <f>TEXT(pizza_sales[[#This Row],[order_date]],"dddd")</f>
        <v>Friday</v>
      </c>
      <c r="H2162" s="2">
        <v>36526.830057870371</v>
      </c>
      <c r="I2162">
        <v>12</v>
      </c>
      <c r="J2162">
        <v>12</v>
      </c>
      <c r="K2162" t="s">
        <v>41</v>
      </c>
      <c r="L2162" t="s">
        <v>14</v>
      </c>
      <c r="M2162" t="s">
        <v>85</v>
      </c>
      <c r="N2162" t="s">
        <v>86</v>
      </c>
    </row>
    <row r="2163" spans="1:14" x14ac:dyDescent="0.3">
      <c r="A2163">
        <v>2162</v>
      </c>
      <c r="B2163">
        <v>962</v>
      </c>
      <c r="C2163">
        <f>1/COUNTIF(pizza_sales[[#All],[order_id]],pizza_sales[[#This Row],[order_id]])</f>
        <v>0.5</v>
      </c>
      <c r="D2163" t="s">
        <v>129</v>
      </c>
      <c r="E2163">
        <v>1</v>
      </c>
      <c r="F2163" s="1">
        <v>42020</v>
      </c>
      <c r="G2163" s="1" t="str">
        <f>TEXT(pizza_sales[[#This Row],[order_date]],"dddd")</f>
        <v>Friday</v>
      </c>
      <c r="H2163" s="2">
        <v>36526.830057870371</v>
      </c>
      <c r="I2163">
        <v>17.5</v>
      </c>
      <c r="J2163">
        <v>17.5</v>
      </c>
      <c r="K2163" t="s">
        <v>21</v>
      </c>
      <c r="L2163" t="s">
        <v>14</v>
      </c>
      <c r="M2163" t="s">
        <v>130</v>
      </c>
      <c r="N2163" t="s">
        <v>131</v>
      </c>
    </row>
    <row r="2164" spans="1:14" x14ac:dyDescent="0.3">
      <c r="A2164">
        <v>2163</v>
      </c>
      <c r="B2164">
        <v>963</v>
      </c>
      <c r="C2164">
        <f>1/COUNTIF(pizza_sales[[#All],[order_id]],pizza_sales[[#This Row],[order_id]])</f>
        <v>0.33333333333333331</v>
      </c>
      <c r="D2164" t="s">
        <v>76</v>
      </c>
      <c r="E2164">
        <v>2</v>
      </c>
      <c r="F2164" s="1">
        <v>42020</v>
      </c>
      <c r="G2164" s="1" t="str">
        <f>TEXT(pizza_sales[[#This Row],[order_date]],"dddd")</f>
        <v>Friday</v>
      </c>
      <c r="H2164" s="2">
        <v>36526.83797453704</v>
      </c>
      <c r="I2164">
        <v>16.75</v>
      </c>
      <c r="J2164">
        <v>33.5</v>
      </c>
      <c r="K2164" t="s">
        <v>13</v>
      </c>
      <c r="L2164" t="s">
        <v>33</v>
      </c>
      <c r="M2164" t="s">
        <v>74</v>
      </c>
      <c r="N2164" t="s">
        <v>75</v>
      </c>
    </row>
    <row r="2165" spans="1:14" x14ac:dyDescent="0.3">
      <c r="A2165">
        <v>2164</v>
      </c>
      <c r="B2165">
        <v>963</v>
      </c>
      <c r="C2165">
        <f>1/COUNTIF(pizza_sales[[#All],[order_id]],pizza_sales[[#This Row],[order_id]])</f>
        <v>0.33333333333333331</v>
      </c>
      <c r="D2165" t="s">
        <v>81</v>
      </c>
      <c r="E2165">
        <v>1</v>
      </c>
      <c r="F2165" s="1">
        <v>42020</v>
      </c>
      <c r="G2165" s="1" t="str">
        <f>TEXT(pizza_sales[[#This Row],[order_date]],"dddd")</f>
        <v>Friday</v>
      </c>
      <c r="H2165" s="2">
        <v>36526.83797453704</v>
      </c>
      <c r="I2165">
        <v>20.75</v>
      </c>
      <c r="J2165">
        <v>20.75</v>
      </c>
      <c r="K2165" t="s">
        <v>21</v>
      </c>
      <c r="L2165" t="s">
        <v>33</v>
      </c>
      <c r="M2165" t="s">
        <v>82</v>
      </c>
      <c r="N2165" t="s">
        <v>83</v>
      </c>
    </row>
    <row r="2166" spans="1:14" x14ac:dyDescent="0.3">
      <c r="A2166">
        <v>2165</v>
      </c>
      <c r="B2166">
        <v>963</v>
      </c>
      <c r="C2166">
        <f>1/COUNTIF(pizza_sales[[#All],[order_id]],pizza_sales[[#This Row],[order_id]])</f>
        <v>0.33333333333333331</v>
      </c>
      <c r="D2166" t="s">
        <v>121</v>
      </c>
      <c r="E2166">
        <v>1</v>
      </c>
      <c r="F2166" s="1">
        <v>42020</v>
      </c>
      <c r="G2166" s="1" t="str">
        <f>TEXT(pizza_sales[[#This Row],[order_date]],"dddd")</f>
        <v>Friday</v>
      </c>
      <c r="H2166" s="2">
        <v>36526.83797453704</v>
      </c>
      <c r="I2166">
        <v>16.25</v>
      </c>
      <c r="J2166">
        <v>16.25</v>
      </c>
      <c r="K2166" t="s">
        <v>13</v>
      </c>
      <c r="L2166" t="s">
        <v>26</v>
      </c>
      <c r="M2166" t="s">
        <v>114</v>
      </c>
      <c r="N2166" t="s">
        <v>115</v>
      </c>
    </row>
    <row r="2167" spans="1:14" x14ac:dyDescent="0.3">
      <c r="A2167">
        <v>2166</v>
      </c>
      <c r="B2167">
        <v>964</v>
      </c>
      <c r="C2167">
        <f>1/COUNTIF(pizza_sales[[#All],[order_id]],pizza_sales[[#This Row],[order_id]])</f>
        <v>0.5</v>
      </c>
      <c r="D2167" t="s">
        <v>84</v>
      </c>
      <c r="E2167">
        <v>1</v>
      </c>
      <c r="F2167" s="1">
        <v>42020</v>
      </c>
      <c r="G2167" s="1" t="str">
        <f>TEXT(pizza_sales[[#This Row],[order_date]],"dddd")</f>
        <v>Friday</v>
      </c>
      <c r="H2167" s="2">
        <v>36526.850428240738</v>
      </c>
      <c r="I2167">
        <v>12</v>
      </c>
      <c r="J2167">
        <v>12</v>
      </c>
      <c r="K2167" t="s">
        <v>41</v>
      </c>
      <c r="L2167" t="s">
        <v>14</v>
      </c>
      <c r="M2167" t="s">
        <v>85</v>
      </c>
      <c r="N2167" t="s">
        <v>86</v>
      </c>
    </row>
    <row r="2168" spans="1:14" x14ac:dyDescent="0.3">
      <c r="A2168">
        <v>2167</v>
      </c>
      <c r="B2168">
        <v>964</v>
      </c>
      <c r="C2168">
        <f>1/COUNTIF(pizza_sales[[#All],[order_id]],pizza_sales[[#This Row],[order_id]])</f>
        <v>0.5</v>
      </c>
      <c r="D2168" t="s">
        <v>99</v>
      </c>
      <c r="E2168">
        <v>1</v>
      </c>
      <c r="F2168" s="1">
        <v>42020</v>
      </c>
      <c r="G2168" s="1" t="str">
        <f>TEXT(pizza_sales[[#This Row],[order_date]],"dddd")</f>
        <v>Friday</v>
      </c>
      <c r="H2168" s="2">
        <v>36526.850428240738</v>
      </c>
      <c r="I2168">
        <v>14.75</v>
      </c>
      <c r="J2168">
        <v>14.75</v>
      </c>
      <c r="K2168" t="s">
        <v>13</v>
      </c>
      <c r="L2168" t="s">
        <v>22</v>
      </c>
      <c r="M2168" t="s">
        <v>91</v>
      </c>
      <c r="N2168" t="s">
        <v>92</v>
      </c>
    </row>
    <row r="2169" spans="1:14" x14ac:dyDescent="0.3">
      <c r="A2169">
        <v>2168</v>
      </c>
      <c r="B2169">
        <v>965</v>
      </c>
      <c r="C2169">
        <f>1/COUNTIF(pizza_sales[[#All],[order_id]],pizza_sales[[#This Row],[order_id]])</f>
        <v>0.25</v>
      </c>
      <c r="D2169" t="s">
        <v>51</v>
      </c>
      <c r="E2169">
        <v>1</v>
      </c>
      <c r="F2169" s="1">
        <v>42020</v>
      </c>
      <c r="G2169" s="1" t="str">
        <f>TEXT(pizza_sales[[#This Row],[order_date]],"dddd")</f>
        <v>Friday</v>
      </c>
      <c r="H2169" s="2">
        <v>36526.861828703702</v>
      </c>
      <c r="I2169">
        <v>12</v>
      </c>
      <c r="J2169">
        <v>12</v>
      </c>
      <c r="K2169" t="s">
        <v>41</v>
      </c>
      <c r="L2169" t="s">
        <v>22</v>
      </c>
      <c r="M2169" t="s">
        <v>52</v>
      </c>
      <c r="N2169" t="s">
        <v>53</v>
      </c>
    </row>
    <row r="2170" spans="1:14" x14ac:dyDescent="0.3">
      <c r="A2170">
        <v>2169</v>
      </c>
      <c r="B2170">
        <v>965</v>
      </c>
      <c r="C2170">
        <f>1/COUNTIF(pizza_sales[[#All],[order_id]],pizza_sales[[#This Row],[order_id]])</f>
        <v>0.25</v>
      </c>
      <c r="D2170" t="s">
        <v>59</v>
      </c>
      <c r="E2170">
        <v>1</v>
      </c>
      <c r="F2170" s="1">
        <v>42020</v>
      </c>
      <c r="G2170" s="1" t="str">
        <f>TEXT(pizza_sales[[#This Row],[order_date]],"dddd")</f>
        <v>Friday</v>
      </c>
      <c r="H2170" s="2">
        <v>36526.861828703702</v>
      </c>
      <c r="I2170">
        <v>20.75</v>
      </c>
      <c r="J2170">
        <v>20.75</v>
      </c>
      <c r="K2170" t="s">
        <v>21</v>
      </c>
      <c r="L2170" t="s">
        <v>26</v>
      </c>
      <c r="M2170" t="s">
        <v>60</v>
      </c>
      <c r="N2170" t="s">
        <v>61</v>
      </c>
    </row>
    <row r="2171" spans="1:14" x14ac:dyDescent="0.3">
      <c r="A2171">
        <v>2170</v>
      </c>
      <c r="B2171">
        <v>965</v>
      </c>
      <c r="C2171">
        <f>1/COUNTIF(pizza_sales[[#All],[order_id]],pizza_sales[[#This Row],[order_id]])</f>
        <v>0.25</v>
      </c>
      <c r="D2171" t="s">
        <v>162</v>
      </c>
      <c r="E2171">
        <v>1</v>
      </c>
      <c r="F2171" s="1">
        <v>42020</v>
      </c>
      <c r="G2171" s="1" t="str">
        <f>TEXT(pizza_sales[[#This Row],[order_date]],"dddd")</f>
        <v>Friday</v>
      </c>
      <c r="H2171" s="2">
        <v>36526.861828703702</v>
      </c>
      <c r="I2171">
        <v>16</v>
      </c>
      <c r="J2171">
        <v>16</v>
      </c>
      <c r="K2171" t="s">
        <v>13</v>
      </c>
      <c r="L2171" t="s">
        <v>22</v>
      </c>
      <c r="M2171" t="s">
        <v>110</v>
      </c>
      <c r="N2171" t="s">
        <v>111</v>
      </c>
    </row>
    <row r="2172" spans="1:14" x14ac:dyDescent="0.3">
      <c r="A2172">
        <v>2171</v>
      </c>
      <c r="B2172">
        <v>965</v>
      </c>
      <c r="C2172">
        <f>1/COUNTIF(pizza_sales[[#All],[order_id]],pizza_sales[[#This Row],[order_id]])</f>
        <v>0.25</v>
      </c>
      <c r="D2172" t="s">
        <v>137</v>
      </c>
      <c r="E2172">
        <v>1</v>
      </c>
      <c r="F2172" s="1">
        <v>42020</v>
      </c>
      <c r="G2172" s="1" t="str">
        <f>TEXT(pizza_sales[[#This Row],[order_date]],"dddd")</f>
        <v>Friday</v>
      </c>
      <c r="H2172" s="2">
        <v>36526.861828703702</v>
      </c>
      <c r="I2172">
        <v>16.75</v>
      </c>
      <c r="J2172">
        <v>16.75</v>
      </c>
      <c r="K2172" t="s">
        <v>13</v>
      </c>
      <c r="L2172" t="s">
        <v>33</v>
      </c>
      <c r="M2172" t="s">
        <v>34</v>
      </c>
      <c r="N2172" t="s">
        <v>35</v>
      </c>
    </row>
    <row r="2173" spans="1:14" x14ac:dyDescent="0.3">
      <c r="A2173">
        <v>2172</v>
      </c>
      <c r="B2173">
        <v>966</v>
      </c>
      <c r="C2173">
        <f>1/COUNTIF(pizza_sales[[#All],[order_id]],pizza_sales[[#This Row],[order_id]])</f>
        <v>0.5</v>
      </c>
      <c r="D2173" t="s">
        <v>149</v>
      </c>
      <c r="E2173">
        <v>1</v>
      </c>
      <c r="F2173" s="1">
        <v>42020</v>
      </c>
      <c r="G2173" s="1" t="str">
        <f>TEXT(pizza_sales[[#This Row],[order_date]],"dddd")</f>
        <v>Friday</v>
      </c>
      <c r="H2173" s="2">
        <v>36526.874502314815</v>
      </c>
      <c r="I2173">
        <v>12.25</v>
      </c>
      <c r="J2173">
        <v>12.25</v>
      </c>
      <c r="K2173" t="s">
        <v>41</v>
      </c>
      <c r="L2173" t="s">
        <v>26</v>
      </c>
      <c r="M2173" t="s">
        <v>114</v>
      </c>
      <c r="N2173" t="s">
        <v>115</v>
      </c>
    </row>
    <row r="2174" spans="1:14" x14ac:dyDescent="0.3">
      <c r="A2174">
        <v>2173</v>
      </c>
      <c r="B2174">
        <v>966</v>
      </c>
      <c r="C2174">
        <f>1/COUNTIF(pizza_sales[[#All],[order_id]],pizza_sales[[#This Row],[order_id]])</f>
        <v>0.5</v>
      </c>
      <c r="D2174" t="s">
        <v>109</v>
      </c>
      <c r="E2174">
        <v>1</v>
      </c>
      <c r="F2174" s="1">
        <v>42020</v>
      </c>
      <c r="G2174" s="1" t="str">
        <f>TEXT(pizza_sales[[#This Row],[order_date]],"dddd")</f>
        <v>Friday</v>
      </c>
      <c r="H2174" s="2">
        <v>36526.874502314815</v>
      </c>
      <c r="I2174">
        <v>20.25</v>
      </c>
      <c r="J2174">
        <v>20.25</v>
      </c>
      <c r="K2174" t="s">
        <v>21</v>
      </c>
      <c r="L2174" t="s">
        <v>22</v>
      </c>
      <c r="M2174" t="s">
        <v>110</v>
      </c>
      <c r="N2174" t="s">
        <v>111</v>
      </c>
    </row>
    <row r="2175" spans="1:14" x14ac:dyDescent="0.3">
      <c r="A2175">
        <v>2174</v>
      </c>
      <c r="B2175">
        <v>967</v>
      </c>
      <c r="C2175">
        <f>1/COUNTIF(pizza_sales[[#All],[order_id]],pizza_sales[[#This Row],[order_id]])</f>
        <v>1</v>
      </c>
      <c r="D2175" t="s">
        <v>103</v>
      </c>
      <c r="E2175">
        <v>1</v>
      </c>
      <c r="F2175" s="1">
        <v>42020</v>
      </c>
      <c r="G2175" s="1" t="str">
        <f>TEXT(pizza_sales[[#This Row],[order_date]],"dddd")</f>
        <v>Friday</v>
      </c>
      <c r="H2175" s="2">
        <v>36526.877465277779</v>
      </c>
      <c r="I2175">
        <v>16</v>
      </c>
      <c r="J2175">
        <v>16</v>
      </c>
      <c r="K2175" t="s">
        <v>13</v>
      </c>
      <c r="L2175" t="s">
        <v>22</v>
      </c>
      <c r="M2175" t="s">
        <v>104</v>
      </c>
      <c r="N2175" t="s">
        <v>105</v>
      </c>
    </row>
    <row r="2176" spans="1:14" x14ac:dyDescent="0.3">
      <c r="A2176">
        <v>2175</v>
      </c>
      <c r="B2176">
        <v>968</v>
      </c>
      <c r="C2176">
        <f>1/COUNTIF(pizza_sales[[#All],[order_id]],pizza_sales[[#This Row],[order_id]])</f>
        <v>0.5</v>
      </c>
      <c r="D2176" t="s">
        <v>132</v>
      </c>
      <c r="E2176">
        <v>1</v>
      </c>
      <c r="F2176" s="1">
        <v>42020</v>
      </c>
      <c r="G2176" s="1" t="str">
        <f>TEXT(pizza_sales[[#This Row],[order_date]],"dddd")</f>
        <v>Friday</v>
      </c>
      <c r="H2176" s="2">
        <v>36526.890983796293</v>
      </c>
      <c r="I2176">
        <v>10.5</v>
      </c>
      <c r="J2176">
        <v>10.5</v>
      </c>
      <c r="K2176" t="s">
        <v>41</v>
      </c>
      <c r="L2176" t="s">
        <v>14</v>
      </c>
      <c r="M2176" t="s">
        <v>15</v>
      </c>
      <c r="N2176" t="s">
        <v>16</v>
      </c>
    </row>
    <row r="2177" spans="1:14" x14ac:dyDescent="0.3">
      <c r="A2177">
        <v>2176</v>
      </c>
      <c r="B2177">
        <v>968</v>
      </c>
      <c r="C2177">
        <f>1/COUNTIF(pizza_sales[[#All],[order_id]],pizza_sales[[#This Row],[order_id]])</f>
        <v>0.5</v>
      </c>
      <c r="D2177" t="s">
        <v>160</v>
      </c>
      <c r="E2177">
        <v>1</v>
      </c>
      <c r="F2177" s="1">
        <v>42020</v>
      </c>
      <c r="G2177" s="1" t="str">
        <f>TEXT(pizza_sales[[#This Row],[order_date]],"dddd")</f>
        <v>Friday</v>
      </c>
      <c r="H2177" s="2">
        <v>36526.890983796293</v>
      </c>
      <c r="I2177">
        <v>12</v>
      </c>
      <c r="J2177">
        <v>12</v>
      </c>
      <c r="K2177" t="s">
        <v>41</v>
      </c>
      <c r="L2177" t="s">
        <v>14</v>
      </c>
      <c r="M2177" t="s">
        <v>55</v>
      </c>
      <c r="N2177" t="s">
        <v>56</v>
      </c>
    </row>
    <row r="2178" spans="1:14" x14ac:dyDescent="0.3">
      <c r="A2178">
        <v>2177</v>
      </c>
      <c r="B2178">
        <v>969</v>
      </c>
      <c r="C2178">
        <f>1/COUNTIF(pizza_sales[[#All],[order_id]],pizza_sales[[#This Row],[order_id]])</f>
        <v>1</v>
      </c>
      <c r="D2178" t="s">
        <v>29</v>
      </c>
      <c r="E2178">
        <v>1</v>
      </c>
      <c r="F2178" s="1">
        <v>42020</v>
      </c>
      <c r="G2178" s="1" t="str">
        <f>TEXT(pizza_sales[[#This Row],[order_date]],"dddd")</f>
        <v>Friday</v>
      </c>
      <c r="H2178" s="2">
        <v>36526.900219907409</v>
      </c>
      <c r="I2178">
        <v>16</v>
      </c>
      <c r="J2178">
        <v>16</v>
      </c>
      <c r="K2178" t="s">
        <v>13</v>
      </c>
      <c r="L2178" t="s">
        <v>22</v>
      </c>
      <c r="M2178" t="s">
        <v>30</v>
      </c>
      <c r="N2178" t="s">
        <v>31</v>
      </c>
    </row>
    <row r="2179" spans="1:14" x14ac:dyDescent="0.3">
      <c r="A2179">
        <v>2178</v>
      </c>
      <c r="B2179">
        <v>970</v>
      </c>
      <c r="C2179">
        <f>1/COUNTIF(pizza_sales[[#All],[order_id]],pizza_sales[[#This Row],[order_id]])</f>
        <v>0.5</v>
      </c>
      <c r="D2179" t="s">
        <v>17</v>
      </c>
      <c r="E2179">
        <v>1</v>
      </c>
      <c r="F2179" s="1">
        <v>42020</v>
      </c>
      <c r="G2179" s="1" t="str">
        <f>TEXT(pizza_sales[[#This Row],[order_date]],"dddd")</f>
        <v>Friday</v>
      </c>
      <c r="H2179" s="2">
        <v>36526.905960648146</v>
      </c>
      <c r="I2179">
        <v>16</v>
      </c>
      <c r="J2179">
        <v>16</v>
      </c>
      <c r="K2179" t="s">
        <v>13</v>
      </c>
      <c r="L2179" t="s">
        <v>14</v>
      </c>
      <c r="M2179" t="s">
        <v>18</v>
      </c>
      <c r="N2179" t="s">
        <v>19</v>
      </c>
    </row>
    <row r="2180" spans="1:14" x14ac:dyDescent="0.3">
      <c r="A2180">
        <v>2179</v>
      </c>
      <c r="B2180">
        <v>970</v>
      </c>
      <c r="C2180">
        <f>1/COUNTIF(pizza_sales[[#All],[order_id]],pizza_sales[[#This Row],[order_id]])</f>
        <v>0.5</v>
      </c>
      <c r="D2180" t="s">
        <v>59</v>
      </c>
      <c r="E2180">
        <v>1</v>
      </c>
      <c r="F2180" s="1">
        <v>42020</v>
      </c>
      <c r="G2180" s="1" t="str">
        <f>TEXT(pizza_sales[[#This Row],[order_date]],"dddd")</f>
        <v>Friday</v>
      </c>
      <c r="H2180" s="2">
        <v>36526.905960648146</v>
      </c>
      <c r="I2180">
        <v>20.75</v>
      </c>
      <c r="J2180">
        <v>20.75</v>
      </c>
      <c r="K2180" t="s">
        <v>21</v>
      </c>
      <c r="L2180" t="s">
        <v>26</v>
      </c>
      <c r="M2180" t="s">
        <v>60</v>
      </c>
      <c r="N2180" t="s">
        <v>61</v>
      </c>
    </row>
    <row r="2181" spans="1:14" x14ac:dyDescent="0.3">
      <c r="A2181">
        <v>2180</v>
      </c>
      <c r="B2181">
        <v>971</v>
      </c>
      <c r="C2181">
        <f>1/COUNTIF(pizza_sales[[#All],[order_id]],pizza_sales[[#This Row],[order_id]])</f>
        <v>0.25</v>
      </c>
      <c r="D2181" t="s">
        <v>134</v>
      </c>
      <c r="E2181">
        <v>1</v>
      </c>
      <c r="F2181" s="1">
        <v>42020</v>
      </c>
      <c r="G2181" s="1" t="str">
        <f>TEXT(pizza_sales[[#This Row],[order_date]],"dddd")</f>
        <v>Friday</v>
      </c>
      <c r="H2181" s="2">
        <v>36526.907175925924</v>
      </c>
      <c r="I2181">
        <v>16.75</v>
      </c>
      <c r="J2181">
        <v>16.75</v>
      </c>
      <c r="K2181" t="s">
        <v>13</v>
      </c>
      <c r="L2181" t="s">
        <v>33</v>
      </c>
      <c r="M2181" t="s">
        <v>124</v>
      </c>
      <c r="N2181" t="s">
        <v>125</v>
      </c>
    </row>
    <row r="2182" spans="1:14" x14ac:dyDescent="0.3">
      <c r="A2182">
        <v>2181</v>
      </c>
      <c r="B2182">
        <v>971</v>
      </c>
      <c r="C2182">
        <f>1/COUNTIF(pizza_sales[[#All],[order_id]],pizza_sales[[#This Row],[order_id]])</f>
        <v>0.25</v>
      </c>
      <c r="D2182" t="s">
        <v>17</v>
      </c>
      <c r="E2182">
        <v>1</v>
      </c>
      <c r="F2182" s="1">
        <v>42020</v>
      </c>
      <c r="G2182" s="1" t="str">
        <f>TEXT(pizza_sales[[#This Row],[order_date]],"dddd")</f>
        <v>Friday</v>
      </c>
      <c r="H2182" s="2">
        <v>36526.907175925924</v>
      </c>
      <c r="I2182">
        <v>16</v>
      </c>
      <c r="J2182">
        <v>16</v>
      </c>
      <c r="K2182" t="s">
        <v>13</v>
      </c>
      <c r="L2182" t="s">
        <v>14</v>
      </c>
      <c r="M2182" t="s">
        <v>18</v>
      </c>
      <c r="N2182" t="s">
        <v>19</v>
      </c>
    </row>
    <row r="2183" spans="1:14" x14ac:dyDescent="0.3">
      <c r="A2183">
        <v>2182</v>
      </c>
      <c r="B2183">
        <v>971</v>
      </c>
      <c r="C2183">
        <f>1/COUNTIF(pizza_sales[[#All],[order_id]],pizza_sales[[#This Row],[order_id]])</f>
        <v>0.25</v>
      </c>
      <c r="D2183" t="s">
        <v>25</v>
      </c>
      <c r="E2183">
        <v>1</v>
      </c>
      <c r="F2183" s="1">
        <v>42020</v>
      </c>
      <c r="G2183" s="1" t="str">
        <f>TEXT(pizza_sales[[#This Row],[order_date]],"dddd")</f>
        <v>Friday</v>
      </c>
      <c r="H2183" s="2">
        <v>36526.907175925924</v>
      </c>
      <c r="I2183">
        <v>20.75</v>
      </c>
      <c r="J2183">
        <v>20.75</v>
      </c>
      <c r="K2183" t="s">
        <v>21</v>
      </c>
      <c r="L2183" t="s">
        <v>26</v>
      </c>
      <c r="M2183" t="s">
        <v>27</v>
      </c>
      <c r="N2183" t="s">
        <v>28</v>
      </c>
    </row>
    <row r="2184" spans="1:14" x14ac:dyDescent="0.3">
      <c r="A2184">
        <v>2183</v>
      </c>
      <c r="B2184">
        <v>971</v>
      </c>
      <c r="C2184">
        <f>1/COUNTIF(pizza_sales[[#All],[order_id]],pizza_sales[[#This Row],[order_id]])</f>
        <v>0.25</v>
      </c>
      <c r="D2184" t="s">
        <v>113</v>
      </c>
      <c r="E2184">
        <v>1</v>
      </c>
      <c r="F2184" s="1">
        <v>42020</v>
      </c>
      <c r="G2184" s="1" t="str">
        <f>TEXT(pizza_sales[[#This Row],[order_date]],"dddd")</f>
        <v>Friday</v>
      </c>
      <c r="H2184" s="2">
        <v>36526.907175925924</v>
      </c>
      <c r="I2184">
        <v>20.25</v>
      </c>
      <c r="J2184">
        <v>20.25</v>
      </c>
      <c r="K2184" t="s">
        <v>21</v>
      </c>
      <c r="L2184" t="s">
        <v>26</v>
      </c>
      <c r="M2184" t="s">
        <v>114</v>
      </c>
      <c r="N2184" t="s">
        <v>115</v>
      </c>
    </row>
    <row r="2185" spans="1:14" x14ac:dyDescent="0.3">
      <c r="A2185">
        <v>2184</v>
      </c>
      <c r="B2185">
        <v>972</v>
      </c>
      <c r="C2185">
        <f>1/COUNTIF(pizza_sales[[#All],[order_id]],pizza_sales[[#This Row],[order_id]])</f>
        <v>0.5</v>
      </c>
      <c r="D2185" t="s">
        <v>77</v>
      </c>
      <c r="E2185">
        <v>1</v>
      </c>
      <c r="F2185" s="1">
        <v>42020</v>
      </c>
      <c r="G2185" s="1" t="str">
        <f>TEXT(pizza_sales[[#This Row],[order_date]],"dddd")</f>
        <v>Friday</v>
      </c>
      <c r="H2185" s="2">
        <v>36526.918854166666</v>
      </c>
      <c r="I2185">
        <v>15.25</v>
      </c>
      <c r="J2185">
        <v>15.25</v>
      </c>
      <c r="K2185" t="s">
        <v>21</v>
      </c>
      <c r="L2185" t="s">
        <v>14</v>
      </c>
      <c r="M2185" t="s">
        <v>78</v>
      </c>
      <c r="N2185" t="s">
        <v>79</v>
      </c>
    </row>
    <row r="2186" spans="1:14" x14ac:dyDescent="0.3">
      <c r="A2186">
        <v>2185</v>
      </c>
      <c r="B2186">
        <v>972</v>
      </c>
      <c r="C2186">
        <f>1/COUNTIF(pizza_sales[[#All],[order_id]],pizza_sales[[#This Row],[order_id]])</f>
        <v>0.5</v>
      </c>
      <c r="D2186" t="s">
        <v>126</v>
      </c>
      <c r="E2186">
        <v>1</v>
      </c>
      <c r="F2186" s="1">
        <v>42020</v>
      </c>
      <c r="G2186" s="1" t="str">
        <f>TEXT(pizza_sales[[#This Row],[order_date]],"dddd")</f>
        <v>Friday</v>
      </c>
      <c r="H2186" s="2">
        <v>36526.918854166666</v>
      </c>
      <c r="I2186">
        <v>9.75</v>
      </c>
      <c r="J2186">
        <v>9.75</v>
      </c>
      <c r="K2186" t="s">
        <v>41</v>
      </c>
      <c r="L2186" t="s">
        <v>14</v>
      </c>
      <c r="M2186" t="s">
        <v>78</v>
      </c>
      <c r="N2186" t="s">
        <v>79</v>
      </c>
    </row>
    <row r="2187" spans="1:14" x14ac:dyDescent="0.3">
      <c r="A2187">
        <v>2186</v>
      </c>
      <c r="B2187">
        <v>973</v>
      </c>
      <c r="C2187">
        <f>1/COUNTIF(pizza_sales[[#All],[order_id]],pizza_sales[[#This Row],[order_id]])</f>
        <v>1</v>
      </c>
      <c r="D2187" t="s">
        <v>68</v>
      </c>
      <c r="E2187">
        <v>1</v>
      </c>
      <c r="F2187" s="1">
        <v>42020</v>
      </c>
      <c r="G2187" s="1" t="str">
        <f>TEXT(pizza_sales[[#This Row],[order_date]],"dddd")</f>
        <v>Friday</v>
      </c>
      <c r="H2187" s="2">
        <v>36526.920925925922</v>
      </c>
      <c r="I2187">
        <v>20.25</v>
      </c>
      <c r="J2187">
        <v>20.25</v>
      </c>
      <c r="K2187" t="s">
        <v>21</v>
      </c>
      <c r="L2187" t="s">
        <v>22</v>
      </c>
      <c r="M2187" t="s">
        <v>30</v>
      </c>
      <c r="N2187" t="s">
        <v>31</v>
      </c>
    </row>
    <row r="2188" spans="1:14" x14ac:dyDescent="0.3">
      <c r="A2188">
        <v>2187</v>
      </c>
      <c r="B2188">
        <v>974</v>
      </c>
      <c r="C2188">
        <f>1/COUNTIF(pizza_sales[[#All],[order_id]],pizza_sales[[#This Row],[order_id]])</f>
        <v>1</v>
      </c>
      <c r="D2188" t="s">
        <v>50</v>
      </c>
      <c r="E2188">
        <v>1</v>
      </c>
      <c r="F2188" s="1">
        <v>42020</v>
      </c>
      <c r="G2188" s="1" t="str">
        <f>TEXT(pizza_sales[[#This Row],[order_date]],"dddd")</f>
        <v>Friday</v>
      </c>
      <c r="H2188" s="2">
        <v>36526.921446759261</v>
      </c>
      <c r="I2188">
        <v>12</v>
      </c>
      <c r="J2188">
        <v>12</v>
      </c>
      <c r="K2188" t="s">
        <v>41</v>
      </c>
      <c r="L2188" t="s">
        <v>14</v>
      </c>
      <c r="M2188" t="s">
        <v>18</v>
      </c>
      <c r="N2188" t="s">
        <v>19</v>
      </c>
    </row>
    <row r="2189" spans="1:14" x14ac:dyDescent="0.3">
      <c r="A2189">
        <v>2188</v>
      </c>
      <c r="B2189">
        <v>975</v>
      </c>
      <c r="C2189">
        <f>1/COUNTIF(pizza_sales[[#All],[order_id]],pizza_sales[[#This Row],[order_id]])</f>
        <v>0.5</v>
      </c>
      <c r="D2189" t="s">
        <v>128</v>
      </c>
      <c r="E2189">
        <v>1</v>
      </c>
      <c r="F2189" s="1">
        <v>42020</v>
      </c>
      <c r="G2189" s="1" t="str">
        <f>TEXT(pizza_sales[[#This Row],[order_date]],"dddd")</f>
        <v>Friday</v>
      </c>
      <c r="H2189" s="2">
        <v>36526.923854166664</v>
      </c>
      <c r="I2189">
        <v>16</v>
      </c>
      <c r="J2189">
        <v>16</v>
      </c>
      <c r="K2189" t="s">
        <v>13</v>
      </c>
      <c r="L2189" t="s">
        <v>22</v>
      </c>
      <c r="M2189" t="s">
        <v>52</v>
      </c>
      <c r="N2189" t="s">
        <v>53</v>
      </c>
    </row>
    <row r="2190" spans="1:14" x14ac:dyDescent="0.3">
      <c r="A2190">
        <v>2189</v>
      </c>
      <c r="B2190">
        <v>975</v>
      </c>
      <c r="C2190">
        <f>1/COUNTIF(pizza_sales[[#All],[order_id]],pizza_sales[[#This Row],[order_id]])</f>
        <v>0.5</v>
      </c>
      <c r="D2190" t="s">
        <v>146</v>
      </c>
      <c r="E2190">
        <v>1</v>
      </c>
      <c r="F2190" s="1">
        <v>42020</v>
      </c>
      <c r="G2190" s="1" t="str">
        <f>TEXT(pizza_sales[[#This Row],[order_date]],"dddd")</f>
        <v>Friday</v>
      </c>
      <c r="H2190" s="2">
        <v>36526.923854166664</v>
      </c>
      <c r="I2190">
        <v>20.25</v>
      </c>
      <c r="J2190">
        <v>20.25</v>
      </c>
      <c r="K2190" t="s">
        <v>21</v>
      </c>
      <c r="L2190" t="s">
        <v>22</v>
      </c>
      <c r="M2190" t="s">
        <v>104</v>
      </c>
      <c r="N2190" t="s">
        <v>105</v>
      </c>
    </row>
    <row r="2191" spans="1:14" x14ac:dyDescent="0.3">
      <c r="A2191">
        <v>2190</v>
      </c>
      <c r="B2191">
        <v>976</v>
      </c>
      <c r="C2191">
        <f>1/COUNTIF(pizza_sales[[#All],[order_id]],pizza_sales[[#This Row],[order_id]])</f>
        <v>1</v>
      </c>
      <c r="D2191" t="s">
        <v>77</v>
      </c>
      <c r="E2191">
        <v>1</v>
      </c>
      <c r="F2191" s="1">
        <v>42021</v>
      </c>
      <c r="G2191" s="1" t="str">
        <f>TEXT(pizza_sales[[#This Row],[order_date]],"dddd")</f>
        <v>Saturday</v>
      </c>
      <c r="H2191" s="2">
        <v>36526.495358796295</v>
      </c>
      <c r="I2191">
        <v>15.25</v>
      </c>
      <c r="J2191">
        <v>15.25</v>
      </c>
      <c r="K2191" t="s">
        <v>21</v>
      </c>
      <c r="L2191" t="s">
        <v>14</v>
      </c>
      <c r="M2191" t="s">
        <v>78</v>
      </c>
      <c r="N2191" t="s">
        <v>79</v>
      </c>
    </row>
    <row r="2192" spans="1:14" x14ac:dyDescent="0.3">
      <c r="A2192">
        <v>2191</v>
      </c>
      <c r="B2192">
        <v>977</v>
      </c>
      <c r="C2192">
        <f>1/COUNTIF(pizza_sales[[#All],[order_id]],pizza_sales[[#This Row],[order_id]])</f>
        <v>0.5</v>
      </c>
      <c r="D2192" t="s">
        <v>148</v>
      </c>
      <c r="E2192">
        <v>1</v>
      </c>
      <c r="F2192" s="1">
        <v>42021</v>
      </c>
      <c r="G2192" s="1" t="str">
        <f>TEXT(pizza_sales[[#This Row],[order_date]],"dddd")</f>
        <v>Saturday</v>
      </c>
      <c r="H2192" s="2">
        <v>36526.50136574074</v>
      </c>
      <c r="I2192">
        <v>14.5</v>
      </c>
      <c r="J2192">
        <v>14.5</v>
      </c>
      <c r="K2192" t="s">
        <v>13</v>
      </c>
      <c r="L2192" t="s">
        <v>14</v>
      </c>
      <c r="M2192" t="s">
        <v>130</v>
      </c>
      <c r="N2192" t="s">
        <v>131</v>
      </c>
    </row>
    <row r="2193" spans="1:14" x14ac:dyDescent="0.3">
      <c r="A2193">
        <v>2192</v>
      </c>
      <c r="B2193">
        <v>977</v>
      </c>
      <c r="C2193">
        <f>1/COUNTIF(pizza_sales[[#All],[order_id]],pizza_sales[[#This Row],[order_id]])</f>
        <v>0.5</v>
      </c>
      <c r="D2193" t="s">
        <v>32</v>
      </c>
      <c r="E2193">
        <v>1</v>
      </c>
      <c r="F2193" s="1">
        <v>42021</v>
      </c>
      <c r="G2193" s="1" t="str">
        <f>TEXT(pizza_sales[[#This Row],[order_date]],"dddd")</f>
        <v>Saturday</v>
      </c>
      <c r="H2193" s="2">
        <v>36526.50136574074</v>
      </c>
      <c r="I2193">
        <v>20.75</v>
      </c>
      <c r="J2193">
        <v>20.75</v>
      </c>
      <c r="K2193" t="s">
        <v>21</v>
      </c>
      <c r="L2193" t="s">
        <v>33</v>
      </c>
      <c r="M2193" t="s">
        <v>34</v>
      </c>
      <c r="N2193" t="s">
        <v>35</v>
      </c>
    </row>
    <row r="2194" spans="1:14" x14ac:dyDescent="0.3">
      <c r="A2194">
        <v>2193</v>
      </c>
      <c r="B2194">
        <v>978</v>
      </c>
      <c r="C2194">
        <f>1/COUNTIF(pizza_sales[[#All],[order_id]],pizza_sales[[#This Row],[order_id]])</f>
        <v>9.0909090909090912E-2</v>
      </c>
      <c r="D2194" t="s">
        <v>40</v>
      </c>
      <c r="E2194">
        <v>1</v>
      </c>
      <c r="F2194" s="1">
        <v>42021</v>
      </c>
      <c r="G2194" s="1" t="str">
        <f>TEXT(pizza_sales[[#This Row],[order_date]],"dddd")</f>
        <v>Saturday</v>
      </c>
      <c r="H2194" s="2">
        <v>36526.517083333332</v>
      </c>
      <c r="I2194">
        <v>12.75</v>
      </c>
      <c r="J2194">
        <v>12.75</v>
      </c>
      <c r="K2194" t="s">
        <v>41</v>
      </c>
      <c r="L2194" t="s">
        <v>33</v>
      </c>
      <c r="M2194" t="s">
        <v>42</v>
      </c>
      <c r="N2194" t="s">
        <v>43</v>
      </c>
    </row>
    <row r="2195" spans="1:14" x14ac:dyDescent="0.3">
      <c r="A2195">
        <v>2194</v>
      </c>
      <c r="B2195">
        <v>978</v>
      </c>
      <c r="C2195">
        <f>1/COUNTIF(pizza_sales[[#All],[order_id]],pizza_sales[[#This Row],[order_id]])</f>
        <v>9.0909090909090912E-2</v>
      </c>
      <c r="D2195" t="s">
        <v>84</v>
      </c>
      <c r="E2195">
        <v>1</v>
      </c>
      <c r="F2195" s="1">
        <v>42021</v>
      </c>
      <c r="G2195" s="1" t="str">
        <f>TEXT(pizza_sales[[#This Row],[order_date]],"dddd")</f>
        <v>Saturday</v>
      </c>
      <c r="H2195" s="2">
        <v>36526.517083333332</v>
      </c>
      <c r="I2195">
        <v>12</v>
      </c>
      <c r="J2195">
        <v>12</v>
      </c>
      <c r="K2195" t="s">
        <v>41</v>
      </c>
      <c r="L2195" t="s">
        <v>14</v>
      </c>
      <c r="M2195" t="s">
        <v>85</v>
      </c>
      <c r="N2195" t="s">
        <v>86</v>
      </c>
    </row>
    <row r="2196" spans="1:14" x14ac:dyDescent="0.3">
      <c r="A2196">
        <v>2195</v>
      </c>
      <c r="B2196">
        <v>978</v>
      </c>
      <c r="C2196">
        <f>1/COUNTIF(pizza_sales[[#All],[order_id]],pizza_sales[[#This Row],[order_id]])</f>
        <v>9.0909090909090912E-2</v>
      </c>
      <c r="D2196" t="s">
        <v>165</v>
      </c>
      <c r="E2196">
        <v>2</v>
      </c>
      <c r="F2196" s="1">
        <v>42021</v>
      </c>
      <c r="G2196" s="1" t="str">
        <f>TEXT(pizza_sales[[#This Row],[order_date]],"dddd")</f>
        <v>Saturday</v>
      </c>
      <c r="H2196" s="2">
        <v>36526.517083333332</v>
      </c>
      <c r="I2196">
        <v>23.65</v>
      </c>
      <c r="J2196">
        <v>47.3</v>
      </c>
      <c r="K2196" t="s">
        <v>41</v>
      </c>
      <c r="L2196" t="s">
        <v>26</v>
      </c>
      <c r="M2196" t="s">
        <v>166</v>
      </c>
      <c r="N2196" t="s">
        <v>167</v>
      </c>
    </row>
    <row r="2197" spans="1:14" x14ac:dyDescent="0.3">
      <c r="A2197">
        <v>2196</v>
      </c>
      <c r="B2197">
        <v>978</v>
      </c>
      <c r="C2197">
        <f>1/COUNTIF(pizza_sales[[#All],[order_id]],pizza_sales[[#This Row],[order_id]])</f>
        <v>9.0909090909090912E-2</v>
      </c>
      <c r="D2197" t="s">
        <v>142</v>
      </c>
      <c r="E2197">
        <v>1</v>
      </c>
      <c r="F2197" s="1">
        <v>42021</v>
      </c>
      <c r="G2197" s="1" t="str">
        <f>TEXT(pizza_sales[[#This Row],[order_date]],"dddd")</f>
        <v>Saturday</v>
      </c>
      <c r="H2197" s="2">
        <v>36526.517083333332</v>
      </c>
      <c r="I2197">
        <v>16.5</v>
      </c>
      <c r="J2197">
        <v>16.5</v>
      </c>
      <c r="K2197" t="s">
        <v>21</v>
      </c>
      <c r="L2197" t="s">
        <v>14</v>
      </c>
      <c r="M2197" t="s">
        <v>15</v>
      </c>
      <c r="N2197" t="s">
        <v>16</v>
      </c>
    </row>
    <row r="2198" spans="1:14" x14ac:dyDescent="0.3">
      <c r="A2198">
        <v>2197</v>
      </c>
      <c r="B2198">
        <v>978</v>
      </c>
      <c r="C2198">
        <f>1/COUNTIF(pizza_sales[[#All],[order_id]],pizza_sales[[#This Row],[order_id]])</f>
        <v>9.0909090909090912E-2</v>
      </c>
      <c r="D2198" t="s">
        <v>132</v>
      </c>
      <c r="E2198">
        <v>1</v>
      </c>
      <c r="F2198" s="1">
        <v>42021</v>
      </c>
      <c r="G2198" s="1" t="str">
        <f>TEXT(pizza_sales[[#This Row],[order_date]],"dddd")</f>
        <v>Saturday</v>
      </c>
      <c r="H2198" s="2">
        <v>36526.517083333332</v>
      </c>
      <c r="I2198">
        <v>10.5</v>
      </c>
      <c r="J2198">
        <v>10.5</v>
      </c>
      <c r="K2198" t="s">
        <v>41</v>
      </c>
      <c r="L2198" t="s">
        <v>14</v>
      </c>
      <c r="M2198" t="s">
        <v>15</v>
      </c>
      <c r="N2198" t="s">
        <v>16</v>
      </c>
    </row>
    <row r="2199" spans="1:14" x14ac:dyDescent="0.3">
      <c r="A2199">
        <v>2198</v>
      </c>
      <c r="B2199">
        <v>978</v>
      </c>
      <c r="C2199">
        <f>1/COUNTIF(pizza_sales[[#All],[order_id]],pizza_sales[[#This Row],[order_id]])</f>
        <v>9.0909090909090912E-2</v>
      </c>
      <c r="D2199" t="s">
        <v>25</v>
      </c>
      <c r="E2199">
        <v>1</v>
      </c>
      <c r="F2199" s="1">
        <v>42021</v>
      </c>
      <c r="G2199" s="1" t="str">
        <f>TEXT(pizza_sales[[#This Row],[order_date]],"dddd")</f>
        <v>Saturday</v>
      </c>
      <c r="H2199" s="2">
        <v>36526.517083333332</v>
      </c>
      <c r="I2199">
        <v>20.75</v>
      </c>
      <c r="J2199">
        <v>20.75</v>
      </c>
      <c r="K2199" t="s">
        <v>21</v>
      </c>
      <c r="L2199" t="s">
        <v>26</v>
      </c>
      <c r="M2199" t="s">
        <v>27</v>
      </c>
      <c r="N2199" t="s">
        <v>28</v>
      </c>
    </row>
    <row r="2200" spans="1:14" x14ac:dyDescent="0.3">
      <c r="A2200">
        <v>2199</v>
      </c>
      <c r="B2200">
        <v>978</v>
      </c>
      <c r="C2200">
        <f>1/COUNTIF(pizza_sales[[#All],[order_id]],pizza_sales[[#This Row],[order_id]])</f>
        <v>9.0909090909090912E-2</v>
      </c>
      <c r="D2200" t="s">
        <v>36</v>
      </c>
      <c r="E2200">
        <v>1</v>
      </c>
      <c r="F2200" s="1">
        <v>42021</v>
      </c>
      <c r="G2200" s="1" t="str">
        <f>TEXT(pizza_sales[[#This Row],[order_date]],"dddd")</f>
        <v>Saturday</v>
      </c>
      <c r="H2200" s="2">
        <v>36526.517083333332</v>
      </c>
      <c r="I2200">
        <v>16.5</v>
      </c>
      <c r="J2200">
        <v>16.5</v>
      </c>
      <c r="K2200" t="s">
        <v>13</v>
      </c>
      <c r="L2200" t="s">
        <v>26</v>
      </c>
      <c r="M2200" t="s">
        <v>27</v>
      </c>
      <c r="N2200" t="s">
        <v>28</v>
      </c>
    </row>
    <row r="2201" spans="1:14" x14ac:dyDescent="0.3">
      <c r="A2201">
        <v>2200</v>
      </c>
      <c r="B2201">
        <v>978</v>
      </c>
      <c r="C2201">
        <f>1/COUNTIF(pizza_sales[[#All],[order_id]],pizza_sales[[#This Row],[order_id]])</f>
        <v>9.0909090909090912E-2</v>
      </c>
      <c r="D2201" t="s">
        <v>146</v>
      </c>
      <c r="E2201">
        <v>1</v>
      </c>
      <c r="F2201" s="1">
        <v>42021</v>
      </c>
      <c r="G2201" s="1" t="str">
        <f>TEXT(pizza_sales[[#This Row],[order_date]],"dddd")</f>
        <v>Saturday</v>
      </c>
      <c r="H2201" s="2">
        <v>36526.517083333332</v>
      </c>
      <c r="I2201">
        <v>20.25</v>
      </c>
      <c r="J2201">
        <v>20.25</v>
      </c>
      <c r="K2201" t="s">
        <v>21</v>
      </c>
      <c r="L2201" t="s">
        <v>22</v>
      </c>
      <c r="M2201" t="s">
        <v>104</v>
      </c>
      <c r="N2201" t="s">
        <v>105</v>
      </c>
    </row>
    <row r="2202" spans="1:14" x14ac:dyDescent="0.3">
      <c r="A2202">
        <v>2201</v>
      </c>
      <c r="B2202">
        <v>978</v>
      </c>
      <c r="C2202">
        <f>1/COUNTIF(pizza_sales[[#All],[order_id]],pizza_sales[[#This Row],[order_id]])</f>
        <v>9.0909090909090912E-2</v>
      </c>
      <c r="D2202" t="s">
        <v>135</v>
      </c>
      <c r="E2202">
        <v>1</v>
      </c>
      <c r="F2202" s="1">
        <v>42021</v>
      </c>
      <c r="G2202" s="1" t="str">
        <f>TEXT(pizza_sales[[#This Row],[order_date]],"dddd")</f>
        <v>Saturday</v>
      </c>
      <c r="H2202" s="2">
        <v>36526.517083333332</v>
      </c>
      <c r="I2202">
        <v>20.75</v>
      </c>
      <c r="J2202">
        <v>20.75</v>
      </c>
      <c r="K2202" t="s">
        <v>21</v>
      </c>
      <c r="L2202" t="s">
        <v>26</v>
      </c>
      <c r="M2202" t="s">
        <v>107</v>
      </c>
      <c r="N2202" t="s">
        <v>108</v>
      </c>
    </row>
    <row r="2203" spans="1:14" x14ac:dyDescent="0.3">
      <c r="A2203">
        <v>2202</v>
      </c>
      <c r="B2203">
        <v>978</v>
      </c>
      <c r="C2203">
        <f>1/COUNTIF(pizza_sales[[#All],[order_id]],pizza_sales[[#This Row],[order_id]])</f>
        <v>9.0909090909090912E-2</v>
      </c>
      <c r="D2203" t="s">
        <v>150</v>
      </c>
      <c r="E2203">
        <v>1</v>
      </c>
      <c r="F2203" s="1">
        <v>42021</v>
      </c>
      <c r="G2203" s="1" t="str">
        <f>TEXT(pizza_sales[[#This Row],[order_date]],"dddd")</f>
        <v>Saturday</v>
      </c>
      <c r="H2203" s="2">
        <v>36526.517083333332</v>
      </c>
      <c r="I2203">
        <v>12.5</v>
      </c>
      <c r="J2203">
        <v>12.5</v>
      </c>
      <c r="K2203" t="s">
        <v>41</v>
      </c>
      <c r="L2203" t="s">
        <v>26</v>
      </c>
      <c r="M2203" t="s">
        <v>60</v>
      </c>
      <c r="N2203" t="s">
        <v>61</v>
      </c>
    </row>
    <row r="2204" spans="1:14" x14ac:dyDescent="0.3">
      <c r="A2204">
        <v>2203</v>
      </c>
      <c r="B2204">
        <v>978</v>
      </c>
      <c r="C2204">
        <f>1/COUNTIF(pizza_sales[[#All],[order_id]],pizza_sales[[#This Row],[order_id]])</f>
        <v>9.0909090909090912E-2</v>
      </c>
      <c r="D2204" t="s">
        <v>137</v>
      </c>
      <c r="E2204">
        <v>1</v>
      </c>
      <c r="F2204" s="1">
        <v>42021</v>
      </c>
      <c r="G2204" s="1" t="str">
        <f>TEXT(pizza_sales[[#This Row],[order_date]],"dddd")</f>
        <v>Saturday</v>
      </c>
      <c r="H2204" s="2">
        <v>36526.517083333332</v>
      </c>
      <c r="I2204">
        <v>16.75</v>
      </c>
      <c r="J2204">
        <v>16.75</v>
      </c>
      <c r="K2204" t="s">
        <v>13</v>
      </c>
      <c r="L2204" t="s">
        <v>33</v>
      </c>
      <c r="M2204" t="s">
        <v>34</v>
      </c>
      <c r="N2204" t="s">
        <v>35</v>
      </c>
    </row>
    <row r="2205" spans="1:14" x14ac:dyDescent="0.3">
      <c r="A2205">
        <v>2204</v>
      </c>
      <c r="B2205">
        <v>979</v>
      </c>
      <c r="C2205">
        <f>1/COUNTIF(pizza_sales[[#All],[order_id]],pizza_sales[[#This Row],[order_id]])</f>
        <v>1</v>
      </c>
      <c r="D2205" t="s">
        <v>164</v>
      </c>
      <c r="E2205">
        <v>1</v>
      </c>
      <c r="F2205" s="1">
        <v>42021</v>
      </c>
      <c r="G2205" s="1" t="str">
        <f>TEXT(pizza_sales[[#This Row],[order_date]],"dddd")</f>
        <v>Saturday</v>
      </c>
      <c r="H2205" s="2">
        <v>36526.539907407408</v>
      </c>
      <c r="I2205">
        <v>16.5</v>
      </c>
      <c r="J2205">
        <v>16.5</v>
      </c>
      <c r="K2205" t="s">
        <v>13</v>
      </c>
      <c r="L2205" t="s">
        <v>22</v>
      </c>
      <c r="M2205" t="s">
        <v>63</v>
      </c>
      <c r="N2205" t="s">
        <v>64</v>
      </c>
    </row>
    <row r="2206" spans="1:14" x14ac:dyDescent="0.3">
      <c r="A2206">
        <v>2205</v>
      </c>
      <c r="B2206">
        <v>980</v>
      </c>
      <c r="C2206">
        <f>1/COUNTIF(pizza_sales[[#All],[order_id]],pizza_sales[[#This Row],[order_id]])</f>
        <v>0.16666666666666666</v>
      </c>
      <c r="D2206" t="s">
        <v>73</v>
      </c>
      <c r="E2206">
        <v>1</v>
      </c>
      <c r="F2206" s="1">
        <v>42021</v>
      </c>
      <c r="G2206" s="1" t="str">
        <f>TEXT(pizza_sales[[#This Row],[order_date]],"dddd")</f>
        <v>Saturday</v>
      </c>
      <c r="H2206" s="2">
        <v>36526.540694444448</v>
      </c>
      <c r="I2206">
        <v>20.75</v>
      </c>
      <c r="J2206">
        <v>20.75</v>
      </c>
      <c r="K2206" t="s">
        <v>21</v>
      </c>
      <c r="L2206" t="s">
        <v>33</v>
      </c>
      <c r="M2206" t="s">
        <v>74</v>
      </c>
      <c r="N2206" t="s">
        <v>75</v>
      </c>
    </row>
    <row r="2207" spans="1:14" x14ac:dyDescent="0.3">
      <c r="A2207">
        <v>2206</v>
      </c>
      <c r="B2207">
        <v>980</v>
      </c>
      <c r="C2207">
        <f>1/COUNTIF(pizza_sales[[#All],[order_id]],pizza_sales[[#This Row],[order_id]])</f>
        <v>0.16666666666666666</v>
      </c>
      <c r="D2207" t="s">
        <v>93</v>
      </c>
      <c r="E2207">
        <v>1</v>
      </c>
      <c r="F2207" s="1">
        <v>42021</v>
      </c>
      <c r="G2207" s="1" t="str">
        <f>TEXT(pizza_sales[[#This Row],[order_date]],"dddd")</f>
        <v>Saturday</v>
      </c>
      <c r="H2207" s="2">
        <v>36526.540694444448</v>
      </c>
      <c r="I2207">
        <v>12</v>
      </c>
      <c r="J2207">
        <v>12</v>
      </c>
      <c r="K2207" t="s">
        <v>41</v>
      </c>
      <c r="L2207" t="s">
        <v>14</v>
      </c>
      <c r="M2207" t="s">
        <v>94</v>
      </c>
      <c r="N2207" t="s">
        <v>95</v>
      </c>
    </row>
    <row r="2208" spans="1:14" x14ac:dyDescent="0.3">
      <c r="A2208">
        <v>2207</v>
      </c>
      <c r="B2208">
        <v>980</v>
      </c>
      <c r="C2208">
        <f>1/COUNTIF(pizza_sales[[#All],[order_id]],pizza_sales[[#This Row],[order_id]])</f>
        <v>0.16666666666666666</v>
      </c>
      <c r="D2208" t="s">
        <v>113</v>
      </c>
      <c r="E2208">
        <v>1</v>
      </c>
      <c r="F2208" s="1">
        <v>42021</v>
      </c>
      <c r="G2208" s="1" t="str">
        <f>TEXT(pizza_sales[[#This Row],[order_date]],"dddd")</f>
        <v>Saturday</v>
      </c>
      <c r="H2208" s="2">
        <v>36526.540694444448</v>
      </c>
      <c r="I2208">
        <v>20.25</v>
      </c>
      <c r="J2208">
        <v>20.25</v>
      </c>
      <c r="K2208" t="s">
        <v>21</v>
      </c>
      <c r="L2208" t="s">
        <v>26</v>
      </c>
      <c r="M2208" t="s">
        <v>114</v>
      </c>
      <c r="N2208" t="s">
        <v>115</v>
      </c>
    </row>
    <row r="2209" spans="1:14" x14ac:dyDescent="0.3">
      <c r="A2209">
        <v>2208</v>
      </c>
      <c r="B2209">
        <v>980</v>
      </c>
      <c r="C2209">
        <f>1/COUNTIF(pizza_sales[[#All],[order_id]],pizza_sales[[#This Row],[order_id]])</f>
        <v>0.16666666666666666</v>
      </c>
      <c r="D2209" t="s">
        <v>47</v>
      </c>
      <c r="E2209">
        <v>1</v>
      </c>
      <c r="F2209" s="1">
        <v>42021</v>
      </c>
      <c r="G2209" s="1" t="str">
        <f>TEXT(pizza_sales[[#This Row],[order_date]],"dddd")</f>
        <v>Saturday</v>
      </c>
      <c r="H2209" s="2">
        <v>36526.540694444448</v>
      </c>
      <c r="I2209">
        <v>12.5</v>
      </c>
      <c r="J2209">
        <v>12.5</v>
      </c>
      <c r="K2209" t="s">
        <v>41</v>
      </c>
      <c r="L2209" t="s">
        <v>26</v>
      </c>
      <c r="M2209" t="s">
        <v>48</v>
      </c>
      <c r="N2209" t="s">
        <v>49</v>
      </c>
    </row>
    <row r="2210" spans="1:14" x14ac:dyDescent="0.3">
      <c r="A2210">
        <v>2209</v>
      </c>
      <c r="B2210">
        <v>980</v>
      </c>
      <c r="C2210">
        <f>1/COUNTIF(pizza_sales[[#All],[order_id]],pizza_sales[[#This Row],[order_id]])</f>
        <v>0.16666666666666666</v>
      </c>
      <c r="D2210" t="s">
        <v>32</v>
      </c>
      <c r="E2210">
        <v>1</v>
      </c>
      <c r="F2210" s="1">
        <v>42021</v>
      </c>
      <c r="G2210" s="1" t="str">
        <f>TEXT(pizza_sales[[#This Row],[order_date]],"dddd")</f>
        <v>Saturday</v>
      </c>
      <c r="H2210" s="2">
        <v>36526.540694444448</v>
      </c>
      <c r="I2210">
        <v>20.75</v>
      </c>
      <c r="J2210">
        <v>20.75</v>
      </c>
      <c r="K2210" t="s">
        <v>21</v>
      </c>
      <c r="L2210" t="s">
        <v>33</v>
      </c>
      <c r="M2210" t="s">
        <v>34</v>
      </c>
      <c r="N2210" t="s">
        <v>35</v>
      </c>
    </row>
    <row r="2211" spans="1:14" x14ac:dyDescent="0.3">
      <c r="A2211">
        <v>2210</v>
      </c>
      <c r="B2211">
        <v>980</v>
      </c>
      <c r="C2211">
        <f>1/COUNTIF(pizza_sales[[#All],[order_id]],pizza_sales[[#This Row],[order_id]])</f>
        <v>0.16666666666666666</v>
      </c>
      <c r="D2211" t="s">
        <v>137</v>
      </c>
      <c r="E2211">
        <v>1</v>
      </c>
      <c r="F2211" s="1">
        <v>42021</v>
      </c>
      <c r="G2211" s="1" t="str">
        <f>TEXT(pizza_sales[[#This Row],[order_date]],"dddd")</f>
        <v>Saturday</v>
      </c>
      <c r="H2211" s="2">
        <v>36526.540694444448</v>
      </c>
      <c r="I2211">
        <v>16.75</v>
      </c>
      <c r="J2211">
        <v>16.75</v>
      </c>
      <c r="K2211" t="s">
        <v>13</v>
      </c>
      <c r="L2211" t="s">
        <v>33</v>
      </c>
      <c r="M2211" t="s">
        <v>34</v>
      </c>
      <c r="N2211" t="s">
        <v>35</v>
      </c>
    </row>
    <row r="2212" spans="1:14" x14ac:dyDescent="0.3">
      <c r="A2212">
        <v>2211</v>
      </c>
      <c r="B2212">
        <v>981</v>
      </c>
      <c r="C2212">
        <f>1/COUNTIF(pizza_sales[[#All],[order_id]],pizza_sales[[#This Row],[order_id]])</f>
        <v>1</v>
      </c>
      <c r="D2212" t="s">
        <v>72</v>
      </c>
      <c r="E2212">
        <v>1</v>
      </c>
      <c r="F2212" s="1">
        <v>42021</v>
      </c>
      <c r="G2212" s="1" t="str">
        <f>TEXT(pizza_sales[[#This Row],[order_date]],"dddd")</f>
        <v>Saturday</v>
      </c>
      <c r="H2212" s="2">
        <v>36526.581087962964</v>
      </c>
      <c r="I2212">
        <v>20.75</v>
      </c>
      <c r="J2212">
        <v>20.75</v>
      </c>
      <c r="K2212" t="s">
        <v>21</v>
      </c>
      <c r="L2212" t="s">
        <v>33</v>
      </c>
      <c r="M2212" t="s">
        <v>42</v>
      </c>
      <c r="N2212" t="s">
        <v>43</v>
      </c>
    </row>
    <row r="2213" spans="1:14" x14ac:dyDescent="0.3">
      <c r="A2213">
        <v>2212</v>
      </c>
      <c r="B2213">
        <v>982</v>
      </c>
      <c r="C2213">
        <f>1/COUNTIF(pizza_sales[[#All],[order_id]],pizza_sales[[#This Row],[order_id]])</f>
        <v>0.25</v>
      </c>
      <c r="D2213" t="s">
        <v>90</v>
      </c>
      <c r="E2213">
        <v>1</v>
      </c>
      <c r="F2213" s="1">
        <v>42021</v>
      </c>
      <c r="G2213" s="1" t="str">
        <f>TEXT(pizza_sales[[#This Row],[order_date]],"dddd")</f>
        <v>Saturday</v>
      </c>
      <c r="H2213" s="2">
        <v>36526.59233796296</v>
      </c>
      <c r="I2213">
        <v>17.95</v>
      </c>
      <c r="J2213">
        <v>17.95</v>
      </c>
      <c r="K2213" t="s">
        <v>21</v>
      </c>
      <c r="L2213" t="s">
        <v>22</v>
      </c>
      <c r="M2213" t="s">
        <v>91</v>
      </c>
      <c r="N2213" t="s">
        <v>92</v>
      </c>
    </row>
    <row r="2214" spans="1:14" x14ac:dyDescent="0.3">
      <c r="A2214">
        <v>2213</v>
      </c>
      <c r="B2214">
        <v>982</v>
      </c>
      <c r="C2214">
        <f>1/COUNTIF(pizza_sales[[#All],[order_id]],pizza_sales[[#This Row],[order_id]])</f>
        <v>0.25</v>
      </c>
      <c r="D2214" t="s">
        <v>142</v>
      </c>
      <c r="E2214">
        <v>1</v>
      </c>
      <c r="F2214" s="1">
        <v>42021</v>
      </c>
      <c r="G2214" s="1" t="str">
        <f>TEXT(pizza_sales[[#This Row],[order_date]],"dddd")</f>
        <v>Saturday</v>
      </c>
      <c r="H2214" s="2">
        <v>36526.59233796296</v>
      </c>
      <c r="I2214">
        <v>16.5</v>
      </c>
      <c r="J2214">
        <v>16.5</v>
      </c>
      <c r="K2214" t="s">
        <v>21</v>
      </c>
      <c r="L2214" t="s">
        <v>14</v>
      </c>
      <c r="M2214" t="s">
        <v>15</v>
      </c>
      <c r="N2214" t="s">
        <v>16</v>
      </c>
    </row>
    <row r="2215" spans="1:14" x14ac:dyDescent="0.3">
      <c r="A2215">
        <v>2214</v>
      </c>
      <c r="B2215">
        <v>982</v>
      </c>
      <c r="C2215">
        <f>1/COUNTIF(pizza_sales[[#All],[order_id]],pizza_sales[[#This Row],[order_id]])</f>
        <v>0.25</v>
      </c>
      <c r="D2215" t="s">
        <v>77</v>
      </c>
      <c r="E2215">
        <v>1</v>
      </c>
      <c r="F2215" s="1">
        <v>42021</v>
      </c>
      <c r="G2215" s="1" t="str">
        <f>TEXT(pizza_sales[[#This Row],[order_date]],"dddd")</f>
        <v>Saturday</v>
      </c>
      <c r="H2215" s="2">
        <v>36526.59233796296</v>
      </c>
      <c r="I2215">
        <v>15.25</v>
      </c>
      <c r="J2215">
        <v>15.25</v>
      </c>
      <c r="K2215" t="s">
        <v>21</v>
      </c>
      <c r="L2215" t="s">
        <v>14</v>
      </c>
      <c r="M2215" t="s">
        <v>78</v>
      </c>
      <c r="N2215" t="s">
        <v>79</v>
      </c>
    </row>
    <row r="2216" spans="1:14" x14ac:dyDescent="0.3">
      <c r="A2216">
        <v>2215</v>
      </c>
      <c r="B2216">
        <v>982</v>
      </c>
      <c r="C2216">
        <f>1/COUNTIF(pizza_sales[[#All],[order_id]],pizza_sales[[#This Row],[order_id]])</f>
        <v>0.25</v>
      </c>
      <c r="D2216" t="s">
        <v>69</v>
      </c>
      <c r="E2216">
        <v>1</v>
      </c>
      <c r="F2216" s="1">
        <v>42021</v>
      </c>
      <c r="G2216" s="1" t="str">
        <f>TEXT(pizza_sales[[#This Row],[order_date]],"dddd")</f>
        <v>Saturday</v>
      </c>
      <c r="H2216" s="2">
        <v>36526.59233796296</v>
      </c>
      <c r="I2216">
        <v>20.75</v>
      </c>
      <c r="J2216">
        <v>20.75</v>
      </c>
      <c r="K2216" t="s">
        <v>21</v>
      </c>
      <c r="L2216" t="s">
        <v>33</v>
      </c>
      <c r="M2216" t="s">
        <v>70</v>
      </c>
      <c r="N2216" t="s">
        <v>71</v>
      </c>
    </row>
    <row r="2217" spans="1:14" x14ac:dyDescent="0.3">
      <c r="A2217">
        <v>2216</v>
      </c>
      <c r="B2217">
        <v>983</v>
      </c>
      <c r="C2217">
        <f>1/COUNTIF(pizza_sales[[#All],[order_id]],pizza_sales[[#This Row],[order_id]])</f>
        <v>1</v>
      </c>
      <c r="D2217" t="s">
        <v>84</v>
      </c>
      <c r="E2217">
        <v>1</v>
      </c>
      <c r="F2217" s="1">
        <v>42021</v>
      </c>
      <c r="G2217" s="1" t="str">
        <f>TEXT(pizza_sales[[#This Row],[order_date]],"dddd")</f>
        <v>Saturday</v>
      </c>
      <c r="H2217" s="2">
        <v>36526.603831018518</v>
      </c>
      <c r="I2217">
        <v>12</v>
      </c>
      <c r="J2217">
        <v>12</v>
      </c>
      <c r="K2217" t="s">
        <v>41</v>
      </c>
      <c r="L2217" t="s">
        <v>14</v>
      </c>
      <c r="M2217" t="s">
        <v>85</v>
      </c>
      <c r="N2217" t="s">
        <v>86</v>
      </c>
    </row>
    <row r="2218" spans="1:14" x14ac:dyDescent="0.3">
      <c r="A2218">
        <v>2217</v>
      </c>
      <c r="B2218">
        <v>984</v>
      </c>
      <c r="C2218">
        <f>1/COUNTIF(pizza_sales[[#All],[order_id]],pizza_sales[[#This Row],[order_id]])</f>
        <v>1</v>
      </c>
      <c r="D2218" t="s">
        <v>160</v>
      </c>
      <c r="E2218">
        <v>1</v>
      </c>
      <c r="F2218" s="1">
        <v>42021</v>
      </c>
      <c r="G2218" s="1" t="str">
        <f>TEXT(pizza_sales[[#This Row],[order_date]],"dddd")</f>
        <v>Saturday</v>
      </c>
      <c r="H2218" s="2">
        <v>36526.606886574074</v>
      </c>
      <c r="I2218">
        <v>12</v>
      </c>
      <c r="J2218">
        <v>12</v>
      </c>
      <c r="K2218" t="s">
        <v>41</v>
      </c>
      <c r="L2218" t="s">
        <v>14</v>
      </c>
      <c r="M2218" t="s">
        <v>55</v>
      </c>
      <c r="N2218" t="s">
        <v>56</v>
      </c>
    </row>
    <row r="2219" spans="1:14" x14ac:dyDescent="0.3">
      <c r="A2219">
        <v>2218</v>
      </c>
      <c r="B2219">
        <v>985</v>
      </c>
      <c r="C2219">
        <f>1/COUNTIF(pizza_sales[[#All],[order_id]],pizza_sales[[#This Row],[order_id]])</f>
        <v>0.33333333333333331</v>
      </c>
      <c r="D2219" t="s">
        <v>12</v>
      </c>
      <c r="E2219">
        <v>1</v>
      </c>
      <c r="F2219" s="1">
        <v>42021</v>
      </c>
      <c r="G2219" s="1" t="str">
        <f>TEXT(pizza_sales[[#This Row],[order_date]],"dddd")</f>
        <v>Saturday</v>
      </c>
      <c r="H2219" s="2">
        <v>36526.607523148145</v>
      </c>
      <c r="I2219">
        <v>13.25</v>
      </c>
      <c r="J2219">
        <v>13.25</v>
      </c>
      <c r="K2219" t="s">
        <v>13</v>
      </c>
      <c r="L2219" t="s">
        <v>14</v>
      </c>
      <c r="M2219" t="s">
        <v>15</v>
      </c>
      <c r="N2219" t="s">
        <v>16</v>
      </c>
    </row>
    <row r="2220" spans="1:14" x14ac:dyDescent="0.3">
      <c r="A2220">
        <v>2219</v>
      </c>
      <c r="B2220">
        <v>985</v>
      </c>
      <c r="C2220">
        <f>1/COUNTIF(pizza_sales[[#All],[order_id]],pizza_sales[[#This Row],[order_id]])</f>
        <v>0.33333333333333331</v>
      </c>
      <c r="D2220" t="s">
        <v>159</v>
      </c>
      <c r="E2220">
        <v>1</v>
      </c>
      <c r="F2220" s="1">
        <v>42021</v>
      </c>
      <c r="G2220" s="1" t="str">
        <f>TEXT(pizza_sales[[#This Row],[order_date]],"dddd")</f>
        <v>Saturday</v>
      </c>
      <c r="H2220" s="2">
        <v>36526.607523148145</v>
      </c>
      <c r="I2220">
        <v>16.75</v>
      </c>
      <c r="J2220">
        <v>16.75</v>
      </c>
      <c r="K2220" t="s">
        <v>13</v>
      </c>
      <c r="L2220" t="s">
        <v>22</v>
      </c>
      <c r="M2220" t="s">
        <v>101</v>
      </c>
      <c r="N2220" t="s">
        <v>102</v>
      </c>
    </row>
    <row r="2221" spans="1:14" x14ac:dyDescent="0.3">
      <c r="A2221">
        <v>2220</v>
      </c>
      <c r="B2221">
        <v>985</v>
      </c>
      <c r="C2221">
        <f>1/COUNTIF(pizza_sales[[#All],[order_id]],pizza_sales[[#This Row],[order_id]])</f>
        <v>0.33333333333333331</v>
      </c>
      <c r="D2221" t="s">
        <v>172</v>
      </c>
      <c r="E2221">
        <v>1</v>
      </c>
      <c r="F2221" s="1">
        <v>42021</v>
      </c>
      <c r="G2221" s="1" t="str">
        <f>TEXT(pizza_sales[[#This Row],[order_date]],"dddd")</f>
        <v>Saturday</v>
      </c>
      <c r="H2221" s="2">
        <v>36526.607523148145</v>
      </c>
      <c r="I2221">
        <v>12.5</v>
      </c>
      <c r="J2221">
        <v>12.5</v>
      </c>
      <c r="K2221" t="s">
        <v>41</v>
      </c>
      <c r="L2221" t="s">
        <v>26</v>
      </c>
      <c r="M2221" t="s">
        <v>88</v>
      </c>
      <c r="N2221" t="s">
        <v>89</v>
      </c>
    </row>
    <row r="2222" spans="1:14" x14ac:dyDescent="0.3">
      <c r="A2222">
        <v>2221</v>
      </c>
      <c r="B2222">
        <v>986</v>
      </c>
      <c r="C2222">
        <f>1/COUNTIF(pizza_sales[[#All],[order_id]],pizza_sales[[#This Row],[order_id]])</f>
        <v>1</v>
      </c>
      <c r="D2222" t="s">
        <v>154</v>
      </c>
      <c r="E2222">
        <v>1</v>
      </c>
      <c r="F2222" s="1">
        <v>42021</v>
      </c>
      <c r="G2222" s="1" t="str">
        <f>TEXT(pizza_sales[[#This Row],[order_date]],"dddd")</f>
        <v>Saturday</v>
      </c>
      <c r="H2222" s="2">
        <v>36526.607928240737</v>
      </c>
      <c r="I2222">
        <v>16</v>
      </c>
      <c r="J2222">
        <v>16</v>
      </c>
      <c r="K2222" t="s">
        <v>13</v>
      </c>
      <c r="L2222" t="s">
        <v>22</v>
      </c>
      <c r="M2222" t="s">
        <v>66</v>
      </c>
      <c r="N2222" t="s">
        <v>67</v>
      </c>
    </row>
    <row r="2223" spans="1:14" x14ac:dyDescent="0.3">
      <c r="A2223">
        <v>2222</v>
      </c>
      <c r="B2223">
        <v>987</v>
      </c>
      <c r="C2223">
        <f>1/COUNTIF(pizza_sales[[#All],[order_id]],pizza_sales[[#This Row],[order_id]])</f>
        <v>0.33333333333333331</v>
      </c>
      <c r="D2223" t="s">
        <v>72</v>
      </c>
      <c r="E2223">
        <v>1</v>
      </c>
      <c r="F2223" s="1">
        <v>42021</v>
      </c>
      <c r="G2223" s="1" t="str">
        <f>TEXT(pizza_sales[[#This Row],[order_date]],"dddd")</f>
        <v>Saturday</v>
      </c>
      <c r="H2223" s="2">
        <v>36526.611967592595</v>
      </c>
      <c r="I2223">
        <v>20.75</v>
      </c>
      <c r="J2223">
        <v>20.75</v>
      </c>
      <c r="K2223" t="s">
        <v>21</v>
      </c>
      <c r="L2223" t="s">
        <v>33</v>
      </c>
      <c r="M2223" t="s">
        <v>42</v>
      </c>
      <c r="N2223" t="s">
        <v>43</v>
      </c>
    </row>
    <row r="2224" spans="1:14" x14ac:dyDescent="0.3">
      <c r="A2224">
        <v>2223</v>
      </c>
      <c r="B2224">
        <v>987</v>
      </c>
      <c r="C2224">
        <f>1/COUNTIF(pizza_sales[[#All],[order_id]],pizza_sales[[#This Row],[order_id]])</f>
        <v>0.33333333333333331</v>
      </c>
      <c r="D2224" t="s">
        <v>173</v>
      </c>
      <c r="E2224">
        <v>1</v>
      </c>
      <c r="F2224" s="1">
        <v>42021</v>
      </c>
      <c r="G2224" s="1" t="str">
        <f>TEXT(pizza_sales[[#This Row],[order_date]],"dddd")</f>
        <v>Saturday</v>
      </c>
      <c r="H2224" s="2">
        <v>36526.611967592595</v>
      </c>
      <c r="I2224">
        <v>20.25</v>
      </c>
      <c r="J2224">
        <v>20.25</v>
      </c>
      <c r="K2224" t="s">
        <v>21</v>
      </c>
      <c r="L2224" t="s">
        <v>26</v>
      </c>
      <c r="M2224" t="s">
        <v>97</v>
      </c>
      <c r="N2224" t="s">
        <v>98</v>
      </c>
    </row>
    <row r="2225" spans="1:14" x14ac:dyDescent="0.3">
      <c r="A2225">
        <v>2224</v>
      </c>
      <c r="B2225">
        <v>987</v>
      </c>
      <c r="C2225">
        <f>1/COUNTIF(pizza_sales[[#All],[order_id]],pizza_sales[[#This Row],[order_id]])</f>
        <v>0.33333333333333331</v>
      </c>
      <c r="D2225" t="s">
        <v>120</v>
      </c>
      <c r="E2225">
        <v>1</v>
      </c>
      <c r="F2225" s="1">
        <v>42021</v>
      </c>
      <c r="G2225" s="1" t="str">
        <f>TEXT(pizza_sales[[#This Row],[order_date]],"dddd")</f>
        <v>Saturday</v>
      </c>
      <c r="H2225" s="2">
        <v>36526.611967592595</v>
      </c>
      <c r="I2225">
        <v>12.5</v>
      </c>
      <c r="J2225">
        <v>12.5</v>
      </c>
      <c r="K2225" t="s">
        <v>41</v>
      </c>
      <c r="L2225" t="s">
        <v>26</v>
      </c>
      <c r="M2225" t="s">
        <v>38</v>
      </c>
      <c r="N2225" t="s">
        <v>39</v>
      </c>
    </row>
    <row r="2226" spans="1:14" x14ac:dyDescent="0.3">
      <c r="A2226">
        <v>2225</v>
      </c>
      <c r="B2226">
        <v>988</v>
      </c>
      <c r="C2226">
        <f>1/COUNTIF(pizza_sales[[#All],[order_id]],pizza_sales[[#This Row],[order_id]])</f>
        <v>1</v>
      </c>
      <c r="D2226" t="s">
        <v>153</v>
      </c>
      <c r="E2226">
        <v>1</v>
      </c>
      <c r="F2226" s="1">
        <v>42021</v>
      </c>
      <c r="G2226" s="1" t="str">
        <f>TEXT(pizza_sales[[#This Row],[order_date]],"dddd")</f>
        <v>Saturday</v>
      </c>
      <c r="H2226" s="2">
        <v>36526.614537037036</v>
      </c>
      <c r="I2226">
        <v>21</v>
      </c>
      <c r="J2226">
        <v>21</v>
      </c>
      <c r="K2226" t="s">
        <v>21</v>
      </c>
      <c r="L2226" t="s">
        <v>22</v>
      </c>
      <c r="M2226" t="s">
        <v>101</v>
      </c>
      <c r="N2226" t="s">
        <v>102</v>
      </c>
    </row>
    <row r="2227" spans="1:14" x14ac:dyDescent="0.3">
      <c r="A2227">
        <v>2226</v>
      </c>
      <c r="B2227">
        <v>989</v>
      </c>
      <c r="C2227">
        <f>1/COUNTIF(pizza_sales[[#All],[order_id]],pizza_sales[[#This Row],[order_id]])</f>
        <v>1</v>
      </c>
      <c r="D2227" t="s">
        <v>132</v>
      </c>
      <c r="E2227">
        <v>1</v>
      </c>
      <c r="F2227" s="1">
        <v>42021</v>
      </c>
      <c r="G2227" s="1" t="str">
        <f>TEXT(pizza_sales[[#This Row],[order_date]],"dddd")</f>
        <v>Saturday</v>
      </c>
      <c r="H2227" s="2">
        <v>36526.630995370368</v>
      </c>
      <c r="I2227">
        <v>10.5</v>
      </c>
      <c r="J2227">
        <v>10.5</v>
      </c>
      <c r="K2227" t="s">
        <v>41</v>
      </c>
      <c r="L2227" t="s">
        <v>14</v>
      </c>
      <c r="M2227" t="s">
        <v>15</v>
      </c>
      <c r="N2227" t="s">
        <v>16</v>
      </c>
    </row>
    <row r="2228" spans="1:14" x14ac:dyDescent="0.3">
      <c r="A2228">
        <v>2227</v>
      </c>
      <c r="B2228">
        <v>990</v>
      </c>
      <c r="C2228">
        <f>1/COUNTIF(pizza_sales[[#All],[order_id]],pizza_sales[[#This Row],[order_id]])</f>
        <v>1</v>
      </c>
      <c r="D2228" t="s">
        <v>126</v>
      </c>
      <c r="E2228">
        <v>1</v>
      </c>
      <c r="F2228" s="1">
        <v>42021</v>
      </c>
      <c r="G2228" s="1" t="str">
        <f>TEXT(pizza_sales[[#This Row],[order_date]],"dddd")</f>
        <v>Saturday</v>
      </c>
      <c r="H2228" s="2">
        <v>36526.645949074074</v>
      </c>
      <c r="I2228">
        <v>9.75</v>
      </c>
      <c r="J2228">
        <v>9.75</v>
      </c>
      <c r="K2228" t="s">
        <v>41</v>
      </c>
      <c r="L2228" t="s">
        <v>14</v>
      </c>
      <c r="M2228" t="s">
        <v>78</v>
      </c>
      <c r="N2228" t="s">
        <v>79</v>
      </c>
    </row>
    <row r="2229" spans="1:14" x14ac:dyDescent="0.3">
      <c r="A2229">
        <v>2228</v>
      </c>
      <c r="B2229">
        <v>991</v>
      </c>
      <c r="C2229">
        <f>1/COUNTIF(pizza_sales[[#All],[order_id]],pizza_sales[[#This Row],[order_id]])</f>
        <v>0.5</v>
      </c>
      <c r="D2229" t="s">
        <v>84</v>
      </c>
      <c r="E2229">
        <v>1</v>
      </c>
      <c r="F2229" s="1">
        <v>42021</v>
      </c>
      <c r="G2229" s="1" t="str">
        <f>TEXT(pizza_sales[[#This Row],[order_date]],"dddd")</f>
        <v>Saturday</v>
      </c>
      <c r="H2229" s="2">
        <v>36526.655173611114</v>
      </c>
      <c r="I2229">
        <v>12</v>
      </c>
      <c r="J2229">
        <v>12</v>
      </c>
      <c r="K2229" t="s">
        <v>41</v>
      </c>
      <c r="L2229" t="s">
        <v>14</v>
      </c>
      <c r="M2229" t="s">
        <v>85</v>
      </c>
      <c r="N2229" t="s">
        <v>86</v>
      </c>
    </row>
    <row r="2230" spans="1:14" x14ac:dyDescent="0.3">
      <c r="A2230">
        <v>2229</v>
      </c>
      <c r="B2230">
        <v>991</v>
      </c>
      <c r="C2230">
        <f>1/COUNTIF(pizza_sales[[#All],[order_id]],pizza_sales[[#This Row],[order_id]])</f>
        <v>0.5</v>
      </c>
      <c r="D2230" t="s">
        <v>172</v>
      </c>
      <c r="E2230">
        <v>1</v>
      </c>
      <c r="F2230" s="1">
        <v>42021</v>
      </c>
      <c r="G2230" s="1" t="str">
        <f>TEXT(pizza_sales[[#This Row],[order_date]],"dddd")</f>
        <v>Saturday</v>
      </c>
      <c r="H2230" s="2">
        <v>36526.655173611114</v>
      </c>
      <c r="I2230">
        <v>12.5</v>
      </c>
      <c r="J2230">
        <v>12.5</v>
      </c>
      <c r="K2230" t="s">
        <v>41</v>
      </c>
      <c r="L2230" t="s">
        <v>26</v>
      </c>
      <c r="M2230" t="s">
        <v>88</v>
      </c>
      <c r="N2230" t="s">
        <v>89</v>
      </c>
    </row>
    <row r="2231" spans="1:14" x14ac:dyDescent="0.3">
      <c r="A2231">
        <v>2230</v>
      </c>
      <c r="B2231">
        <v>992</v>
      </c>
      <c r="C2231">
        <f>1/COUNTIF(pizza_sales[[#All],[order_id]],pizza_sales[[#This Row],[order_id]])</f>
        <v>1</v>
      </c>
      <c r="D2231" t="s">
        <v>36</v>
      </c>
      <c r="E2231">
        <v>1</v>
      </c>
      <c r="F2231" s="1">
        <v>42021</v>
      </c>
      <c r="G2231" s="1" t="str">
        <f>TEXT(pizza_sales[[#This Row],[order_date]],"dddd")</f>
        <v>Saturday</v>
      </c>
      <c r="H2231" s="2">
        <v>36526.659386574072</v>
      </c>
      <c r="I2231">
        <v>16.5</v>
      </c>
      <c r="J2231">
        <v>16.5</v>
      </c>
      <c r="K2231" t="s">
        <v>13</v>
      </c>
      <c r="L2231" t="s">
        <v>26</v>
      </c>
      <c r="M2231" t="s">
        <v>27</v>
      </c>
      <c r="N2231" t="s">
        <v>28</v>
      </c>
    </row>
    <row r="2232" spans="1:14" x14ac:dyDescent="0.3">
      <c r="A2232">
        <v>2231</v>
      </c>
      <c r="B2232">
        <v>993</v>
      </c>
      <c r="C2232">
        <f>1/COUNTIF(pizza_sales[[#All],[order_id]],pizza_sales[[#This Row],[order_id]])</f>
        <v>1</v>
      </c>
      <c r="D2232" t="s">
        <v>118</v>
      </c>
      <c r="E2232">
        <v>1</v>
      </c>
      <c r="F2232" s="1">
        <v>42021</v>
      </c>
      <c r="G2232" s="1" t="str">
        <f>TEXT(pizza_sales[[#This Row],[order_date]],"dddd")</f>
        <v>Saturday</v>
      </c>
      <c r="H2232" s="2">
        <v>36526.678460648145</v>
      </c>
      <c r="I2232">
        <v>16.75</v>
      </c>
      <c r="J2232">
        <v>16.75</v>
      </c>
      <c r="K2232" t="s">
        <v>13</v>
      </c>
      <c r="L2232" t="s">
        <v>33</v>
      </c>
      <c r="M2232" t="s">
        <v>42</v>
      </c>
      <c r="N2232" t="s">
        <v>43</v>
      </c>
    </row>
    <row r="2233" spans="1:14" x14ac:dyDescent="0.3">
      <c r="A2233">
        <v>2232</v>
      </c>
      <c r="B2233">
        <v>994</v>
      </c>
      <c r="C2233">
        <f>1/COUNTIF(pizza_sales[[#All],[order_id]],pizza_sales[[#This Row],[order_id]])</f>
        <v>0.25</v>
      </c>
      <c r="D2233" t="s">
        <v>76</v>
      </c>
      <c r="E2233">
        <v>1</v>
      </c>
      <c r="F2233" s="1">
        <v>42021</v>
      </c>
      <c r="G2233" s="1" t="str">
        <f>TEXT(pizza_sales[[#This Row],[order_date]],"dddd")</f>
        <v>Saturday</v>
      </c>
      <c r="H2233" s="2">
        <v>36526.680347222224</v>
      </c>
      <c r="I2233">
        <v>16.75</v>
      </c>
      <c r="J2233">
        <v>16.75</v>
      </c>
      <c r="K2233" t="s">
        <v>13</v>
      </c>
      <c r="L2233" t="s">
        <v>33</v>
      </c>
      <c r="M2233" t="s">
        <v>74</v>
      </c>
      <c r="N2233" t="s">
        <v>75</v>
      </c>
    </row>
    <row r="2234" spans="1:14" x14ac:dyDescent="0.3">
      <c r="A2234">
        <v>2233</v>
      </c>
      <c r="B2234">
        <v>994</v>
      </c>
      <c r="C2234">
        <f>1/COUNTIF(pizza_sales[[#All],[order_id]],pizza_sales[[#This Row],[order_id]])</f>
        <v>0.25</v>
      </c>
      <c r="D2234" t="s">
        <v>132</v>
      </c>
      <c r="E2234">
        <v>1</v>
      </c>
      <c r="F2234" s="1">
        <v>42021</v>
      </c>
      <c r="G2234" s="1" t="str">
        <f>TEXT(pizza_sales[[#This Row],[order_date]],"dddd")</f>
        <v>Saturday</v>
      </c>
      <c r="H2234" s="2">
        <v>36526.680347222224</v>
      </c>
      <c r="I2234">
        <v>10.5</v>
      </c>
      <c r="J2234">
        <v>10.5</v>
      </c>
      <c r="K2234" t="s">
        <v>41</v>
      </c>
      <c r="L2234" t="s">
        <v>14</v>
      </c>
      <c r="M2234" t="s">
        <v>15</v>
      </c>
      <c r="N2234" t="s">
        <v>16</v>
      </c>
    </row>
    <row r="2235" spans="1:14" x14ac:dyDescent="0.3">
      <c r="A2235">
        <v>2234</v>
      </c>
      <c r="B2235">
        <v>994</v>
      </c>
      <c r="C2235">
        <f>1/COUNTIF(pizza_sales[[#All],[order_id]],pizza_sales[[#This Row],[order_id]])</f>
        <v>0.25</v>
      </c>
      <c r="D2235" t="s">
        <v>32</v>
      </c>
      <c r="E2235">
        <v>1</v>
      </c>
      <c r="F2235" s="1">
        <v>42021</v>
      </c>
      <c r="G2235" s="1" t="str">
        <f>TEXT(pizza_sales[[#This Row],[order_date]],"dddd")</f>
        <v>Saturday</v>
      </c>
      <c r="H2235" s="2">
        <v>36526.680347222224</v>
      </c>
      <c r="I2235">
        <v>20.75</v>
      </c>
      <c r="J2235">
        <v>20.75</v>
      </c>
      <c r="K2235" t="s">
        <v>21</v>
      </c>
      <c r="L2235" t="s">
        <v>33</v>
      </c>
      <c r="M2235" t="s">
        <v>34</v>
      </c>
      <c r="N2235" t="s">
        <v>35</v>
      </c>
    </row>
    <row r="2236" spans="1:14" x14ac:dyDescent="0.3">
      <c r="A2236">
        <v>2235</v>
      </c>
      <c r="B2236">
        <v>994</v>
      </c>
      <c r="C2236">
        <f>1/COUNTIF(pizza_sales[[#All],[order_id]],pizza_sales[[#This Row],[order_id]])</f>
        <v>0.25</v>
      </c>
      <c r="D2236" t="s">
        <v>151</v>
      </c>
      <c r="E2236">
        <v>1</v>
      </c>
      <c r="F2236" s="1">
        <v>42021</v>
      </c>
      <c r="G2236" s="1" t="str">
        <f>TEXT(pizza_sales[[#This Row],[order_date]],"dddd")</f>
        <v>Saturday</v>
      </c>
      <c r="H2236" s="2">
        <v>36526.680347222224</v>
      </c>
      <c r="I2236">
        <v>12.75</v>
      </c>
      <c r="J2236">
        <v>12.75</v>
      </c>
      <c r="K2236" t="s">
        <v>41</v>
      </c>
      <c r="L2236" t="s">
        <v>33</v>
      </c>
      <c r="M2236" t="s">
        <v>34</v>
      </c>
      <c r="N2236" t="s">
        <v>35</v>
      </c>
    </row>
    <row r="2237" spans="1:14" x14ac:dyDescent="0.3">
      <c r="A2237">
        <v>2236</v>
      </c>
      <c r="B2237">
        <v>995</v>
      </c>
      <c r="C2237">
        <f>1/COUNTIF(pizza_sales[[#All],[order_id]],pizza_sales[[#This Row],[order_id]])</f>
        <v>1</v>
      </c>
      <c r="D2237" t="s">
        <v>73</v>
      </c>
      <c r="E2237">
        <v>1</v>
      </c>
      <c r="F2237" s="1">
        <v>42021</v>
      </c>
      <c r="G2237" s="1" t="str">
        <f>TEXT(pizza_sales[[#This Row],[order_date]],"dddd")</f>
        <v>Saturday</v>
      </c>
      <c r="H2237" s="2">
        <v>36526.706597222219</v>
      </c>
      <c r="I2237">
        <v>20.75</v>
      </c>
      <c r="J2237">
        <v>20.75</v>
      </c>
      <c r="K2237" t="s">
        <v>21</v>
      </c>
      <c r="L2237" t="s">
        <v>33</v>
      </c>
      <c r="M2237" t="s">
        <v>74</v>
      </c>
      <c r="N2237" t="s">
        <v>75</v>
      </c>
    </row>
    <row r="2238" spans="1:14" x14ac:dyDescent="0.3">
      <c r="A2238">
        <v>2237</v>
      </c>
      <c r="B2238">
        <v>996</v>
      </c>
      <c r="C2238">
        <f>1/COUNTIF(pizza_sales[[#All],[order_id]],pizza_sales[[#This Row],[order_id]])</f>
        <v>0.25</v>
      </c>
      <c r="D2238" t="s">
        <v>116</v>
      </c>
      <c r="E2238">
        <v>1</v>
      </c>
      <c r="F2238" s="1">
        <v>42021</v>
      </c>
      <c r="G2238" s="1" t="str">
        <f>TEXT(pizza_sales[[#This Row],[order_date]],"dddd")</f>
        <v>Saturday</v>
      </c>
      <c r="H2238" s="2">
        <v>36526.716053240743</v>
      </c>
      <c r="I2238">
        <v>16</v>
      </c>
      <c r="J2238">
        <v>16</v>
      </c>
      <c r="K2238" t="s">
        <v>13</v>
      </c>
      <c r="L2238" t="s">
        <v>14</v>
      </c>
      <c r="M2238" t="s">
        <v>55</v>
      </c>
      <c r="N2238" t="s">
        <v>56</v>
      </c>
    </row>
    <row r="2239" spans="1:14" x14ac:dyDescent="0.3">
      <c r="A2239">
        <v>2238</v>
      </c>
      <c r="B2239">
        <v>996</v>
      </c>
      <c r="C2239">
        <f>1/COUNTIF(pizza_sales[[#All],[order_id]],pizza_sales[[#This Row],[order_id]])</f>
        <v>0.25</v>
      </c>
      <c r="D2239" t="s">
        <v>160</v>
      </c>
      <c r="E2239">
        <v>1</v>
      </c>
      <c r="F2239" s="1">
        <v>42021</v>
      </c>
      <c r="G2239" s="1" t="str">
        <f>TEXT(pizza_sales[[#This Row],[order_date]],"dddd")</f>
        <v>Saturday</v>
      </c>
      <c r="H2239" s="2">
        <v>36526.716053240743</v>
      </c>
      <c r="I2239">
        <v>12</v>
      </c>
      <c r="J2239">
        <v>12</v>
      </c>
      <c r="K2239" t="s">
        <v>41</v>
      </c>
      <c r="L2239" t="s">
        <v>14</v>
      </c>
      <c r="M2239" t="s">
        <v>55</v>
      </c>
      <c r="N2239" t="s">
        <v>56</v>
      </c>
    </row>
    <row r="2240" spans="1:14" x14ac:dyDescent="0.3">
      <c r="A2240">
        <v>2239</v>
      </c>
      <c r="B2240">
        <v>996</v>
      </c>
      <c r="C2240">
        <f>1/COUNTIF(pizza_sales[[#All],[order_id]],pizza_sales[[#This Row],[order_id]])</f>
        <v>0.25</v>
      </c>
      <c r="D2240" t="s">
        <v>112</v>
      </c>
      <c r="E2240">
        <v>1</v>
      </c>
      <c r="F2240" s="1">
        <v>42021</v>
      </c>
      <c r="G2240" s="1" t="str">
        <f>TEXT(pizza_sales[[#This Row],[order_date]],"dddd")</f>
        <v>Saturday</v>
      </c>
      <c r="H2240" s="2">
        <v>36526.716053240743</v>
      </c>
      <c r="I2240">
        <v>20.5</v>
      </c>
      <c r="J2240">
        <v>20.5</v>
      </c>
      <c r="K2240" t="s">
        <v>21</v>
      </c>
      <c r="L2240" t="s">
        <v>14</v>
      </c>
      <c r="M2240" t="s">
        <v>94</v>
      </c>
      <c r="N2240" t="s">
        <v>95</v>
      </c>
    </row>
    <row r="2241" spans="1:14" x14ac:dyDescent="0.3">
      <c r="A2241">
        <v>2240</v>
      </c>
      <c r="B2241">
        <v>996</v>
      </c>
      <c r="C2241">
        <f>1/COUNTIF(pizza_sales[[#All],[order_id]],pizza_sales[[#This Row],[order_id]])</f>
        <v>0.25</v>
      </c>
      <c r="D2241" t="s">
        <v>136</v>
      </c>
      <c r="E2241">
        <v>1</v>
      </c>
      <c r="F2241" s="1">
        <v>42021</v>
      </c>
      <c r="G2241" s="1" t="str">
        <f>TEXT(pizza_sales[[#This Row],[order_date]],"dddd")</f>
        <v>Saturday</v>
      </c>
      <c r="H2241" s="2">
        <v>36526.716053240743</v>
      </c>
      <c r="I2241">
        <v>12.5</v>
      </c>
      <c r="J2241">
        <v>12.5</v>
      </c>
      <c r="K2241" t="s">
        <v>41</v>
      </c>
      <c r="L2241" t="s">
        <v>22</v>
      </c>
      <c r="M2241" t="s">
        <v>63</v>
      </c>
      <c r="N2241" t="s">
        <v>64</v>
      </c>
    </row>
    <row r="2242" spans="1:14" x14ac:dyDescent="0.3">
      <c r="A2242">
        <v>2241</v>
      </c>
      <c r="B2242">
        <v>997</v>
      </c>
      <c r="C2242">
        <f>1/COUNTIF(pizza_sales[[#All],[order_id]],pizza_sales[[#This Row],[order_id]])</f>
        <v>1</v>
      </c>
      <c r="D2242" t="s">
        <v>29</v>
      </c>
      <c r="E2242">
        <v>1</v>
      </c>
      <c r="F2242" s="1">
        <v>42021</v>
      </c>
      <c r="G2242" s="1" t="str">
        <f>TEXT(pizza_sales[[#This Row],[order_date]],"dddd")</f>
        <v>Saturday</v>
      </c>
      <c r="H2242" s="2">
        <v>36526.71974537037</v>
      </c>
      <c r="I2242">
        <v>16</v>
      </c>
      <c r="J2242">
        <v>16</v>
      </c>
      <c r="K2242" t="s">
        <v>13</v>
      </c>
      <c r="L2242" t="s">
        <v>22</v>
      </c>
      <c r="M2242" t="s">
        <v>30</v>
      </c>
      <c r="N2242" t="s">
        <v>31</v>
      </c>
    </row>
    <row r="2243" spans="1:14" x14ac:dyDescent="0.3">
      <c r="A2243">
        <v>2242</v>
      </c>
      <c r="B2243">
        <v>998</v>
      </c>
      <c r="C2243">
        <f>1/COUNTIF(pizza_sales[[#All],[order_id]],pizza_sales[[#This Row],[order_id]])</f>
        <v>1</v>
      </c>
      <c r="D2243" t="s">
        <v>54</v>
      </c>
      <c r="E2243">
        <v>1</v>
      </c>
      <c r="F2243" s="1">
        <v>42021</v>
      </c>
      <c r="G2243" s="1" t="str">
        <f>TEXT(pizza_sales[[#This Row],[order_date]],"dddd")</f>
        <v>Saturday</v>
      </c>
      <c r="H2243" s="2">
        <v>36526.721712962964</v>
      </c>
      <c r="I2243">
        <v>20.5</v>
      </c>
      <c r="J2243">
        <v>20.5</v>
      </c>
      <c r="K2243" t="s">
        <v>21</v>
      </c>
      <c r="L2243" t="s">
        <v>14</v>
      </c>
      <c r="M2243" t="s">
        <v>55</v>
      </c>
      <c r="N2243" t="s">
        <v>56</v>
      </c>
    </row>
    <row r="2244" spans="1:14" x14ac:dyDescent="0.3">
      <c r="A2244">
        <v>2243</v>
      </c>
      <c r="B2244">
        <v>999</v>
      </c>
      <c r="C2244">
        <f>1/COUNTIF(pizza_sales[[#All],[order_id]],pizza_sales[[#This Row],[order_id]])</f>
        <v>1</v>
      </c>
      <c r="D2244" t="s">
        <v>147</v>
      </c>
      <c r="E2244">
        <v>1</v>
      </c>
      <c r="F2244" s="1">
        <v>42021</v>
      </c>
      <c r="G2244" s="1" t="str">
        <f>TEXT(pizza_sales[[#This Row],[order_date]],"dddd")</f>
        <v>Saturday</v>
      </c>
      <c r="H2244" s="2">
        <v>36526.723194444443</v>
      </c>
      <c r="I2244">
        <v>16.75</v>
      </c>
      <c r="J2244">
        <v>16.75</v>
      </c>
      <c r="K2244" t="s">
        <v>13</v>
      </c>
      <c r="L2244" t="s">
        <v>33</v>
      </c>
      <c r="M2244" t="s">
        <v>70</v>
      </c>
      <c r="N2244" t="s">
        <v>71</v>
      </c>
    </row>
    <row r="2245" spans="1:14" x14ac:dyDescent="0.3">
      <c r="A2245">
        <v>2244</v>
      </c>
      <c r="B2245">
        <v>1000</v>
      </c>
      <c r="C2245">
        <f>1/COUNTIF(pizza_sales[[#All],[order_id]],pizza_sales[[#This Row],[order_id]])</f>
        <v>0.5</v>
      </c>
      <c r="D2245" t="s">
        <v>165</v>
      </c>
      <c r="E2245">
        <v>1</v>
      </c>
      <c r="F2245" s="1">
        <v>42021</v>
      </c>
      <c r="G2245" s="1" t="str">
        <f>TEXT(pizza_sales[[#This Row],[order_date]],"dddd")</f>
        <v>Saturday</v>
      </c>
      <c r="H2245" s="2">
        <v>36526.725277777776</v>
      </c>
      <c r="I2245">
        <v>23.65</v>
      </c>
      <c r="J2245">
        <v>23.65</v>
      </c>
      <c r="K2245" t="s">
        <v>41</v>
      </c>
      <c r="L2245" t="s">
        <v>26</v>
      </c>
      <c r="M2245" t="s">
        <v>166</v>
      </c>
      <c r="N2245" t="s">
        <v>167</v>
      </c>
    </row>
    <row r="2246" spans="1:14" x14ac:dyDescent="0.3">
      <c r="A2246">
        <v>2245</v>
      </c>
      <c r="B2246">
        <v>1000</v>
      </c>
      <c r="C2246">
        <f>1/COUNTIF(pizza_sales[[#All],[order_id]],pizza_sales[[#This Row],[order_id]])</f>
        <v>0.5</v>
      </c>
      <c r="D2246" t="s">
        <v>146</v>
      </c>
      <c r="E2246">
        <v>1</v>
      </c>
      <c r="F2246" s="1">
        <v>42021</v>
      </c>
      <c r="G2246" s="1" t="str">
        <f>TEXT(pizza_sales[[#This Row],[order_date]],"dddd")</f>
        <v>Saturday</v>
      </c>
      <c r="H2246" s="2">
        <v>36526.725277777776</v>
      </c>
      <c r="I2246">
        <v>20.25</v>
      </c>
      <c r="J2246">
        <v>20.25</v>
      </c>
      <c r="K2246" t="s">
        <v>21</v>
      </c>
      <c r="L2246" t="s">
        <v>22</v>
      </c>
      <c r="M2246" t="s">
        <v>104</v>
      </c>
      <c r="N2246" t="s">
        <v>105</v>
      </c>
    </row>
    <row r="2247" spans="1:14" x14ac:dyDescent="0.3">
      <c r="A2247">
        <v>2246</v>
      </c>
      <c r="B2247">
        <v>1001</v>
      </c>
      <c r="C2247">
        <f>1/COUNTIF(pizza_sales[[#All],[order_id]],pizza_sales[[#This Row],[order_id]])</f>
        <v>0.33333333333333331</v>
      </c>
      <c r="D2247" t="s">
        <v>84</v>
      </c>
      <c r="E2247">
        <v>2</v>
      </c>
      <c r="F2247" s="1">
        <v>42021</v>
      </c>
      <c r="G2247" s="1" t="str">
        <f>TEXT(pizza_sales[[#This Row],[order_date]],"dddd")</f>
        <v>Saturday</v>
      </c>
      <c r="H2247" s="2">
        <v>36526.727835648147</v>
      </c>
      <c r="I2247">
        <v>12</v>
      </c>
      <c r="J2247">
        <v>24</v>
      </c>
      <c r="K2247" t="s">
        <v>41</v>
      </c>
      <c r="L2247" t="s">
        <v>14</v>
      </c>
      <c r="M2247" t="s">
        <v>85</v>
      </c>
      <c r="N2247" t="s">
        <v>86</v>
      </c>
    </row>
    <row r="2248" spans="1:14" x14ac:dyDescent="0.3">
      <c r="A2248">
        <v>2247</v>
      </c>
      <c r="B2248">
        <v>1001</v>
      </c>
      <c r="C2248">
        <f>1/COUNTIF(pizza_sales[[#All],[order_id]],pizza_sales[[#This Row],[order_id]])</f>
        <v>0.33333333333333331</v>
      </c>
      <c r="D2248" t="s">
        <v>77</v>
      </c>
      <c r="E2248">
        <v>1</v>
      </c>
      <c r="F2248" s="1">
        <v>42021</v>
      </c>
      <c r="G2248" s="1" t="str">
        <f>TEXT(pizza_sales[[#This Row],[order_date]],"dddd")</f>
        <v>Saturday</v>
      </c>
      <c r="H2248" s="2">
        <v>36526.727835648147</v>
      </c>
      <c r="I2248">
        <v>15.25</v>
      </c>
      <c r="J2248">
        <v>15.25</v>
      </c>
      <c r="K2248" t="s">
        <v>21</v>
      </c>
      <c r="L2248" t="s">
        <v>14</v>
      </c>
      <c r="M2248" t="s">
        <v>78</v>
      </c>
      <c r="N2248" t="s">
        <v>79</v>
      </c>
    </row>
    <row r="2249" spans="1:14" x14ac:dyDescent="0.3">
      <c r="A2249">
        <v>2248</v>
      </c>
      <c r="B2249">
        <v>1001</v>
      </c>
      <c r="C2249">
        <f>1/COUNTIF(pizza_sales[[#All],[order_id]],pizza_sales[[#This Row],[order_id]])</f>
        <v>0.33333333333333331</v>
      </c>
      <c r="D2249" t="s">
        <v>59</v>
      </c>
      <c r="E2249">
        <v>1</v>
      </c>
      <c r="F2249" s="1">
        <v>42021</v>
      </c>
      <c r="G2249" s="1" t="str">
        <f>TEXT(pizza_sales[[#This Row],[order_date]],"dddd")</f>
        <v>Saturday</v>
      </c>
      <c r="H2249" s="2">
        <v>36526.727835648147</v>
      </c>
      <c r="I2249">
        <v>20.75</v>
      </c>
      <c r="J2249">
        <v>20.75</v>
      </c>
      <c r="K2249" t="s">
        <v>21</v>
      </c>
      <c r="L2249" t="s">
        <v>26</v>
      </c>
      <c r="M2249" t="s">
        <v>60</v>
      </c>
      <c r="N2249" t="s">
        <v>61</v>
      </c>
    </row>
    <row r="2250" spans="1:14" x14ac:dyDescent="0.3">
      <c r="A2250">
        <v>2249</v>
      </c>
      <c r="B2250">
        <v>1002</v>
      </c>
      <c r="C2250">
        <f>1/COUNTIF(pizza_sales[[#All],[order_id]],pizza_sales[[#This Row],[order_id]])</f>
        <v>0.5</v>
      </c>
      <c r="D2250" t="s">
        <v>118</v>
      </c>
      <c r="E2250">
        <v>1</v>
      </c>
      <c r="F2250" s="1">
        <v>42021</v>
      </c>
      <c r="G2250" s="1" t="str">
        <f>TEXT(pizza_sales[[#This Row],[order_date]],"dddd")</f>
        <v>Saturday</v>
      </c>
      <c r="H2250" s="2">
        <v>36526.728946759256</v>
      </c>
      <c r="I2250">
        <v>16.75</v>
      </c>
      <c r="J2250">
        <v>16.75</v>
      </c>
      <c r="K2250" t="s">
        <v>13</v>
      </c>
      <c r="L2250" t="s">
        <v>33</v>
      </c>
      <c r="M2250" t="s">
        <v>42</v>
      </c>
      <c r="N2250" t="s">
        <v>43</v>
      </c>
    </row>
    <row r="2251" spans="1:14" x14ac:dyDescent="0.3">
      <c r="A2251">
        <v>2250</v>
      </c>
      <c r="B2251">
        <v>1002</v>
      </c>
      <c r="C2251">
        <f>1/COUNTIF(pizza_sales[[#All],[order_id]],pizza_sales[[#This Row],[order_id]])</f>
        <v>0.5</v>
      </c>
      <c r="D2251" t="s">
        <v>139</v>
      </c>
      <c r="E2251">
        <v>1</v>
      </c>
      <c r="F2251" s="1">
        <v>42021</v>
      </c>
      <c r="G2251" s="1" t="str">
        <f>TEXT(pizza_sales[[#This Row],[order_date]],"dddd")</f>
        <v>Saturday</v>
      </c>
      <c r="H2251" s="2">
        <v>36526.728946759256</v>
      </c>
      <c r="I2251">
        <v>16.75</v>
      </c>
      <c r="J2251">
        <v>16.75</v>
      </c>
      <c r="K2251" t="s">
        <v>13</v>
      </c>
      <c r="L2251" t="s">
        <v>33</v>
      </c>
      <c r="M2251" t="s">
        <v>82</v>
      </c>
      <c r="N2251" t="s">
        <v>83</v>
      </c>
    </row>
    <row r="2252" spans="1:14" x14ac:dyDescent="0.3">
      <c r="A2252">
        <v>2251</v>
      </c>
      <c r="B2252">
        <v>1003</v>
      </c>
      <c r="C2252">
        <f>1/COUNTIF(pizza_sales[[#All],[order_id]],pizza_sales[[#This Row],[order_id]])</f>
        <v>0.33333333333333331</v>
      </c>
      <c r="D2252" t="s">
        <v>73</v>
      </c>
      <c r="E2252">
        <v>1</v>
      </c>
      <c r="F2252" s="1">
        <v>42021</v>
      </c>
      <c r="G2252" s="1" t="str">
        <f>TEXT(pizza_sales[[#This Row],[order_date]],"dddd")</f>
        <v>Saturday</v>
      </c>
      <c r="H2252" s="2">
        <v>36526.730046296296</v>
      </c>
      <c r="I2252">
        <v>20.75</v>
      </c>
      <c r="J2252">
        <v>20.75</v>
      </c>
      <c r="K2252" t="s">
        <v>21</v>
      </c>
      <c r="L2252" t="s">
        <v>33</v>
      </c>
      <c r="M2252" t="s">
        <v>74</v>
      </c>
      <c r="N2252" t="s">
        <v>75</v>
      </c>
    </row>
    <row r="2253" spans="1:14" x14ac:dyDescent="0.3">
      <c r="A2253">
        <v>2252</v>
      </c>
      <c r="B2253">
        <v>1003</v>
      </c>
      <c r="C2253">
        <f>1/COUNTIF(pizza_sales[[#All],[order_id]],pizza_sales[[#This Row],[order_id]])</f>
        <v>0.33333333333333331</v>
      </c>
      <c r="D2253" t="s">
        <v>76</v>
      </c>
      <c r="E2253">
        <v>1</v>
      </c>
      <c r="F2253" s="1">
        <v>42021</v>
      </c>
      <c r="G2253" s="1" t="str">
        <f>TEXT(pizza_sales[[#This Row],[order_date]],"dddd")</f>
        <v>Saturday</v>
      </c>
      <c r="H2253" s="2">
        <v>36526.730046296296</v>
      </c>
      <c r="I2253">
        <v>16.75</v>
      </c>
      <c r="J2253">
        <v>16.75</v>
      </c>
      <c r="K2253" t="s">
        <v>13</v>
      </c>
      <c r="L2253" t="s">
        <v>33</v>
      </c>
      <c r="M2253" t="s">
        <v>74</v>
      </c>
      <c r="N2253" t="s">
        <v>75</v>
      </c>
    </row>
    <row r="2254" spans="1:14" x14ac:dyDescent="0.3">
      <c r="A2254">
        <v>2253</v>
      </c>
      <c r="B2254">
        <v>1003</v>
      </c>
      <c r="C2254">
        <f>1/COUNTIF(pizza_sales[[#All],[order_id]],pizza_sales[[#This Row],[order_id]])</f>
        <v>0.33333333333333331</v>
      </c>
      <c r="D2254" t="s">
        <v>126</v>
      </c>
      <c r="E2254">
        <v>1</v>
      </c>
      <c r="F2254" s="1">
        <v>42021</v>
      </c>
      <c r="G2254" s="1" t="str">
        <f>TEXT(pizza_sales[[#This Row],[order_date]],"dddd")</f>
        <v>Saturday</v>
      </c>
      <c r="H2254" s="2">
        <v>36526.730046296296</v>
      </c>
      <c r="I2254">
        <v>9.75</v>
      </c>
      <c r="J2254">
        <v>9.75</v>
      </c>
      <c r="K2254" t="s">
        <v>41</v>
      </c>
      <c r="L2254" t="s">
        <v>14</v>
      </c>
      <c r="M2254" t="s">
        <v>78</v>
      </c>
      <c r="N2254" t="s">
        <v>79</v>
      </c>
    </row>
    <row r="2255" spans="1:14" x14ac:dyDescent="0.3">
      <c r="A2255">
        <v>2254</v>
      </c>
      <c r="B2255">
        <v>1004</v>
      </c>
      <c r="C2255">
        <f>1/COUNTIF(pizza_sales[[#All],[order_id]],pizza_sales[[#This Row],[order_id]])</f>
        <v>1</v>
      </c>
      <c r="D2255" t="s">
        <v>140</v>
      </c>
      <c r="E2255">
        <v>1</v>
      </c>
      <c r="F2255" s="1">
        <v>42021</v>
      </c>
      <c r="G2255" s="1" t="str">
        <f>TEXT(pizza_sales[[#This Row],[order_date]],"dddd")</f>
        <v>Saturday</v>
      </c>
      <c r="H2255" s="2">
        <v>36526.738946759258</v>
      </c>
      <c r="I2255">
        <v>25.5</v>
      </c>
      <c r="J2255">
        <v>25.5</v>
      </c>
      <c r="K2255" t="s">
        <v>141</v>
      </c>
      <c r="L2255" t="s">
        <v>14</v>
      </c>
      <c r="M2255" t="s">
        <v>45</v>
      </c>
      <c r="N2255" t="s">
        <v>46</v>
      </c>
    </row>
    <row r="2256" spans="1:14" x14ac:dyDescent="0.3">
      <c r="A2256">
        <v>2255</v>
      </c>
      <c r="B2256">
        <v>1005</v>
      </c>
      <c r="C2256">
        <f>1/COUNTIF(pizza_sales[[#All],[order_id]],pizza_sales[[#This Row],[order_id]])</f>
        <v>0.5</v>
      </c>
      <c r="D2256" t="s">
        <v>72</v>
      </c>
      <c r="E2256">
        <v>1</v>
      </c>
      <c r="F2256" s="1">
        <v>42021</v>
      </c>
      <c r="G2256" s="1" t="str">
        <f>TEXT(pizza_sales[[#This Row],[order_date]],"dddd")</f>
        <v>Saturday</v>
      </c>
      <c r="H2256" s="2">
        <v>36526.742951388886</v>
      </c>
      <c r="I2256">
        <v>20.75</v>
      </c>
      <c r="J2256">
        <v>20.75</v>
      </c>
      <c r="K2256" t="s">
        <v>21</v>
      </c>
      <c r="L2256" t="s">
        <v>33</v>
      </c>
      <c r="M2256" t="s">
        <v>42</v>
      </c>
      <c r="N2256" t="s">
        <v>43</v>
      </c>
    </row>
    <row r="2257" spans="1:14" x14ac:dyDescent="0.3">
      <c r="A2257">
        <v>2256</v>
      </c>
      <c r="B2257">
        <v>1005</v>
      </c>
      <c r="C2257">
        <f>1/COUNTIF(pizza_sales[[#All],[order_id]],pizza_sales[[#This Row],[order_id]])</f>
        <v>0.5</v>
      </c>
      <c r="D2257" t="s">
        <v>149</v>
      </c>
      <c r="E2257">
        <v>1</v>
      </c>
      <c r="F2257" s="1">
        <v>42021</v>
      </c>
      <c r="G2257" s="1" t="str">
        <f>TEXT(pizza_sales[[#This Row],[order_date]],"dddd")</f>
        <v>Saturday</v>
      </c>
      <c r="H2257" s="2">
        <v>36526.742951388886</v>
      </c>
      <c r="I2257">
        <v>12.25</v>
      </c>
      <c r="J2257">
        <v>12.25</v>
      </c>
      <c r="K2257" t="s">
        <v>41</v>
      </c>
      <c r="L2257" t="s">
        <v>26</v>
      </c>
      <c r="M2257" t="s">
        <v>114</v>
      </c>
      <c r="N2257" t="s">
        <v>115</v>
      </c>
    </row>
    <row r="2258" spans="1:14" x14ac:dyDescent="0.3">
      <c r="A2258">
        <v>2257</v>
      </c>
      <c r="B2258">
        <v>1006</v>
      </c>
      <c r="C2258">
        <f>1/COUNTIF(pizza_sales[[#All],[order_id]],pizza_sales[[#This Row],[order_id]])</f>
        <v>0.5</v>
      </c>
      <c r="D2258" t="s">
        <v>32</v>
      </c>
      <c r="E2258">
        <v>1</v>
      </c>
      <c r="F2258" s="1">
        <v>42021</v>
      </c>
      <c r="G2258" s="1" t="str">
        <f>TEXT(pizza_sales[[#This Row],[order_date]],"dddd")</f>
        <v>Saturday</v>
      </c>
      <c r="H2258" s="2">
        <v>36526.769583333335</v>
      </c>
      <c r="I2258">
        <v>20.75</v>
      </c>
      <c r="J2258">
        <v>20.75</v>
      </c>
      <c r="K2258" t="s">
        <v>21</v>
      </c>
      <c r="L2258" t="s">
        <v>33</v>
      </c>
      <c r="M2258" t="s">
        <v>34</v>
      </c>
      <c r="N2258" t="s">
        <v>35</v>
      </c>
    </row>
    <row r="2259" spans="1:14" x14ac:dyDescent="0.3">
      <c r="A2259">
        <v>2258</v>
      </c>
      <c r="B2259">
        <v>1006</v>
      </c>
      <c r="C2259">
        <f>1/COUNTIF(pizza_sales[[#All],[order_id]],pizza_sales[[#This Row],[order_id]])</f>
        <v>0.5</v>
      </c>
      <c r="D2259" t="s">
        <v>65</v>
      </c>
      <c r="E2259">
        <v>1</v>
      </c>
      <c r="F2259" s="1">
        <v>42021</v>
      </c>
      <c r="G2259" s="1" t="str">
        <f>TEXT(pizza_sales[[#This Row],[order_date]],"dddd")</f>
        <v>Saturday</v>
      </c>
      <c r="H2259" s="2">
        <v>36526.769583333335</v>
      </c>
      <c r="I2259">
        <v>12</v>
      </c>
      <c r="J2259">
        <v>12</v>
      </c>
      <c r="K2259" t="s">
        <v>41</v>
      </c>
      <c r="L2259" t="s">
        <v>22</v>
      </c>
      <c r="M2259" t="s">
        <v>66</v>
      </c>
      <c r="N2259" t="s">
        <v>67</v>
      </c>
    </row>
    <row r="2260" spans="1:14" x14ac:dyDescent="0.3">
      <c r="A2260">
        <v>2259</v>
      </c>
      <c r="B2260">
        <v>1007</v>
      </c>
      <c r="C2260">
        <f>1/COUNTIF(pizza_sales[[#All],[order_id]],pizza_sales[[#This Row],[order_id]])</f>
        <v>1</v>
      </c>
      <c r="D2260" t="s">
        <v>122</v>
      </c>
      <c r="E2260">
        <v>1</v>
      </c>
      <c r="F2260" s="1">
        <v>42021</v>
      </c>
      <c r="G2260" s="1" t="str">
        <f>TEXT(pizza_sales[[#This Row],[order_date]],"dddd")</f>
        <v>Saturday</v>
      </c>
      <c r="H2260" s="2">
        <v>36526.774560185186</v>
      </c>
      <c r="I2260">
        <v>20.25</v>
      </c>
      <c r="J2260">
        <v>20.25</v>
      </c>
      <c r="K2260" t="s">
        <v>21</v>
      </c>
      <c r="L2260" t="s">
        <v>22</v>
      </c>
      <c r="M2260" t="s">
        <v>66</v>
      </c>
      <c r="N2260" t="s">
        <v>67</v>
      </c>
    </row>
    <row r="2261" spans="1:14" x14ac:dyDescent="0.3">
      <c r="A2261">
        <v>2260</v>
      </c>
      <c r="B2261">
        <v>1008</v>
      </c>
      <c r="C2261">
        <f>1/COUNTIF(pizza_sales[[#All],[order_id]],pizza_sales[[#This Row],[order_id]])</f>
        <v>0.5</v>
      </c>
      <c r="D2261" t="s">
        <v>17</v>
      </c>
      <c r="E2261">
        <v>1</v>
      </c>
      <c r="F2261" s="1">
        <v>42021</v>
      </c>
      <c r="G2261" s="1" t="str">
        <f>TEXT(pizza_sales[[#This Row],[order_date]],"dddd")</f>
        <v>Saturday</v>
      </c>
      <c r="H2261" s="2">
        <v>36526.784710648149</v>
      </c>
      <c r="I2261">
        <v>16</v>
      </c>
      <c r="J2261">
        <v>16</v>
      </c>
      <c r="K2261" t="s">
        <v>13</v>
      </c>
      <c r="L2261" t="s">
        <v>14</v>
      </c>
      <c r="M2261" t="s">
        <v>18</v>
      </c>
      <c r="N2261" t="s">
        <v>19</v>
      </c>
    </row>
    <row r="2262" spans="1:14" x14ac:dyDescent="0.3">
      <c r="A2262">
        <v>2261</v>
      </c>
      <c r="B2262">
        <v>1008</v>
      </c>
      <c r="C2262">
        <f>1/COUNTIF(pizza_sales[[#All],[order_id]],pizza_sales[[#This Row],[order_id]])</f>
        <v>0.5</v>
      </c>
      <c r="D2262" t="s">
        <v>155</v>
      </c>
      <c r="E2262">
        <v>1</v>
      </c>
      <c r="F2262" s="1">
        <v>42021</v>
      </c>
      <c r="G2262" s="1" t="str">
        <f>TEXT(pizza_sales[[#This Row],[order_date]],"dddd")</f>
        <v>Saturday</v>
      </c>
      <c r="H2262" s="2">
        <v>36526.784710648149</v>
      </c>
      <c r="I2262">
        <v>16</v>
      </c>
      <c r="J2262">
        <v>16</v>
      </c>
      <c r="K2262" t="s">
        <v>13</v>
      </c>
      <c r="L2262" t="s">
        <v>14</v>
      </c>
      <c r="M2262" t="s">
        <v>45</v>
      </c>
      <c r="N2262" t="s">
        <v>46</v>
      </c>
    </row>
    <row r="2263" spans="1:14" x14ac:dyDescent="0.3">
      <c r="A2263">
        <v>2262</v>
      </c>
      <c r="B2263">
        <v>1009</v>
      </c>
      <c r="C2263">
        <f>1/COUNTIF(pizza_sales[[#All],[order_id]],pizza_sales[[#This Row],[order_id]])</f>
        <v>0.5</v>
      </c>
      <c r="D2263" t="s">
        <v>17</v>
      </c>
      <c r="E2263">
        <v>1</v>
      </c>
      <c r="F2263" s="1">
        <v>42021</v>
      </c>
      <c r="G2263" s="1" t="str">
        <f>TEXT(pizza_sales[[#This Row],[order_date]],"dddd")</f>
        <v>Saturday</v>
      </c>
      <c r="H2263" s="2">
        <v>36526.790555555555</v>
      </c>
      <c r="I2263">
        <v>16</v>
      </c>
      <c r="J2263">
        <v>16</v>
      </c>
      <c r="K2263" t="s">
        <v>13</v>
      </c>
      <c r="L2263" t="s">
        <v>14</v>
      </c>
      <c r="M2263" t="s">
        <v>18</v>
      </c>
      <c r="N2263" t="s">
        <v>19</v>
      </c>
    </row>
    <row r="2264" spans="1:14" x14ac:dyDescent="0.3">
      <c r="A2264">
        <v>2263</v>
      </c>
      <c r="B2264">
        <v>1009</v>
      </c>
      <c r="C2264">
        <f>1/COUNTIF(pizza_sales[[#All],[order_id]],pizza_sales[[#This Row],[order_id]])</f>
        <v>0.5</v>
      </c>
      <c r="D2264" t="s">
        <v>128</v>
      </c>
      <c r="E2264">
        <v>1</v>
      </c>
      <c r="F2264" s="1">
        <v>42021</v>
      </c>
      <c r="G2264" s="1" t="str">
        <f>TEXT(pizza_sales[[#This Row],[order_date]],"dddd")</f>
        <v>Saturday</v>
      </c>
      <c r="H2264" s="2">
        <v>36526.790555555555</v>
      </c>
      <c r="I2264">
        <v>16</v>
      </c>
      <c r="J2264">
        <v>16</v>
      </c>
      <c r="K2264" t="s">
        <v>13</v>
      </c>
      <c r="L2264" t="s">
        <v>22</v>
      </c>
      <c r="M2264" t="s">
        <v>52</v>
      </c>
      <c r="N2264" t="s">
        <v>53</v>
      </c>
    </row>
    <row r="2265" spans="1:14" x14ac:dyDescent="0.3">
      <c r="A2265">
        <v>2264</v>
      </c>
      <c r="B2265">
        <v>1010</v>
      </c>
      <c r="C2265">
        <f>1/COUNTIF(pizza_sales[[#All],[order_id]],pizza_sales[[#This Row],[order_id]])</f>
        <v>0.33333333333333331</v>
      </c>
      <c r="D2265" t="s">
        <v>84</v>
      </c>
      <c r="E2265">
        <v>1</v>
      </c>
      <c r="F2265" s="1">
        <v>42021</v>
      </c>
      <c r="G2265" s="1" t="str">
        <f>TEXT(pizza_sales[[#This Row],[order_date]],"dddd")</f>
        <v>Saturday</v>
      </c>
      <c r="H2265" s="2">
        <v>36526.802210648151</v>
      </c>
      <c r="I2265">
        <v>12</v>
      </c>
      <c r="J2265">
        <v>12</v>
      </c>
      <c r="K2265" t="s">
        <v>41</v>
      </c>
      <c r="L2265" t="s">
        <v>14</v>
      </c>
      <c r="M2265" t="s">
        <v>85</v>
      </c>
      <c r="N2265" t="s">
        <v>86</v>
      </c>
    </row>
    <row r="2266" spans="1:14" x14ac:dyDescent="0.3">
      <c r="A2266">
        <v>2265</v>
      </c>
      <c r="B2266">
        <v>1010</v>
      </c>
      <c r="C2266">
        <f>1/COUNTIF(pizza_sales[[#All],[order_id]],pizza_sales[[#This Row],[order_id]])</f>
        <v>0.33333333333333331</v>
      </c>
      <c r="D2266" t="s">
        <v>168</v>
      </c>
      <c r="E2266">
        <v>1</v>
      </c>
      <c r="F2266" s="1">
        <v>42021</v>
      </c>
      <c r="G2266" s="1" t="str">
        <f>TEXT(pizza_sales[[#This Row],[order_date]],"dddd")</f>
        <v>Saturday</v>
      </c>
      <c r="H2266" s="2">
        <v>36526.802210648151</v>
      </c>
      <c r="I2266">
        <v>20.75</v>
      </c>
      <c r="J2266">
        <v>20.75</v>
      </c>
      <c r="K2266" t="s">
        <v>21</v>
      </c>
      <c r="L2266" t="s">
        <v>33</v>
      </c>
      <c r="M2266" t="s">
        <v>124</v>
      </c>
      <c r="N2266" t="s">
        <v>125</v>
      </c>
    </row>
    <row r="2267" spans="1:14" x14ac:dyDescent="0.3">
      <c r="A2267">
        <v>2266</v>
      </c>
      <c r="B2267">
        <v>1010</v>
      </c>
      <c r="C2267">
        <f>1/COUNTIF(pizza_sales[[#All],[order_id]],pizza_sales[[#This Row],[order_id]])</f>
        <v>0.33333333333333331</v>
      </c>
      <c r="D2267" t="s">
        <v>153</v>
      </c>
      <c r="E2267">
        <v>1</v>
      </c>
      <c r="F2267" s="1">
        <v>42021</v>
      </c>
      <c r="G2267" s="1" t="str">
        <f>TEXT(pizza_sales[[#This Row],[order_date]],"dddd")</f>
        <v>Saturday</v>
      </c>
      <c r="H2267" s="2">
        <v>36526.802210648151</v>
      </c>
      <c r="I2267">
        <v>21</v>
      </c>
      <c r="J2267">
        <v>21</v>
      </c>
      <c r="K2267" t="s">
        <v>21</v>
      </c>
      <c r="L2267" t="s">
        <v>22</v>
      </c>
      <c r="M2267" t="s">
        <v>101</v>
      </c>
      <c r="N2267" t="s">
        <v>102</v>
      </c>
    </row>
    <row r="2268" spans="1:14" x14ac:dyDescent="0.3">
      <c r="A2268">
        <v>2267</v>
      </c>
      <c r="B2268">
        <v>1011</v>
      </c>
      <c r="C2268">
        <f>1/COUNTIF(pizza_sales[[#All],[order_id]],pizza_sales[[#This Row],[order_id]])</f>
        <v>1</v>
      </c>
      <c r="D2268" t="s">
        <v>143</v>
      </c>
      <c r="E2268">
        <v>1</v>
      </c>
      <c r="F2268" s="1">
        <v>42021</v>
      </c>
      <c r="G2268" s="1" t="str">
        <f>TEXT(pizza_sales[[#This Row],[order_date]],"dddd")</f>
        <v>Saturday</v>
      </c>
      <c r="H2268" s="2">
        <v>36526.805787037039</v>
      </c>
      <c r="I2268">
        <v>11</v>
      </c>
      <c r="J2268">
        <v>11</v>
      </c>
      <c r="K2268" t="s">
        <v>41</v>
      </c>
      <c r="L2268" t="s">
        <v>14</v>
      </c>
      <c r="M2268" t="s">
        <v>130</v>
      </c>
      <c r="N2268" t="s">
        <v>131</v>
      </c>
    </row>
    <row r="2269" spans="1:14" x14ac:dyDescent="0.3">
      <c r="A2269">
        <v>2268</v>
      </c>
      <c r="B2269">
        <v>1012</v>
      </c>
      <c r="C2269">
        <f>1/COUNTIF(pizza_sales[[#All],[order_id]],pizza_sales[[#This Row],[order_id]])</f>
        <v>0.5</v>
      </c>
      <c r="D2269" t="s">
        <v>128</v>
      </c>
      <c r="E2269">
        <v>1</v>
      </c>
      <c r="F2269" s="1">
        <v>42021</v>
      </c>
      <c r="G2269" s="1" t="str">
        <f>TEXT(pizza_sales[[#This Row],[order_date]],"dddd")</f>
        <v>Saturday</v>
      </c>
      <c r="H2269" s="2">
        <v>36526.809398148151</v>
      </c>
      <c r="I2269">
        <v>16</v>
      </c>
      <c r="J2269">
        <v>16</v>
      </c>
      <c r="K2269" t="s">
        <v>13</v>
      </c>
      <c r="L2269" t="s">
        <v>22</v>
      </c>
      <c r="M2269" t="s">
        <v>52</v>
      </c>
      <c r="N2269" t="s">
        <v>53</v>
      </c>
    </row>
    <row r="2270" spans="1:14" x14ac:dyDescent="0.3">
      <c r="A2270">
        <v>2269</v>
      </c>
      <c r="B2270">
        <v>1012</v>
      </c>
      <c r="C2270">
        <f>1/COUNTIF(pizza_sales[[#All],[order_id]],pizza_sales[[#This Row],[order_id]])</f>
        <v>0.5</v>
      </c>
      <c r="D2270" t="s">
        <v>37</v>
      </c>
      <c r="E2270">
        <v>1</v>
      </c>
      <c r="F2270" s="1">
        <v>42021</v>
      </c>
      <c r="G2270" s="1" t="str">
        <f>TEXT(pizza_sales[[#This Row],[order_date]],"dddd")</f>
        <v>Saturday</v>
      </c>
      <c r="H2270" s="2">
        <v>36526.809398148151</v>
      </c>
      <c r="I2270">
        <v>20.75</v>
      </c>
      <c r="J2270">
        <v>20.75</v>
      </c>
      <c r="K2270" t="s">
        <v>21</v>
      </c>
      <c r="L2270" t="s">
        <v>26</v>
      </c>
      <c r="M2270" t="s">
        <v>38</v>
      </c>
      <c r="N2270" t="s">
        <v>39</v>
      </c>
    </row>
    <row r="2271" spans="1:14" x14ac:dyDescent="0.3">
      <c r="A2271">
        <v>2270</v>
      </c>
      <c r="B2271">
        <v>1013</v>
      </c>
      <c r="C2271">
        <f>1/COUNTIF(pizza_sales[[#All],[order_id]],pizza_sales[[#This Row],[order_id]])</f>
        <v>0.5</v>
      </c>
      <c r="D2271" t="s">
        <v>171</v>
      </c>
      <c r="E2271">
        <v>1</v>
      </c>
      <c r="F2271" s="1">
        <v>42021</v>
      </c>
      <c r="G2271" s="1" t="str">
        <f>TEXT(pizza_sales[[#This Row],[order_date]],"dddd")</f>
        <v>Saturday</v>
      </c>
      <c r="H2271" s="2">
        <v>36526.810185185182</v>
      </c>
      <c r="I2271">
        <v>16.5</v>
      </c>
      <c r="J2271">
        <v>16.5</v>
      </c>
      <c r="K2271" t="s">
        <v>13</v>
      </c>
      <c r="L2271" t="s">
        <v>26</v>
      </c>
      <c r="M2271" t="s">
        <v>88</v>
      </c>
      <c r="N2271" t="s">
        <v>89</v>
      </c>
    </row>
    <row r="2272" spans="1:14" x14ac:dyDescent="0.3">
      <c r="A2272">
        <v>2271</v>
      </c>
      <c r="B2272">
        <v>1013</v>
      </c>
      <c r="C2272">
        <f>1/COUNTIF(pizza_sales[[#All],[order_id]],pizza_sales[[#This Row],[order_id]])</f>
        <v>0.5</v>
      </c>
      <c r="D2272" t="s">
        <v>144</v>
      </c>
      <c r="E2272">
        <v>1</v>
      </c>
      <c r="F2272" s="1">
        <v>42021</v>
      </c>
      <c r="G2272" s="1" t="str">
        <f>TEXT(pizza_sales[[#This Row],[order_date]],"dddd")</f>
        <v>Saturday</v>
      </c>
      <c r="H2272" s="2">
        <v>36526.810185185182</v>
      </c>
      <c r="I2272">
        <v>16.5</v>
      </c>
      <c r="J2272">
        <v>16.5</v>
      </c>
      <c r="K2272" t="s">
        <v>13</v>
      </c>
      <c r="L2272" t="s">
        <v>26</v>
      </c>
      <c r="M2272" t="s">
        <v>48</v>
      </c>
      <c r="N2272" t="s">
        <v>49</v>
      </c>
    </row>
    <row r="2273" spans="1:14" x14ac:dyDescent="0.3">
      <c r="A2273">
        <v>2272</v>
      </c>
      <c r="B2273">
        <v>1014</v>
      </c>
      <c r="C2273">
        <f>1/COUNTIF(pizza_sales[[#All],[order_id]],pizza_sales[[#This Row],[order_id]])</f>
        <v>0.25</v>
      </c>
      <c r="D2273" t="s">
        <v>81</v>
      </c>
      <c r="E2273">
        <v>1</v>
      </c>
      <c r="F2273" s="1">
        <v>42021</v>
      </c>
      <c r="G2273" s="1" t="str">
        <f>TEXT(pizza_sales[[#This Row],[order_date]],"dddd")</f>
        <v>Saturday</v>
      </c>
      <c r="H2273" s="2">
        <v>36526.818252314813</v>
      </c>
      <c r="I2273">
        <v>20.75</v>
      </c>
      <c r="J2273">
        <v>20.75</v>
      </c>
      <c r="K2273" t="s">
        <v>21</v>
      </c>
      <c r="L2273" t="s">
        <v>33</v>
      </c>
      <c r="M2273" t="s">
        <v>82</v>
      </c>
      <c r="N2273" t="s">
        <v>83</v>
      </c>
    </row>
    <row r="2274" spans="1:14" x14ac:dyDescent="0.3">
      <c r="A2274">
        <v>2273</v>
      </c>
      <c r="B2274">
        <v>1014</v>
      </c>
      <c r="C2274">
        <f>1/COUNTIF(pizza_sales[[#All],[order_id]],pizza_sales[[#This Row],[order_id]])</f>
        <v>0.25</v>
      </c>
      <c r="D2274" t="s">
        <v>126</v>
      </c>
      <c r="E2274">
        <v>1</v>
      </c>
      <c r="F2274" s="1">
        <v>42021</v>
      </c>
      <c r="G2274" s="1" t="str">
        <f>TEXT(pizza_sales[[#This Row],[order_date]],"dddd")</f>
        <v>Saturday</v>
      </c>
      <c r="H2274" s="2">
        <v>36526.818252314813</v>
      </c>
      <c r="I2274">
        <v>9.75</v>
      </c>
      <c r="J2274">
        <v>9.75</v>
      </c>
      <c r="K2274" t="s">
        <v>41</v>
      </c>
      <c r="L2274" t="s">
        <v>14</v>
      </c>
      <c r="M2274" t="s">
        <v>78</v>
      </c>
      <c r="N2274" t="s">
        <v>79</v>
      </c>
    </row>
    <row r="2275" spans="1:14" x14ac:dyDescent="0.3">
      <c r="A2275">
        <v>2274</v>
      </c>
      <c r="B2275">
        <v>1014</v>
      </c>
      <c r="C2275">
        <f>1/COUNTIF(pizza_sales[[#All],[order_id]],pizza_sales[[#This Row],[order_id]])</f>
        <v>0.25</v>
      </c>
      <c r="D2275" t="s">
        <v>120</v>
      </c>
      <c r="E2275">
        <v>1</v>
      </c>
      <c r="F2275" s="1">
        <v>42021</v>
      </c>
      <c r="G2275" s="1" t="str">
        <f>TEXT(pizza_sales[[#This Row],[order_date]],"dddd")</f>
        <v>Saturday</v>
      </c>
      <c r="H2275" s="2">
        <v>36526.818252314813</v>
      </c>
      <c r="I2275">
        <v>12.5</v>
      </c>
      <c r="J2275">
        <v>12.5</v>
      </c>
      <c r="K2275" t="s">
        <v>41</v>
      </c>
      <c r="L2275" t="s">
        <v>26</v>
      </c>
      <c r="M2275" t="s">
        <v>38</v>
      </c>
      <c r="N2275" t="s">
        <v>39</v>
      </c>
    </row>
    <row r="2276" spans="1:14" x14ac:dyDescent="0.3">
      <c r="A2276">
        <v>2275</v>
      </c>
      <c r="B2276">
        <v>1014</v>
      </c>
      <c r="C2276">
        <f>1/COUNTIF(pizza_sales[[#All],[order_id]],pizza_sales[[#This Row],[order_id]])</f>
        <v>0.25</v>
      </c>
      <c r="D2276" t="s">
        <v>69</v>
      </c>
      <c r="E2276">
        <v>1</v>
      </c>
      <c r="F2276" s="1">
        <v>42021</v>
      </c>
      <c r="G2276" s="1" t="str">
        <f>TEXT(pizza_sales[[#This Row],[order_date]],"dddd")</f>
        <v>Saturday</v>
      </c>
      <c r="H2276" s="2">
        <v>36526.818252314813</v>
      </c>
      <c r="I2276">
        <v>20.75</v>
      </c>
      <c r="J2276">
        <v>20.75</v>
      </c>
      <c r="K2276" t="s">
        <v>21</v>
      </c>
      <c r="L2276" t="s">
        <v>33</v>
      </c>
      <c r="M2276" t="s">
        <v>70</v>
      </c>
      <c r="N2276" t="s">
        <v>71</v>
      </c>
    </row>
    <row r="2277" spans="1:14" x14ac:dyDescent="0.3">
      <c r="A2277">
        <v>2276</v>
      </c>
      <c r="B2277">
        <v>1015</v>
      </c>
      <c r="C2277">
        <f>1/COUNTIF(pizza_sales[[#All],[order_id]],pizza_sales[[#This Row],[order_id]])</f>
        <v>1</v>
      </c>
      <c r="D2277" t="s">
        <v>32</v>
      </c>
      <c r="E2277">
        <v>1</v>
      </c>
      <c r="F2277" s="1">
        <v>42021</v>
      </c>
      <c r="G2277" s="1" t="str">
        <f>TEXT(pizza_sales[[#This Row],[order_date]],"dddd")</f>
        <v>Saturday</v>
      </c>
      <c r="H2277" s="2">
        <v>36526.821423611109</v>
      </c>
      <c r="I2277">
        <v>20.75</v>
      </c>
      <c r="J2277">
        <v>20.75</v>
      </c>
      <c r="K2277" t="s">
        <v>21</v>
      </c>
      <c r="L2277" t="s">
        <v>33</v>
      </c>
      <c r="M2277" t="s">
        <v>34</v>
      </c>
      <c r="N2277" t="s">
        <v>35</v>
      </c>
    </row>
    <row r="2278" spans="1:14" x14ac:dyDescent="0.3">
      <c r="A2278">
        <v>2277</v>
      </c>
      <c r="B2278">
        <v>1016</v>
      </c>
      <c r="C2278">
        <f>1/COUNTIF(pizza_sales[[#All],[order_id]],pizza_sales[[#This Row],[order_id]])</f>
        <v>0.33333333333333331</v>
      </c>
      <c r="D2278" t="s">
        <v>76</v>
      </c>
      <c r="E2278">
        <v>1</v>
      </c>
      <c r="F2278" s="1">
        <v>42021</v>
      </c>
      <c r="G2278" s="1" t="str">
        <f>TEXT(pizza_sales[[#This Row],[order_date]],"dddd")</f>
        <v>Saturday</v>
      </c>
      <c r="H2278" s="2">
        <v>36526.822638888887</v>
      </c>
      <c r="I2278">
        <v>16.75</v>
      </c>
      <c r="J2278">
        <v>16.75</v>
      </c>
      <c r="K2278" t="s">
        <v>13</v>
      </c>
      <c r="L2278" t="s">
        <v>33</v>
      </c>
      <c r="M2278" t="s">
        <v>74</v>
      </c>
      <c r="N2278" t="s">
        <v>75</v>
      </c>
    </row>
    <row r="2279" spans="1:14" x14ac:dyDescent="0.3">
      <c r="A2279">
        <v>2278</v>
      </c>
      <c r="B2279">
        <v>1016</v>
      </c>
      <c r="C2279">
        <f>1/COUNTIF(pizza_sales[[#All],[order_id]],pizza_sales[[#This Row],[order_id]])</f>
        <v>0.33333333333333331</v>
      </c>
      <c r="D2279" t="s">
        <v>12</v>
      </c>
      <c r="E2279">
        <v>1</v>
      </c>
      <c r="F2279" s="1">
        <v>42021</v>
      </c>
      <c r="G2279" s="1" t="str">
        <f>TEXT(pizza_sales[[#This Row],[order_date]],"dddd")</f>
        <v>Saturday</v>
      </c>
      <c r="H2279" s="2">
        <v>36526.822638888887</v>
      </c>
      <c r="I2279">
        <v>13.25</v>
      </c>
      <c r="J2279">
        <v>13.25</v>
      </c>
      <c r="K2279" t="s">
        <v>13</v>
      </c>
      <c r="L2279" t="s">
        <v>14</v>
      </c>
      <c r="M2279" t="s">
        <v>15</v>
      </c>
      <c r="N2279" t="s">
        <v>16</v>
      </c>
    </row>
    <row r="2280" spans="1:14" x14ac:dyDescent="0.3">
      <c r="A2280">
        <v>2279</v>
      </c>
      <c r="B2280">
        <v>1016</v>
      </c>
      <c r="C2280">
        <f>1/COUNTIF(pizza_sales[[#All],[order_id]],pizza_sales[[#This Row],[order_id]])</f>
        <v>0.33333333333333331</v>
      </c>
      <c r="D2280" t="s">
        <v>149</v>
      </c>
      <c r="E2280">
        <v>1</v>
      </c>
      <c r="F2280" s="1">
        <v>42021</v>
      </c>
      <c r="G2280" s="1" t="str">
        <f>TEXT(pizza_sales[[#This Row],[order_date]],"dddd")</f>
        <v>Saturday</v>
      </c>
      <c r="H2280" s="2">
        <v>36526.822638888887</v>
      </c>
      <c r="I2280">
        <v>12.25</v>
      </c>
      <c r="J2280">
        <v>12.25</v>
      </c>
      <c r="K2280" t="s">
        <v>41</v>
      </c>
      <c r="L2280" t="s">
        <v>26</v>
      </c>
      <c r="M2280" t="s">
        <v>114</v>
      </c>
      <c r="N2280" t="s">
        <v>115</v>
      </c>
    </row>
    <row r="2281" spans="1:14" x14ac:dyDescent="0.3">
      <c r="A2281">
        <v>2280</v>
      </c>
      <c r="B2281">
        <v>1017</v>
      </c>
      <c r="C2281">
        <f>1/COUNTIF(pizza_sales[[#All],[order_id]],pizza_sales[[#This Row],[order_id]])</f>
        <v>1</v>
      </c>
      <c r="D2281" t="s">
        <v>76</v>
      </c>
      <c r="E2281">
        <v>1</v>
      </c>
      <c r="F2281" s="1">
        <v>42021</v>
      </c>
      <c r="G2281" s="1" t="str">
        <f>TEXT(pizza_sales[[#This Row],[order_date]],"dddd")</f>
        <v>Saturday</v>
      </c>
      <c r="H2281" s="2">
        <v>36526.842731481483</v>
      </c>
      <c r="I2281">
        <v>16.75</v>
      </c>
      <c r="J2281">
        <v>16.75</v>
      </c>
      <c r="K2281" t="s">
        <v>13</v>
      </c>
      <c r="L2281" t="s">
        <v>33</v>
      </c>
      <c r="M2281" t="s">
        <v>74</v>
      </c>
      <c r="N2281" t="s">
        <v>75</v>
      </c>
    </row>
    <row r="2282" spans="1:14" x14ac:dyDescent="0.3">
      <c r="A2282">
        <v>2281</v>
      </c>
      <c r="B2282">
        <v>1018</v>
      </c>
      <c r="C2282">
        <f>1/COUNTIF(pizza_sales[[#All],[order_id]],pizza_sales[[#This Row],[order_id]])</f>
        <v>0.33333333333333331</v>
      </c>
      <c r="D2282" t="s">
        <v>72</v>
      </c>
      <c r="E2282">
        <v>1</v>
      </c>
      <c r="F2282" s="1">
        <v>42021</v>
      </c>
      <c r="G2282" s="1" t="str">
        <f>TEXT(pizza_sales[[#This Row],[order_date]],"dddd")</f>
        <v>Saturday</v>
      </c>
      <c r="H2282" s="2">
        <v>36526.860300925924</v>
      </c>
      <c r="I2282">
        <v>20.75</v>
      </c>
      <c r="J2282">
        <v>20.75</v>
      </c>
      <c r="K2282" t="s">
        <v>21</v>
      </c>
      <c r="L2282" t="s">
        <v>33</v>
      </c>
      <c r="M2282" t="s">
        <v>42</v>
      </c>
      <c r="N2282" t="s">
        <v>43</v>
      </c>
    </row>
    <row r="2283" spans="1:14" x14ac:dyDescent="0.3">
      <c r="A2283">
        <v>2282</v>
      </c>
      <c r="B2283">
        <v>1018</v>
      </c>
      <c r="C2283">
        <f>1/COUNTIF(pizza_sales[[#All],[order_id]],pizza_sales[[#This Row],[order_id]])</f>
        <v>0.33333333333333331</v>
      </c>
      <c r="D2283" t="s">
        <v>80</v>
      </c>
      <c r="E2283">
        <v>1</v>
      </c>
      <c r="F2283" s="1">
        <v>42021</v>
      </c>
      <c r="G2283" s="1" t="str">
        <f>TEXT(pizza_sales[[#This Row],[order_date]],"dddd")</f>
        <v>Saturday</v>
      </c>
      <c r="H2283" s="2">
        <v>36526.860300925924</v>
      </c>
      <c r="I2283">
        <v>12.75</v>
      </c>
      <c r="J2283">
        <v>12.75</v>
      </c>
      <c r="K2283" t="s">
        <v>41</v>
      </c>
      <c r="L2283" t="s">
        <v>33</v>
      </c>
      <c r="M2283" t="s">
        <v>74</v>
      </c>
      <c r="N2283" t="s">
        <v>75</v>
      </c>
    </row>
    <row r="2284" spans="1:14" x14ac:dyDescent="0.3">
      <c r="A2284">
        <v>2283</v>
      </c>
      <c r="B2284">
        <v>1018</v>
      </c>
      <c r="C2284">
        <f>1/COUNTIF(pizza_sales[[#All],[order_id]],pizza_sales[[#This Row],[order_id]])</f>
        <v>0.33333333333333331</v>
      </c>
      <c r="D2284" t="s">
        <v>143</v>
      </c>
      <c r="E2284">
        <v>1</v>
      </c>
      <c r="F2284" s="1">
        <v>42021</v>
      </c>
      <c r="G2284" s="1" t="str">
        <f>TEXT(pizza_sales[[#This Row],[order_date]],"dddd")</f>
        <v>Saturday</v>
      </c>
      <c r="H2284" s="2">
        <v>36526.860300925924</v>
      </c>
      <c r="I2284">
        <v>11</v>
      </c>
      <c r="J2284">
        <v>11</v>
      </c>
      <c r="K2284" t="s">
        <v>41</v>
      </c>
      <c r="L2284" t="s">
        <v>14</v>
      </c>
      <c r="M2284" t="s">
        <v>130</v>
      </c>
      <c r="N2284" t="s">
        <v>131</v>
      </c>
    </row>
    <row r="2285" spans="1:14" x14ac:dyDescent="0.3">
      <c r="A2285">
        <v>2284</v>
      </c>
      <c r="B2285">
        <v>1019</v>
      </c>
      <c r="C2285">
        <f>1/COUNTIF(pizza_sales[[#All],[order_id]],pizza_sales[[#This Row],[order_id]])</f>
        <v>0.33333333333333331</v>
      </c>
      <c r="D2285" t="s">
        <v>132</v>
      </c>
      <c r="E2285">
        <v>2</v>
      </c>
      <c r="F2285" s="1">
        <v>42021</v>
      </c>
      <c r="G2285" s="1" t="str">
        <f>TEXT(pizza_sales[[#This Row],[order_date]],"dddd")</f>
        <v>Saturday</v>
      </c>
      <c r="H2285" s="2">
        <v>36526.868680555555</v>
      </c>
      <c r="I2285">
        <v>10.5</v>
      </c>
      <c r="J2285">
        <v>21</v>
      </c>
      <c r="K2285" t="s">
        <v>41</v>
      </c>
      <c r="L2285" t="s">
        <v>14</v>
      </c>
      <c r="M2285" t="s">
        <v>15</v>
      </c>
      <c r="N2285" t="s">
        <v>16</v>
      </c>
    </row>
    <row r="2286" spans="1:14" x14ac:dyDescent="0.3">
      <c r="A2286">
        <v>2285</v>
      </c>
      <c r="B2286">
        <v>1019</v>
      </c>
      <c r="C2286">
        <f>1/COUNTIF(pizza_sales[[#All],[order_id]],pizza_sales[[#This Row],[order_id]])</f>
        <v>0.33333333333333331</v>
      </c>
      <c r="D2286" t="s">
        <v>172</v>
      </c>
      <c r="E2286">
        <v>1</v>
      </c>
      <c r="F2286" s="1">
        <v>42021</v>
      </c>
      <c r="G2286" s="1" t="str">
        <f>TEXT(pizza_sales[[#This Row],[order_date]],"dddd")</f>
        <v>Saturday</v>
      </c>
      <c r="H2286" s="2">
        <v>36526.868680555555</v>
      </c>
      <c r="I2286">
        <v>12.5</v>
      </c>
      <c r="J2286">
        <v>12.5</v>
      </c>
      <c r="K2286" t="s">
        <v>41</v>
      </c>
      <c r="L2286" t="s">
        <v>26</v>
      </c>
      <c r="M2286" t="s">
        <v>88</v>
      </c>
      <c r="N2286" t="s">
        <v>89</v>
      </c>
    </row>
    <row r="2287" spans="1:14" x14ac:dyDescent="0.3">
      <c r="A2287">
        <v>2286</v>
      </c>
      <c r="B2287">
        <v>1019</v>
      </c>
      <c r="C2287">
        <f>1/COUNTIF(pizza_sales[[#All],[order_id]],pizza_sales[[#This Row],[order_id]])</f>
        <v>0.33333333333333331</v>
      </c>
      <c r="D2287" t="s">
        <v>136</v>
      </c>
      <c r="E2287">
        <v>1</v>
      </c>
      <c r="F2287" s="1">
        <v>42021</v>
      </c>
      <c r="G2287" s="1" t="str">
        <f>TEXT(pizza_sales[[#This Row],[order_date]],"dddd")</f>
        <v>Saturday</v>
      </c>
      <c r="H2287" s="2">
        <v>36526.868680555555</v>
      </c>
      <c r="I2287">
        <v>12.5</v>
      </c>
      <c r="J2287">
        <v>12.5</v>
      </c>
      <c r="K2287" t="s">
        <v>41</v>
      </c>
      <c r="L2287" t="s">
        <v>22</v>
      </c>
      <c r="M2287" t="s">
        <v>63</v>
      </c>
      <c r="N2287" t="s">
        <v>64</v>
      </c>
    </row>
    <row r="2288" spans="1:14" x14ac:dyDescent="0.3">
      <c r="A2288">
        <v>2287</v>
      </c>
      <c r="B2288">
        <v>1020</v>
      </c>
      <c r="C2288">
        <f>1/COUNTIF(pizza_sales[[#All],[order_id]],pizza_sales[[#This Row],[order_id]])</f>
        <v>0.25</v>
      </c>
      <c r="D2288" t="s">
        <v>72</v>
      </c>
      <c r="E2288">
        <v>1</v>
      </c>
      <c r="F2288" s="1">
        <v>42021</v>
      </c>
      <c r="G2288" s="1" t="str">
        <f>TEXT(pizza_sales[[#This Row],[order_date]],"dddd")</f>
        <v>Saturday</v>
      </c>
      <c r="H2288" s="2">
        <v>36526.878009259257</v>
      </c>
      <c r="I2288">
        <v>20.75</v>
      </c>
      <c r="J2288">
        <v>20.75</v>
      </c>
      <c r="K2288" t="s">
        <v>21</v>
      </c>
      <c r="L2288" t="s">
        <v>33</v>
      </c>
      <c r="M2288" t="s">
        <v>42</v>
      </c>
      <c r="N2288" t="s">
        <v>43</v>
      </c>
    </row>
    <row r="2289" spans="1:14" x14ac:dyDescent="0.3">
      <c r="A2289">
        <v>2288</v>
      </c>
      <c r="B2289">
        <v>1020</v>
      </c>
      <c r="C2289">
        <f>1/COUNTIF(pizza_sales[[#All],[order_id]],pizza_sales[[#This Row],[order_id]])</f>
        <v>0.25</v>
      </c>
      <c r="D2289" t="s">
        <v>40</v>
      </c>
      <c r="E2289">
        <v>1</v>
      </c>
      <c r="F2289" s="1">
        <v>42021</v>
      </c>
      <c r="G2289" s="1" t="str">
        <f>TEXT(pizza_sales[[#This Row],[order_date]],"dddd")</f>
        <v>Saturday</v>
      </c>
      <c r="H2289" s="2">
        <v>36526.878009259257</v>
      </c>
      <c r="I2289">
        <v>12.75</v>
      </c>
      <c r="J2289">
        <v>12.75</v>
      </c>
      <c r="K2289" t="s">
        <v>41</v>
      </c>
      <c r="L2289" t="s">
        <v>33</v>
      </c>
      <c r="M2289" t="s">
        <v>42</v>
      </c>
      <c r="N2289" t="s">
        <v>43</v>
      </c>
    </row>
    <row r="2290" spans="1:14" x14ac:dyDescent="0.3">
      <c r="A2290">
        <v>2289</v>
      </c>
      <c r="B2290">
        <v>1020</v>
      </c>
      <c r="C2290">
        <f>1/COUNTIF(pizza_sales[[#All],[order_id]],pizza_sales[[#This Row],[order_id]])</f>
        <v>0.25</v>
      </c>
      <c r="D2290" t="s">
        <v>119</v>
      </c>
      <c r="E2290">
        <v>1</v>
      </c>
      <c r="F2290" s="1">
        <v>42021</v>
      </c>
      <c r="G2290" s="1" t="str">
        <f>TEXT(pizza_sales[[#This Row],[order_date]],"dddd")</f>
        <v>Saturday</v>
      </c>
      <c r="H2290" s="2">
        <v>36526.878009259257</v>
      </c>
      <c r="I2290">
        <v>12.5</v>
      </c>
      <c r="J2290">
        <v>12.5</v>
      </c>
      <c r="K2290" t="s">
        <v>13</v>
      </c>
      <c r="L2290" t="s">
        <v>14</v>
      </c>
      <c r="M2290" t="s">
        <v>78</v>
      </c>
      <c r="N2290" t="s">
        <v>79</v>
      </c>
    </row>
    <row r="2291" spans="1:14" x14ac:dyDescent="0.3">
      <c r="A2291">
        <v>2290</v>
      </c>
      <c r="B2291">
        <v>1020</v>
      </c>
      <c r="C2291">
        <f>1/COUNTIF(pizza_sales[[#All],[order_id]],pizza_sales[[#This Row],[order_id]])</f>
        <v>0.25</v>
      </c>
      <c r="D2291" t="s">
        <v>69</v>
      </c>
      <c r="E2291">
        <v>1</v>
      </c>
      <c r="F2291" s="1">
        <v>42021</v>
      </c>
      <c r="G2291" s="1" t="str">
        <f>TEXT(pizza_sales[[#This Row],[order_date]],"dddd")</f>
        <v>Saturday</v>
      </c>
      <c r="H2291" s="2">
        <v>36526.878009259257</v>
      </c>
      <c r="I2291">
        <v>20.75</v>
      </c>
      <c r="J2291">
        <v>20.75</v>
      </c>
      <c r="K2291" t="s">
        <v>21</v>
      </c>
      <c r="L2291" t="s">
        <v>33</v>
      </c>
      <c r="M2291" t="s">
        <v>70</v>
      </c>
      <c r="N2291" t="s">
        <v>71</v>
      </c>
    </row>
    <row r="2292" spans="1:14" x14ac:dyDescent="0.3">
      <c r="A2292">
        <v>2291</v>
      </c>
      <c r="B2292">
        <v>1021</v>
      </c>
      <c r="C2292">
        <f>1/COUNTIF(pizza_sales[[#All],[order_id]],pizza_sales[[#This Row],[order_id]])</f>
        <v>0.25</v>
      </c>
      <c r="D2292" t="s">
        <v>72</v>
      </c>
      <c r="E2292">
        <v>1</v>
      </c>
      <c r="F2292" s="1">
        <v>42021</v>
      </c>
      <c r="G2292" s="1" t="str">
        <f>TEXT(pizza_sales[[#This Row],[order_date]],"dddd")</f>
        <v>Saturday</v>
      </c>
      <c r="H2292" s="2">
        <v>36526.882997685185</v>
      </c>
      <c r="I2292">
        <v>20.75</v>
      </c>
      <c r="J2292">
        <v>20.75</v>
      </c>
      <c r="K2292" t="s">
        <v>21</v>
      </c>
      <c r="L2292" t="s">
        <v>33</v>
      </c>
      <c r="M2292" t="s">
        <v>42</v>
      </c>
      <c r="N2292" t="s">
        <v>43</v>
      </c>
    </row>
    <row r="2293" spans="1:14" x14ac:dyDescent="0.3">
      <c r="A2293">
        <v>2292</v>
      </c>
      <c r="B2293">
        <v>1021</v>
      </c>
      <c r="C2293">
        <f>1/COUNTIF(pizza_sales[[#All],[order_id]],pizza_sales[[#This Row],[order_id]])</f>
        <v>0.25</v>
      </c>
      <c r="D2293" t="s">
        <v>73</v>
      </c>
      <c r="E2293">
        <v>1</v>
      </c>
      <c r="F2293" s="1">
        <v>42021</v>
      </c>
      <c r="G2293" s="1" t="str">
        <f>TEXT(pizza_sales[[#This Row],[order_date]],"dddd")</f>
        <v>Saturday</v>
      </c>
      <c r="H2293" s="2">
        <v>36526.882997685185</v>
      </c>
      <c r="I2293">
        <v>20.75</v>
      </c>
      <c r="J2293">
        <v>20.75</v>
      </c>
      <c r="K2293" t="s">
        <v>21</v>
      </c>
      <c r="L2293" t="s">
        <v>33</v>
      </c>
      <c r="M2293" t="s">
        <v>74</v>
      </c>
      <c r="N2293" t="s">
        <v>75</v>
      </c>
    </row>
    <row r="2294" spans="1:14" x14ac:dyDescent="0.3">
      <c r="A2294">
        <v>2293</v>
      </c>
      <c r="B2294">
        <v>1021</v>
      </c>
      <c r="C2294">
        <f>1/COUNTIF(pizza_sales[[#All],[order_id]],pizza_sales[[#This Row],[order_id]])</f>
        <v>0.25</v>
      </c>
      <c r="D2294" t="s">
        <v>161</v>
      </c>
      <c r="E2294">
        <v>1</v>
      </c>
      <c r="F2294" s="1">
        <v>42021</v>
      </c>
      <c r="G2294" s="1" t="str">
        <f>TEXT(pizza_sales[[#This Row],[order_date]],"dddd")</f>
        <v>Saturday</v>
      </c>
      <c r="H2294" s="2">
        <v>36526.882997685185</v>
      </c>
      <c r="I2294">
        <v>12</v>
      </c>
      <c r="J2294">
        <v>12</v>
      </c>
      <c r="K2294" t="s">
        <v>41</v>
      </c>
      <c r="L2294" t="s">
        <v>22</v>
      </c>
      <c r="M2294" t="s">
        <v>104</v>
      </c>
      <c r="N2294" t="s">
        <v>105</v>
      </c>
    </row>
    <row r="2295" spans="1:14" x14ac:dyDescent="0.3">
      <c r="A2295">
        <v>2294</v>
      </c>
      <c r="B2295">
        <v>1021</v>
      </c>
      <c r="C2295">
        <f>1/COUNTIF(pizza_sales[[#All],[order_id]],pizza_sales[[#This Row],[order_id]])</f>
        <v>0.25</v>
      </c>
      <c r="D2295" t="s">
        <v>119</v>
      </c>
      <c r="E2295">
        <v>1</v>
      </c>
      <c r="F2295" s="1">
        <v>42021</v>
      </c>
      <c r="G2295" s="1" t="str">
        <f>TEXT(pizza_sales[[#This Row],[order_date]],"dddd")</f>
        <v>Saturday</v>
      </c>
      <c r="H2295" s="2">
        <v>36526.882997685185</v>
      </c>
      <c r="I2295">
        <v>12.5</v>
      </c>
      <c r="J2295">
        <v>12.5</v>
      </c>
      <c r="K2295" t="s">
        <v>13</v>
      </c>
      <c r="L2295" t="s">
        <v>14</v>
      </c>
      <c r="M2295" t="s">
        <v>78</v>
      </c>
      <c r="N2295" t="s">
        <v>79</v>
      </c>
    </row>
    <row r="2296" spans="1:14" x14ac:dyDescent="0.3">
      <c r="A2296">
        <v>2295</v>
      </c>
      <c r="B2296">
        <v>1022</v>
      </c>
      <c r="C2296">
        <f>1/COUNTIF(pizza_sales[[#All],[order_id]],pizza_sales[[#This Row],[order_id]])</f>
        <v>1</v>
      </c>
      <c r="D2296" t="s">
        <v>32</v>
      </c>
      <c r="E2296">
        <v>1</v>
      </c>
      <c r="F2296" s="1">
        <v>42021</v>
      </c>
      <c r="G2296" s="1" t="str">
        <f>TEXT(pizza_sales[[#This Row],[order_date]],"dddd")</f>
        <v>Saturday</v>
      </c>
      <c r="H2296" s="2">
        <v>36526.886122685188</v>
      </c>
      <c r="I2296">
        <v>20.75</v>
      </c>
      <c r="J2296">
        <v>20.75</v>
      </c>
      <c r="K2296" t="s">
        <v>21</v>
      </c>
      <c r="L2296" t="s">
        <v>33</v>
      </c>
      <c r="M2296" t="s">
        <v>34</v>
      </c>
      <c r="N2296" t="s">
        <v>35</v>
      </c>
    </row>
    <row r="2297" spans="1:14" x14ac:dyDescent="0.3">
      <c r="A2297">
        <v>2296</v>
      </c>
      <c r="B2297">
        <v>1023</v>
      </c>
      <c r="C2297">
        <f>1/COUNTIF(pizza_sales[[#All],[order_id]],pizza_sales[[#This Row],[order_id]])</f>
        <v>1</v>
      </c>
      <c r="D2297" t="s">
        <v>116</v>
      </c>
      <c r="E2297">
        <v>1</v>
      </c>
      <c r="F2297" s="1">
        <v>42021</v>
      </c>
      <c r="G2297" s="1" t="str">
        <f>TEXT(pizza_sales[[#This Row],[order_date]],"dddd")</f>
        <v>Saturday</v>
      </c>
      <c r="H2297" s="2">
        <v>36526.889097222222</v>
      </c>
      <c r="I2297">
        <v>16</v>
      </c>
      <c r="J2297">
        <v>16</v>
      </c>
      <c r="K2297" t="s">
        <v>13</v>
      </c>
      <c r="L2297" t="s">
        <v>14</v>
      </c>
      <c r="M2297" t="s">
        <v>55</v>
      </c>
      <c r="N2297" t="s">
        <v>56</v>
      </c>
    </row>
    <row r="2298" spans="1:14" x14ac:dyDescent="0.3">
      <c r="A2298">
        <v>2297</v>
      </c>
      <c r="B2298">
        <v>1024</v>
      </c>
      <c r="C2298">
        <f>1/COUNTIF(pizza_sales[[#All],[order_id]],pizza_sales[[#This Row],[order_id]])</f>
        <v>1</v>
      </c>
      <c r="D2298" t="s">
        <v>72</v>
      </c>
      <c r="E2298">
        <v>1</v>
      </c>
      <c r="F2298" s="1">
        <v>42021</v>
      </c>
      <c r="G2298" s="1" t="str">
        <f>TEXT(pizza_sales[[#This Row],[order_date]],"dddd")</f>
        <v>Saturday</v>
      </c>
      <c r="H2298" s="2">
        <v>36526.889849537038</v>
      </c>
      <c r="I2298">
        <v>20.75</v>
      </c>
      <c r="J2298">
        <v>20.75</v>
      </c>
      <c r="K2298" t="s">
        <v>21</v>
      </c>
      <c r="L2298" t="s">
        <v>33</v>
      </c>
      <c r="M2298" t="s">
        <v>42</v>
      </c>
      <c r="N2298" t="s">
        <v>43</v>
      </c>
    </row>
    <row r="2299" spans="1:14" x14ac:dyDescent="0.3">
      <c r="A2299">
        <v>2298</v>
      </c>
      <c r="B2299">
        <v>1025</v>
      </c>
      <c r="C2299">
        <f>1/COUNTIF(pizza_sales[[#All],[order_id]],pizza_sales[[#This Row],[order_id]])</f>
        <v>0.33333333333333331</v>
      </c>
      <c r="D2299" t="s">
        <v>143</v>
      </c>
      <c r="E2299">
        <v>1</v>
      </c>
      <c r="F2299" s="1">
        <v>42021</v>
      </c>
      <c r="G2299" s="1" t="str">
        <f>TEXT(pizza_sales[[#This Row],[order_date]],"dddd")</f>
        <v>Saturday</v>
      </c>
      <c r="H2299" s="2">
        <v>36526.90902777778</v>
      </c>
      <c r="I2299">
        <v>11</v>
      </c>
      <c r="J2299">
        <v>11</v>
      </c>
      <c r="K2299" t="s">
        <v>41</v>
      </c>
      <c r="L2299" t="s">
        <v>14</v>
      </c>
      <c r="M2299" t="s">
        <v>130</v>
      </c>
      <c r="N2299" t="s">
        <v>131</v>
      </c>
    </row>
    <row r="2300" spans="1:14" x14ac:dyDescent="0.3">
      <c r="A2300">
        <v>2299</v>
      </c>
      <c r="B2300">
        <v>1025</v>
      </c>
      <c r="C2300">
        <f>1/COUNTIF(pizza_sales[[#All],[order_id]],pizza_sales[[#This Row],[order_id]])</f>
        <v>0.33333333333333331</v>
      </c>
      <c r="D2300" t="s">
        <v>77</v>
      </c>
      <c r="E2300">
        <v>1</v>
      </c>
      <c r="F2300" s="1">
        <v>42021</v>
      </c>
      <c r="G2300" s="1" t="str">
        <f>TEXT(pizza_sales[[#This Row],[order_date]],"dddd")</f>
        <v>Saturday</v>
      </c>
      <c r="H2300" s="2">
        <v>36526.90902777778</v>
      </c>
      <c r="I2300">
        <v>15.25</v>
      </c>
      <c r="J2300">
        <v>15.25</v>
      </c>
      <c r="K2300" t="s">
        <v>21</v>
      </c>
      <c r="L2300" t="s">
        <v>14</v>
      </c>
      <c r="M2300" t="s">
        <v>78</v>
      </c>
      <c r="N2300" t="s">
        <v>79</v>
      </c>
    </row>
    <row r="2301" spans="1:14" x14ac:dyDescent="0.3">
      <c r="A2301">
        <v>2300</v>
      </c>
      <c r="B2301">
        <v>1025</v>
      </c>
      <c r="C2301">
        <f>1/COUNTIF(pizza_sales[[#All],[order_id]],pizza_sales[[#This Row],[order_id]])</f>
        <v>0.33333333333333331</v>
      </c>
      <c r="D2301" t="s">
        <v>122</v>
      </c>
      <c r="E2301">
        <v>1</v>
      </c>
      <c r="F2301" s="1">
        <v>42021</v>
      </c>
      <c r="G2301" s="1" t="str">
        <f>TEXT(pizza_sales[[#This Row],[order_date]],"dddd")</f>
        <v>Saturday</v>
      </c>
      <c r="H2301" s="2">
        <v>36526.90902777778</v>
      </c>
      <c r="I2301">
        <v>20.25</v>
      </c>
      <c r="J2301">
        <v>20.25</v>
      </c>
      <c r="K2301" t="s">
        <v>21</v>
      </c>
      <c r="L2301" t="s">
        <v>22</v>
      </c>
      <c r="M2301" t="s">
        <v>66</v>
      </c>
      <c r="N2301" t="s">
        <v>67</v>
      </c>
    </row>
    <row r="2302" spans="1:14" x14ac:dyDescent="0.3">
      <c r="A2302">
        <v>2301</v>
      </c>
      <c r="B2302">
        <v>1026</v>
      </c>
      <c r="C2302">
        <f>1/COUNTIF(pizza_sales[[#All],[order_id]],pizza_sales[[#This Row],[order_id]])</f>
        <v>0.5</v>
      </c>
      <c r="D2302" t="s">
        <v>73</v>
      </c>
      <c r="E2302">
        <v>1</v>
      </c>
      <c r="F2302" s="1">
        <v>42021</v>
      </c>
      <c r="G2302" s="1" t="str">
        <f>TEXT(pizza_sales[[#This Row],[order_date]],"dddd")</f>
        <v>Saturday</v>
      </c>
      <c r="H2302" s="2">
        <v>36526.913252314815</v>
      </c>
      <c r="I2302">
        <v>20.75</v>
      </c>
      <c r="J2302">
        <v>20.75</v>
      </c>
      <c r="K2302" t="s">
        <v>21</v>
      </c>
      <c r="L2302" t="s">
        <v>33</v>
      </c>
      <c r="M2302" t="s">
        <v>74</v>
      </c>
      <c r="N2302" t="s">
        <v>75</v>
      </c>
    </row>
    <row r="2303" spans="1:14" x14ac:dyDescent="0.3">
      <c r="A2303">
        <v>2302</v>
      </c>
      <c r="B2303">
        <v>1026</v>
      </c>
      <c r="C2303">
        <f>1/COUNTIF(pizza_sales[[#All],[order_id]],pizza_sales[[#This Row],[order_id]])</f>
        <v>0.5</v>
      </c>
      <c r="D2303" t="s">
        <v>138</v>
      </c>
      <c r="E2303">
        <v>1</v>
      </c>
      <c r="F2303" s="1">
        <v>42021</v>
      </c>
      <c r="G2303" s="1" t="str">
        <f>TEXT(pizza_sales[[#This Row],[order_date]],"dddd")</f>
        <v>Saturday</v>
      </c>
      <c r="H2303" s="2">
        <v>36526.913252314815</v>
      </c>
      <c r="I2303">
        <v>20.5</v>
      </c>
      <c r="J2303">
        <v>20.5</v>
      </c>
      <c r="K2303" t="s">
        <v>21</v>
      </c>
      <c r="L2303" t="s">
        <v>14</v>
      </c>
      <c r="M2303" t="s">
        <v>18</v>
      </c>
      <c r="N2303" t="s">
        <v>19</v>
      </c>
    </row>
    <row r="2304" spans="1:14" x14ac:dyDescent="0.3">
      <c r="A2304">
        <v>2303</v>
      </c>
      <c r="B2304">
        <v>1027</v>
      </c>
      <c r="C2304">
        <f>1/COUNTIF(pizza_sales[[#All],[order_id]],pizza_sales[[#This Row],[order_id]])</f>
        <v>1</v>
      </c>
      <c r="D2304" t="s">
        <v>90</v>
      </c>
      <c r="E2304">
        <v>1</v>
      </c>
      <c r="F2304" s="1">
        <v>42021</v>
      </c>
      <c r="G2304" s="1" t="str">
        <f>TEXT(pizza_sales[[#This Row],[order_date]],"dddd")</f>
        <v>Saturday</v>
      </c>
      <c r="H2304" s="2">
        <v>36526.914606481485</v>
      </c>
      <c r="I2304">
        <v>17.95</v>
      </c>
      <c r="J2304">
        <v>17.95</v>
      </c>
      <c r="K2304" t="s">
        <v>21</v>
      </c>
      <c r="L2304" t="s">
        <v>22</v>
      </c>
      <c r="M2304" t="s">
        <v>91</v>
      </c>
      <c r="N2304" t="s">
        <v>92</v>
      </c>
    </row>
    <row r="2305" spans="1:14" x14ac:dyDescent="0.3">
      <c r="A2305">
        <v>2304</v>
      </c>
      <c r="B2305">
        <v>1028</v>
      </c>
      <c r="C2305">
        <f>1/COUNTIF(pizza_sales[[#All],[order_id]],pizza_sales[[#This Row],[order_id]])</f>
        <v>0.5</v>
      </c>
      <c r="D2305" t="s">
        <v>112</v>
      </c>
      <c r="E2305">
        <v>1</v>
      </c>
      <c r="F2305" s="1">
        <v>42021</v>
      </c>
      <c r="G2305" s="1" t="str">
        <f>TEXT(pizza_sales[[#This Row],[order_date]],"dddd")</f>
        <v>Saturday</v>
      </c>
      <c r="H2305" s="2">
        <v>36526.918576388889</v>
      </c>
      <c r="I2305">
        <v>20.5</v>
      </c>
      <c r="J2305">
        <v>20.5</v>
      </c>
      <c r="K2305" t="s">
        <v>21</v>
      </c>
      <c r="L2305" t="s">
        <v>14</v>
      </c>
      <c r="M2305" t="s">
        <v>94</v>
      </c>
      <c r="N2305" t="s">
        <v>95</v>
      </c>
    </row>
    <row r="2306" spans="1:14" x14ac:dyDescent="0.3">
      <c r="A2306">
        <v>2305</v>
      </c>
      <c r="B2306">
        <v>1028</v>
      </c>
      <c r="C2306">
        <f>1/COUNTIF(pizza_sales[[#All],[order_id]],pizza_sales[[#This Row],[order_id]])</f>
        <v>0.5</v>
      </c>
      <c r="D2306" t="s">
        <v>113</v>
      </c>
      <c r="E2306">
        <v>1</v>
      </c>
      <c r="F2306" s="1">
        <v>42021</v>
      </c>
      <c r="G2306" s="1" t="str">
        <f>TEXT(pizza_sales[[#This Row],[order_date]],"dddd")</f>
        <v>Saturday</v>
      </c>
      <c r="H2306" s="2">
        <v>36526.918576388889</v>
      </c>
      <c r="I2306">
        <v>20.25</v>
      </c>
      <c r="J2306">
        <v>20.25</v>
      </c>
      <c r="K2306" t="s">
        <v>21</v>
      </c>
      <c r="L2306" t="s">
        <v>26</v>
      </c>
      <c r="M2306" t="s">
        <v>114</v>
      </c>
      <c r="N2306" t="s">
        <v>115</v>
      </c>
    </row>
    <row r="2307" spans="1:14" x14ac:dyDescent="0.3">
      <c r="A2307">
        <v>2306</v>
      </c>
      <c r="B2307">
        <v>1029</v>
      </c>
      <c r="C2307">
        <f>1/COUNTIF(pizza_sales[[#All],[order_id]],pizza_sales[[#This Row],[order_id]])</f>
        <v>0.5</v>
      </c>
      <c r="D2307" t="s">
        <v>121</v>
      </c>
      <c r="E2307">
        <v>1</v>
      </c>
      <c r="F2307" s="1">
        <v>42021</v>
      </c>
      <c r="G2307" s="1" t="str">
        <f>TEXT(pizza_sales[[#This Row],[order_date]],"dddd")</f>
        <v>Saturday</v>
      </c>
      <c r="H2307" s="2">
        <v>36526.92114583333</v>
      </c>
      <c r="I2307">
        <v>16.25</v>
      </c>
      <c r="J2307">
        <v>16.25</v>
      </c>
      <c r="K2307" t="s">
        <v>13</v>
      </c>
      <c r="L2307" t="s">
        <v>26</v>
      </c>
      <c r="M2307" t="s">
        <v>114</v>
      </c>
      <c r="N2307" t="s">
        <v>115</v>
      </c>
    </row>
    <row r="2308" spans="1:14" x14ac:dyDescent="0.3">
      <c r="A2308">
        <v>2307</v>
      </c>
      <c r="B2308">
        <v>1029</v>
      </c>
      <c r="C2308">
        <f>1/COUNTIF(pizza_sales[[#All],[order_id]],pizza_sales[[#This Row],[order_id]])</f>
        <v>0.5</v>
      </c>
      <c r="D2308" t="s">
        <v>170</v>
      </c>
      <c r="E2308">
        <v>1</v>
      </c>
      <c r="F2308" s="1">
        <v>42021</v>
      </c>
      <c r="G2308" s="1" t="str">
        <f>TEXT(pizza_sales[[#This Row],[order_date]],"dddd")</f>
        <v>Saturday</v>
      </c>
      <c r="H2308" s="2">
        <v>36526.92114583333</v>
      </c>
      <c r="I2308">
        <v>20.5</v>
      </c>
      <c r="J2308">
        <v>20.5</v>
      </c>
      <c r="K2308" t="s">
        <v>21</v>
      </c>
      <c r="L2308" t="s">
        <v>14</v>
      </c>
      <c r="M2308" t="s">
        <v>45</v>
      </c>
      <c r="N2308" t="s">
        <v>46</v>
      </c>
    </row>
    <row r="2309" spans="1:14" x14ac:dyDescent="0.3">
      <c r="A2309">
        <v>2308</v>
      </c>
      <c r="B2309">
        <v>1030</v>
      </c>
      <c r="C2309">
        <f>1/COUNTIF(pizza_sales[[#All],[order_id]],pizza_sales[[#This Row],[order_id]])</f>
        <v>0.25</v>
      </c>
      <c r="D2309" t="s">
        <v>126</v>
      </c>
      <c r="E2309">
        <v>1</v>
      </c>
      <c r="F2309" s="1">
        <v>42021</v>
      </c>
      <c r="G2309" s="1" t="str">
        <f>TEXT(pizza_sales[[#This Row],[order_date]],"dddd")</f>
        <v>Saturday</v>
      </c>
      <c r="H2309" s="2">
        <v>36526.926377314812</v>
      </c>
      <c r="I2309">
        <v>9.75</v>
      </c>
      <c r="J2309">
        <v>9.75</v>
      </c>
      <c r="K2309" t="s">
        <v>41</v>
      </c>
      <c r="L2309" t="s">
        <v>14</v>
      </c>
      <c r="M2309" t="s">
        <v>78</v>
      </c>
      <c r="N2309" t="s">
        <v>79</v>
      </c>
    </row>
    <row r="2310" spans="1:14" x14ac:dyDescent="0.3">
      <c r="A2310">
        <v>2309</v>
      </c>
      <c r="B2310">
        <v>1030</v>
      </c>
      <c r="C2310">
        <f>1/COUNTIF(pizza_sales[[#All],[order_id]],pizza_sales[[#This Row],[order_id]])</f>
        <v>0.25</v>
      </c>
      <c r="D2310" t="s">
        <v>135</v>
      </c>
      <c r="E2310">
        <v>1</v>
      </c>
      <c r="F2310" s="1">
        <v>42021</v>
      </c>
      <c r="G2310" s="1" t="str">
        <f>TEXT(pizza_sales[[#This Row],[order_date]],"dddd")</f>
        <v>Saturday</v>
      </c>
      <c r="H2310" s="2">
        <v>36526.926377314812</v>
      </c>
      <c r="I2310">
        <v>20.75</v>
      </c>
      <c r="J2310">
        <v>20.75</v>
      </c>
      <c r="K2310" t="s">
        <v>21</v>
      </c>
      <c r="L2310" t="s">
        <v>26</v>
      </c>
      <c r="M2310" t="s">
        <v>107</v>
      </c>
      <c r="N2310" t="s">
        <v>108</v>
      </c>
    </row>
    <row r="2311" spans="1:14" x14ac:dyDescent="0.3">
      <c r="A2311">
        <v>2310</v>
      </c>
      <c r="B2311">
        <v>1030</v>
      </c>
      <c r="C2311">
        <f>1/COUNTIF(pizza_sales[[#All],[order_id]],pizza_sales[[#This Row],[order_id]])</f>
        <v>0.25</v>
      </c>
      <c r="D2311" t="s">
        <v>149</v>
      </c>
      <c r="E2311">
        <v>1</v>
      </c>
      <c r="F2311" s="1">
        <v>42021</v>
      </c>
      <c r="G2311" s="1" t="str">
        <f>TEXT(pizza_sales[[#This Row],[order_date]],"dddd")</f>
        <v>Saturday</v>
      </c>
      <c r="H2311" s="2">
        <v>36526.926377314812</v>
      </c>
      <c r="I2311">
        <v>12.25</v>
      </c>
      <c r="J2311">
        <v>12.25</v>
      </c>
      <c r="K2311" t="s">
        <v>41</v>
      </c>
      <c r="L2311" t="s">
        <v>26</v>
      </c>
      <c r="M2311" t="s">
        <v>114</v>
      </c>
      <c r="N2311" t="s">
        <v>115</v>
      </c>
    </row>
    <row r="2312" spans="1:14" x14ac:dyDescent="0.3">
      <c r="A2312">
        <v>2311</v>
      </c>
      <c r="B2312">
        <v>1030</v>
      </c>
      <c r="C2312">
        <f>1/COUNTIF(pizza_sales[[#All],[order_id]],pizza_sales[[#This Row],[order_id]])</f>
        <v>0.25</v>
      </c>
      <c r="D2312" t="s">
        <v>59</v>
      </c>
      <c r="E2312">
        <v>1</v>
      </c>
      <c r="F2312" s="1">
        <v>42021</v>
      </c>
      <c r="G2312" s="1" t="str">
        <f>TEXT(pizza_sales[[#This Row],[order_date]],"dddd")</f>
        <v>Saturday</v>
      </c>
      <c r="H2312" s="2">
        <v>36526.926377314812</v>
      </c>
      <c r="I2312">
        <v>20.75</v>
      </c>
      <c r="J2312">
        <v>20.75</v>
      </c>
      <c r="K2312" t="s">
        <v>21</v>
      </c>
      <c r="L2312" t="s">
        <v>26</v>
      </c>
      <c r="M2312" t="s">
        <v>60</v>
      </c>
      <c r="N2312" t="s">
        <v>61</v>
      </c>
    </row>
    <row r="2313" spans="1:14" x14ac:dyDescent="0.3">
      <c r="A2313">
        <v>2312</v>
      </c>
      <c r="B2313">
        <v>1031</v>
      </c>
      <c r="C2313">
        <f>1/COUNTIF(pizza_sales[[#All],[order_id]],pizza_sales[[#This Row],[order_id]])</f>
        <v>0.5</v>
      </c>
      <c r="D2313" t="s">
        <v>138</v>
      </c>
      <c r="E2313">
        <v>1</v>
      </c>
      <c r="F2313" s="1">
        <v>42022</v>
      </c>
      <c r="G2313" s="1" t="str">
        <f>TEXT(pizza_sales[[#This Row],[order_date]],"dddd")</f>
        <v>Sunday</v>
      </c>
      <c r="H2313" s="2">
        <v>36526.485451388886</v>
      </c>
      <c r="I2313">
        <v>20.5</v>
      </c>
      <c r="J2313">
        <v>20.5</v>
      </c>
      <c r="K2313" t="s">
        <v>21</v>
      </c>
      <c r="L2313" t="s">
        <v>14</v>
      </c>
      <c r="M2313" t="s">
        <v>18</v>
      </c>
      <c r="N2313" t="s">
        <v>19</v>
      </c>
    </row>
    <row r="2314" spans="1:14" x14ac:dyDescent="0.3">
      <c r="A2314">
        <v>2313</v>
      </c>
      <c r="B2314">
        <v>1031</v>
      </c>
      <c r="C2314">
        <f>1/COUNTIF(pizza_sales[[#All],[order_id]],pizza_sales[[#This Row],[order_id]])</f>
        <v>0.5</v>
      </c>
      <c r="D2314" t="s">
        <v>142</v>
      </c>
      <c r="E2314">
        <v>1</v>
      </c>
      <c r="F2314" s="1">
        <v>42022</v>
      </c>
      <c r="G2314" s="1" t="str">
        <f>TEXT(pizza_sales[[#This Row],[order_date]],"dddd")</f>
        <v>Sunday</v>
      </c>
      <c r="H2314" s="2">
        <v>36526.485451388886</v>
      </c>
      <c r="I2314">
        <v>16.5</v>
      </c>
      <c r="J2314">
        <v>16.5</v>
      </c>
      <c r="K2314" t="s">
        <v>21</v>
      </c>
      <c r="L2314" t="s">
        <v>14</v>
      </c>
      <c r="M2314" t="s">
        <v>15</v>
      </c>
      <c r="N2314" t="s">
        <v>16</v>
      </c>
    </row>
    <row r="2315" spans="1:14" x14ac:dyDescent="0.3">
      <c r="A2315">
        <v>2314</v>
      </c>
      <c r="B2315">
        <v>1032</v>
      </c>
      <c r="C2315">
        <f>1/COUNTIF(pizza_sales[[#All],[order_id]],pizza_sales[[#This Row],[order_id]])</f>
        <v>1</v>
      </c>
      <c r="D2315" t="s">
        <v>72</v>
      </c>
      <c r="E2315">
        <v>1</v>
      </c>
      <c r="F2315" s="1">
        <v>42022</v>
      </c>
      <c r="G2315" s="1" t="str">
        <f>TEXT(pizza_sales[[#This Row],[order_date]],"dddd")</f>
        <v>Sunday</v>
      </c>
      <c r="H2315" s="2">
        <v>36526.489733796298</v>
      </c>
      <c r="I2315">
        <v>20.75</v>
      </c>
      <c r="J2315">
        <v>20.75</v>
      </c>
      <c r="K2315" t="s">
        <v>21</v>
      </c>
      <c r="L2315" t="s">
        <v>33</v>
      </c>
      <c r="M2315" t="s">
        <v>42</v>
      </c>
      <c r="N2315" t="s">
        <v>43</v>
      </c>
    </row>
    <row r="2316" spans="1:14" x14ac:dyDescent="0.3">
      <c r="A2316">
        <v>2315</v>
      </c>
      <c r="B2316">
        <v>1033</v>
      </c>
      <c r="C2316">
        <f>1/COUNTIF(pizza_sales[[#All],[order_id]],pizza_sales[[#This Row],[order_id]])</f>
        <v>1</v>
      </c>
      <c r="D2316" t="s">
        <v>76</v>
      </c>
      <c r="E2316">
        <v>1</v>
      </c>
      <c r="F2316" s="1">
        <v>42022</v>
      </c>
      <c r="G2316" s="1" t="str">
        <f>TEXT(pizza_sales[[#This Row],[order_date]],"dddd")</f>
        <v>Sunday</v>
      </c>
      <c r="H2316" s="2">
        <v>36526.495983796296</v>
      </c>
      <c r="I2316">
        <v>16.75</v>
      </c>
      <c r="J2316">
        <v>16.75</v>
      </c>
      <c r="K2316" t="s">
        <v>13</v>
      </c>
      <c r="L2316" t="s">
        <v>33</v>
      </c>
      <c r="M2316" t="s">
        <v>74</v>
      </c>
      <c r="N2316" t="s">
        <v>75</v>
      </c>
    </row>
    <row r="2317" spans="1:14" x14ac:dyDescent="0.3">
      <c r="A2317">
        <v>2316</v>
      </c>
      <c r="B2317">
        <v>1034</v>
      </c>
      <c r="C2317">
        <f>1/COUNTIF(pizza_sales[[#All],[order_id]],pizza_sales[[#This Row],[order_id]])</f>
        <v>0.125</v>
      </c>
      <c r="D2317" t="s">
        <v>118</v>
      </c>
      <c r="E2317">
        <v>1</v>
      </c>
      <c r="F2317" s="1">
        <v>42022</v>
      </c>
      <c r="G2317" s="1" t="str">
        <f>TEXT(pizza_sales[[#This Row],[order_date]],"dddd")</f>
        <v>Sunday</v>
      </c>
      <c r="H2317" s="2">
        <v>36526.505543981482</v>
      </c>
      <c r="I2317">
        <v>16.75</v>
      </c>
      <c r="J2317">
        <v>16.75</v>
      </c>
      <c r="K2317" t="s">
        <v>13</v>
      </c>
      <c r="L2317" t="s">
        <v>33</v>
      </c>
      <c r="M2317" t="s">
        <v>42</v>
      </c>
      <c r="N2317" t="s">
        <v>43</v>
      </c>
    </row>
    <row r="2318" spans="1:14" x14ac:dyDescent="0.3">
      <c r="A2318">
        <v>2317</v>
      </c>
      <c r="B2318">
        <v>1034</v>
      </c>
      <c r="C2318">
        <f>1/COUNTIF(pizza_sales[[#All],[order_id]],pizza_sales[[#This Row],[order_id]])</f>
        <v>0.125</v>
      </c>
      <c r="D2318" t="s">
        <v>68</v>
      </c>
      <c r="E2318">
        <v>1</v>
      </c>
      <c r="F2318" s="1">
        <v>42022</v>
      </c>
      <c r="G2318" s="1" t="str">
        <f>TEXT(pizza_sales[[#This Row],[order_date]],"dddd")</f>
        <v>Sunday</v>
      </c>
      <c r="H2318" s="2">
        <v>36526.505543981482</v>
      </c>
      <c r="I2318">
        <v>20.25</v>
      </c>
      <c r="J2318">
        <v>20.25</v>
      </c>
      <c r="K2318" t="s">
        <v>21</v>
      </c>
      <c r="L2318" t="s">
        <v>22</v>
      </c>
      <c r="M2318" t="s">
        <v>30</v>
      </c>
      <c r="N2318" t="s">
        <v>31</v>
      </c>
    </row>
    <row r="2319" spans="1:14" x14ac:dyDescent="0.3">
      <c r="A2319">
        <v>2318</v>
      </c>
      <c r="B2319">
        <v>1034</v>
      </c>
      <c r="C2319">
        <f>1/COUNTIF(pizza_sales[[#All],[order_id]],pizza_sales[[#This Row],[order_id]])</f>
        <v>0.125</v>
      </c>
      <c r="D2319" t="s">
        <v>112</v>
      </c>
      <c r="E2319">
        <v>1</v>
      </c>
      <c r="F2319" s="1">
        <v>42022</v>
      </c>
      <c r="G2319" s="1" t="str">
        <f>TEXT(pizza_sales[[#This Row],[order_date]],"dddd")</f>
        <v>Sunday</v>
      </c>
      <c r="H2319" s="2">
        <v>36526.505543981482</v>
      </c>
      <c r="I2319">
        <v>20.5</v>
      </c>
      <c r="J2319">
        <v>20.5</v>
      </c>
      <c r="K2319" t="s">
        <v>21</v>
      </c>
      <c r="L2319" t="s">
        <v>14</v>
      </c>
      <c r="M2319" t="s">
        <v>94</v>
      </c>
      <c r="N2319" t="s">
        <v>95</v>
      </c>
    </row>
    <row r="2320" spans="1:14" x14ac:dyDescent="0.3">
      <c r="A2320">
        <v>2319</v>
      </c>
      <c r="B2320">
        <v>1034</v>
      </c>
      <c r="C2320">
        <f>1/COUNTIF(pizza_sales[[#All],[order_id]],pizza_sales[[#This Row],[order_id]])</f>
        <v>0.125</v>
      </c>
      <c r="D2320" t="s">
        <v>93</v>
      </c>
      <c r="E2320">
        <v>1</v>
      </c>
      <c r="F2320" s="1">
        <v>42022</v>
      </c>
      <c r="G2320" s="1" t="str">
        <f>TEXT(pizza_sales[[#This Row],[order_date]],"dddd")</f>
        <v>Sunday</v>
      </c>
      <c r="H2320" s="2">
        <v>36526.505543981482</v>
      </c>
      <c r="I2320">
        <v>12</v>
      </c>
      <c r="J2320">
        <v>12</v>
      </c>
      <c r="K2320" t="s">
        <v>41</v>
      </c>
      <c r="L2320" t="s">
        <v>14</v>
      </c>
      <c r="M2320" t="s">
        <v>94</v>
      </c>
      <c r="N2320" t="s">
        <v>95</v>
      </c>
    </row>
    <row r="2321" spans="1:14" x14ac:dyDescent="0.3">
      <c r="A2321">
        <v>2320</v>
      </c>
      <c r="B2321">
        <v>1034</v>
      </c>
      <c r="C2321">
        <f>1/COUNTIF(pizza_sales[[#All],[order_id]],pizza_sales[[#This Row],[order_id]])</f>
        <v>0.125</v>
      </c>
      <c r="D2321" t="s">
        <v>77</v>
      </c>
      <c r="E2321">
        <v>1</v>
      </c>
      <c r="F2321" s="1">
        <v>42022</v>
      </c>
      <c r="G2321" s="1" t="str">
        <f>TEXT(pizza_sales[[#This Row],[order_date]],"dddd")</f>
        <v>Sunday</v>
      </c>
      <c r="H2321" s="2">
        <v>36526.505543981482</v>
      </c>
      <c r="I2321">
        <v>15.25</v>
      </c>
      <c r="J2321">
        <v>15.25</v>
      </c>
      <c r="K2321" t="s">
        <v>21</v>
      </c>
      <c r="L2321" t="s">
        <v>14</v>
      </c>
      <c r="M2321" t="s">
        <v>78</v>
      </c>
      <c r="N2321" t="s">
        <v>79</v>
      </c>
    </row>
    <row r="2322" spans="1:14" x14ac:dyDescent="0.3">
      <c r="A2322">
        <v>2321</v>
      </c>
      <c r="B2322">
        <v>1034</v>
      </c>
      <c r="C2322">
        <f>1/COUNTIF(pizza_sales[[#All],[order_id]],pizza_sales[[#This Row],[order_id]])</f>
        <v>0.125</v>
      </c>
      <c r="D2322" t="s">
        <v>121</v>
      </c>
      <c r="E2322">
        <v>1</v>
      </c>
      <c r="F2322" s="1">
        <v>42022</v>
      </c>
      <c r="G2322" s="1" t="str">
        <f>TEXT(pizza_sales[[#This Row],[order_date]],"dddd")</f>
        <v>Sunday</v>
      </c>
      <c r="H2322" s="2">
        <v>36526.505543981482</v>
      </c>
      <c r="I2322">
        <v>16.25</v>
      </c>
      <c r="J2322">
        <v>16.25</v>
      </c>
      <c r="K2322" t="s">
        <v>13</v>
      </c>
      <c r="L2322" t="s">
        <v>26</v>
      </c>
      <c r="M2322" t="s">
        <v>114</v>
      </c>
      <c r="N2322" t="s">
        <v>115</v>
      </c>
    </row>
    <row r="2323" spans="1:14" x14ac:dyDescent="0.3">
      <c r="A2323">
        <v>2322</v>
      </c>
      <c r="B2323">
        <v>1034</v>
      </c>
      <c r="C2323">
        <f>1/COUNTIF(pizza_sales[[#All],[order_id]],pizza_sales[[#This Row],[order_id]])</f>
        <v>0.125</v>
      </c>
      <c r="D2323" t="s">
        <v>87</v>
      </c>
      <c r="E2323">
        <v>1</v>
      </c>
      <c r="F2323" s="1">
        <v>42022</v>
      </c>
      <c r="G2323" s="1" t="str">
        <f>TEXT(pizza_sales[[#This Row],[order_date]],"dddd")</f>
        <v>Sunday</v>
      </c>
      <c r="H2323" s="2">
        <v>36526.505543981482</v>
      </c>
      <c r="I2323">
        <v>20.75</v>
      </c>
      <c r="J2323">
        <v>20.75</v>
      </c>
      <c r="K2323" t="s">
        <v>21</v>
      </c>
      <c r="L2323" t="s">
        <v>26</v>
      </c>
      <c r="M2323" t="s">
        <v>88</v>
      </c>
      <c r="N2323" t="s">
        <v>89</v>
      </c>
    </row>
    <row r="2324" spans="1:14" x14ac:dyDescent="0.3">
      <c r="A2324">
        <v>2323</v>
      </c>
      <c r="B2324">
        <v>1034</v>
      </c>
      <c r="C2324">
        <f>1/COUNTIF(pizza_sales[[#All],[order_id]],pizza_sales[[#This Row],[order_id]])</f>
        <v>0.125</v>
      </c>
      <c r="D2324" t="s">
        <v>157</v>
      </c>
      <c r="E2324">
        <v>1</v>
      </c>
      <c r="F2324" s="1">
        <v>42022</v>
      </c>
      <c r="G2324" s="1" t="str">
        <f>TEXT(pizza_sales[[#This Row],[order_date]],"dddd")</f>
        <v>Sunday</v>
      </c>
      <c r="H2324" s="2">
        <v>36526.505543981482</v>
      </c>
      <c r="I2324">
        <v>12</v>
      </c>
      <c r="J2324">
        <v>12</v>
      </c>
      <c r="K2324" t="s">
        <v>41</v>
      </c>
      <c r="L2324" t="s">
        <v>22</v>
      </c>
      <c r="M2324" t="s">
        <v>110</v>
      </c>
      <c r="N2324" t="s">
        <v>111</v>
      </c>
    </row>
    <row r="2325" spans="1:14" x14ac:dyDescent="0.3">
      <c r="A2325">
        <v>2324</v>
      </c>
      <c r="B2325">
        <v>1035</v>
      </c>
      <c r="C2325">
        <f>1/COUNTIF(pizza_sales[[#All],[order_id]],pizza_sales[[#This Row],[order_id]])</f>
        <v>0.25</v>
      </c>
      <c r="D2325" t="s">
        <v>76</v>
      </c>
      <c r="E2325">
        <v>1</v>
      </c>
      <c r="F2325" s="1">
        <v>42022</v>
      </c>
      <c r="G2325" s="1" t="str">
        <f>TEXT(pizza_sales[[#This Row],[order_date]],"dddd")</f>
        <v>Sunday</v>
      </c>
      <c r="H2325" s="2">
        <v>36526.509201388886</v>
      </c>
      <c r="I2325">
        <v>16.75</v>
      </c>
      <c r="J2325">
        <v>16.75</v>
      </c>
      <c r="K2325" t="s">
        <v>13</v>
      </c>
      <c r="L2325" t="s">
        <v>33</v>
      </c>
      <c r="M2325" t="s">
        <v>74</v>
      </c>
      <c r="N2325" t="s">
        <v>75</v>
      </c>
    </row>
    <row r="2326" spans="1:14" x14ac:dyDescent="0.3">
      <c r="A2326">
        <v>2325</v>
      </c>
      <c r="B2326">
        <v>1035</v>
      </c>
      <c r="C2326">
        <f>1/COUNTIF(pizza_sales[[#All],[order_id]],pizza_sales[[#This Row],[order_id]])</f>
        <v>0.25</v>
      </c>
      <c r="D2326" t="s">
        <v>127</v>
      </c>
      <c r="E2326">
        <v>1</v>
      </c>
      <c r="F2326" s="1">
        <v>42022</v>
      </c>
      <c r="G2326" s="1" t="str">
        <f>TEXT(pizza_sales[[#This Row],[order_date]],"dddd")</f>
        <v>Sunday</v>
      </c>
      <c r="H2326" s="2">
        <v>36526.509201388886</v>
      </c>
      <c r="I2326">
        <v>20.25</v>
      </c>
      <c r="J2326">
        <v>20.25</v>
      </c>
      <c r="K2326" t="s">
        <v>21</v>
      </c>
      <c r="L2326" t="s">
        <v>22</v>
      </c>
      <c r="M2326" t="s">
        <v>52</v>
      </c>
      <c r="N2326" t="s">
        <v>53</v>
      </c>
    </row>
    <row r="2327" spans="1:14" x14ac:dyDescent="0.3">
      <c r="A2327">
        <v>2326</v>
      </c>
      <c r="B2327">
        <v>1035</v>
      </c>
      <c r="C2327">
        <f>1/COUNTIF(pizza_sales[[#All],[order_id]],pizza_sales[[#This Row],[order_id]])</f>
        <v>0.25</v>
      </c>
      <c r="D2327" t="s">
        <v>36</v>
      </c>
      <c r="E2327">
        <v>1</v>
      </c>
      <c r="F2327" s="1">
        <v>42022</v>
      </c>
      <c r="G2327" s="1" t="str">
        <f>TEXT(pizza_sales[[#This Row],[order_date]],"dddd")</f>
        <v>Sunday</v>
      </c>
      <c r="H2327" s="2">
        <v>36526.509201388886</v>
      </c>
      <c r="I2327">
        <v>16.5</v>
      </c>
      <c r="J2327">
        <v>16.5</v>
      </c>
      <c r="K2327" t="s">
        <v>13</v>
      </c>
      <c r="L2327" t="s">
        <v>26</v>
      </c>
      <c r="M2327" t="s">
        <v>27</v>
      </c>
      <c r="N2327" t="s">
        <v>28</v>
      </c>
    </row>
    <row r="2328" spans="1:14" x14ac:dyDescent="0.3">
      <c r="A2328">
        <v>2327</v>
      </c>
      <c r="B2328">
        <v>1035</v>
      </c>
      <c r="C2328">
        <f>1/COUNTIF(pizza_sales[[#All],[order_id]],pizza_sales[[#This Row],[order_id]])</f>
        <v>0.25</v>
      </c>
      <c r="D2328" t="s">
        <v>161</v>
      </c>
      <c r="E2328">
        <v>1</v>
      </c>
      <c r="F2328" s="1">
        <v>42022</v>
      </c>
      <c r="G2328" s="1" t="str">
        <f>TEXT(pizza_sales[[#This Row],[order_date]],"dddd")</f>
        <v>Sunday</v>
      </c>
      <c r="H2328" s="2">
        <v>36526.509201388886</v>
      </c>
      <c r="I2328">
        <v>12</v>
      </c>
      <c r="J2328">
        <v>12</v>
      </c>
      <c r="K2328" t="s">
        <v>41</v>
      </c>
      <c r="L2328" t="s">
        <v>22</v>
      </c>
      <c r="M2328" t="s">
        <v>104</v>
      </c>
      <c r="N2328" t="s">
        <v>105</v>
      </c>
    </row>
    <row r="2329" spans="1:14" x14ac:dyDescent="0.3">
      <c r="A2329">
        <v>2328</v>
      </c>
      <c r="B2329">
        <v>1036</v>
      </c>
      <c r="C2329">
        <f>1/COUNTIF(pizza_sales[[#All],[order_id]],pizza_sales[[#This Row],[order_id]])</f>
        <v>0.25</v>
      </c>
      <c r="D2329" t="s">
        <v>17</v>
      </c>
      <c r="E2329">
        <v>1</v>
      </c>
      <c r="F2329" s="1">
        <v>42022</v>
      </c>
      <c r="G2329" s="1" t="str">
        <f>TEXT(pizza_sales[[#This Row],[order_date]],"dddd")</f>
        <v>Sunday</v>
      </c>
      <c r="H2329" s="2">
        <v>36526.534363425926</v>
      </c>
      <c r="I2329">
        <v>16</v>
      </c>
      <c r="J2329">
        <v>16</v>
      </c>
      <c r="K2329" t="s">
        <v>13</v>
      </c>
      <c r="L2329" t="s">
        <v>14</v>
      </c>
      <c r="M2329" t="s">
        <v>18</v>
      </c>
      <c r="N2329" t="s">
        <v>19</v>
      </c>
    </row>
    <row r="2330" spans="1:14" x14ac:dyDescent="0.3">
      <c r="A2330">
        <v>2329</v>
      </c>
      <c r="B2330">
        <v>1036</v>
      </c>
      <c r="C2330">
        <f>1/COUNTIF(pizza_sales[[#All],[order_id]],pizza_sales[[#This Row],[order_id]])</f>
        <v>0.25</v>
      </c>
      <c r="D2330" t="s">
        <v>36</v>
      </c>
      <c r="E2330">
        <v>1</v>
      </c>
      <c r="F2330" s="1">
        <v>42022</v>
      </c>
      <c r="G2330" s="1" t="str">
        <f>TEXT(pizza_sales[[#This Row],[order_date]],"dddd")</f>
        <v>Sunday</v>
      </c>
      <c r="H2330" s="2">
        <v>36526.534363425926</v>
      </c>
      <c r="I2330">
        <v>16.5</v>
      </c>
      <c r="J2330">
        <v>16.5</v>
      </c>
      <c r="K2330" t="s">
        <v>13</v>
      </c>
      <c r="L2330" t="s">
        <v>26</v>
      </c>
      <c r="M2330" t="s">
        <v>27</v>
      </c>
      <c r="N2330" t="s">
        <v>28</v>
      </c>
    </row>
    <row r="2331" spans="1:14" x14ac:dyDescent="0.3">
      <c r="A2331">
        <v>2330</v>
      </c>
      <c r="B2331">
        <v>1036</v>
      </c>
      <c r="C2331">
        <f>1/COUNTIF(pizza_sales[[#All],[order_id]],pizza_sales[[#This Row],[order_id]])</f>
        <v>0.25</v>
      </c>
      <c r="D2331" t="s">
        <v>68</v>
      </c>
      <c r="E2331">
        <v>1</v>
      </c>
      <c r="F2331" s="1">
        <v>42022</v>
      </c>
      <c r="G2331" s="1" t="str">
        <f>TEXT(pizza_sales[[#This Row],[order_date]],"dddd")</f>
        <v>Sunday</v>
      </c>
      <c r="H2331" s="2">
        <v>36526.534363425926</v>
      </c>
      <c r="I2331">
        <v>20.25</v>
      </c>
      <c r="J2331">
        <v>20.25</v>
      </c>
      <c r="K2331" t="s">
        <v>21</v>
      </c>
      <c r="L2331" t="s">
        <v>22</v>
      </c>
      <c r="M2331" t="s">
        <v>30</v>
      </c>
      <c r="N2331" t="s">
        <v>31</v>
      </c>
    </row>
    <row r="2332" spans="1:14" x14ac:dyDescent="0.3">
      <c r="A2332">
        <v>2331</v>
      </c>
      <c r="B2332">
        <v>1036</v>
      </c>
      <c r="C2332">
        <f>1/COUNTIF(pizza_sales[[#All],[order_id]],pizza_sales[[#This Row],[order_id]])</f>
        <v>0.25</v>
      </c>
      <c r="D2332" t="s">
        <v>32</v>
      </c>
      <c r="E2332">
        <v>1</v>
      </c>
      <c r="F2332" s="1">
        <v>42022</v>
      </c>
      <c r="G2332" s="1" t="str">
        <f>TEXT(pizza_sales[[#This Row],[order_date]],"dddd")</f>
        <v>Sunday</v>
      </c>
      <c r="H2332" s="2">
        <v>36526.534363425926</v>
      </c>
      <c r="I2332">
        <v>20.75</v>
      </c>
      <c r="J2332">
        <v>20.75</v>
      </c>
      <c r="K2332" t="s">
        <v>21</v>
      </c>
      <c r="L2332" t="s">
        <v>33</v>
      </c>
      <c r="M2332" t="s">
        <v>34</v>
      </c>
      <c r="N2332" t="s">
        <v>35</v>
      </c>
    </row>
    <row r="2333" spans="1:14" x14ac:dyDescent="0.3">
      <c r="A2333">
        <v>2332</v>
      </c>
      <c r="B2333">
        <v>1037</v>
      </c>
      <c r="C2333">
        <f>1/COUNTIF(pizza_sales[[#All],[order_id]],pizza_sales[[#This Row],[order_id]])</f>
        <v>0.25</v>
      </c>
      <c r="D2333" t="s">
        <v>84</v>
      </c>
      <c r="E2333">
        <v>1</v>
      </c>
      <c r="F2333" s="1">
        <v>42022</v>
      </c>
      <c r="G2333" s="1" t="str">
        <f>TEXT(pizza_sales[[#This Row],[order_date]],"dddd")</f>
        <v>Sunday</v>
      </c>
      <c r="H2333" s="2">
        <v>36526.545069444444</v>
      </c>
      <c r="I2333">
        <v>12</v>
      </c>
      <c r="J2333">
        <v>12</v>
      </c>
      <c r="K2333" t="s">
        <v>41</v>
      </c>
      <c r="L2333" t="s">
        <v>14</v>
      </c>
      <c r="M2333" t="s">
        <v>85</v>
      </c>
      <c r="N2333" t="s">
        <v>86</v>
      </c>
    </row>
    <row r="2334" spans="1:14" x14ac:dyDescent="0.3">
      <c r="A2334">
        <v>2333</v>
      </c>
      <c r="B2334">
        <v>1037</v>
      </c>
      <c r="C2334">
        <f>1/COUNTIF(pizza_sales[[#All],[order_id]],pizza_sales[[#This Row],[order_id]])</f>
        <v>0.25</v>
      </c>
      <c r="D2334" t="s">
        <v>156</v>
      </c>
      <c r="E2334">
        <v>1</v>
      </c>
      <c r="F2334" s="1">
        <v>42022</v>
      </c>
      <c r="G2334" s="1" t="str">
        <f>TEXT(pizza_sales[[#This Row],[order_date]],"dddd")</f>
        <v>Sunday</v>
      </c>
      <c r="H2334" s="2">
        <v>36526.545069444444</v>
      </c>
      <c r="I2334">
        <v>12.75</v>
      </c>
      <c r="J2334">
        <v>12.75</v>
      </c>
      <c r="K2334" t="s">
        <v>41</v>
      </c>
      <c r="L2334" t="s">
        <v>33</v>
      </c>
      <c r="M2334" t="s">
        <v>82</v>
      </c>
      <c r="N2334" t="s">
        <v>83</v>
      </c>
    </row>
    <row r="2335" spans="1:14" x14ac:dyDescent="0.3">
      <c r="A2335">
        <v>2334</v>
      </c>
      <c r="B2335">
        <v>1037</v>
      </c>
      <c r="C2335">
        <f>1/COUNTIF(pizza_sales[[#All],[order_id]],pizza_sales[[#This Row],[order_id]])</f>
        <v>0.25</v>
      </c>
      <c r="D2335" t="s">
        <v>17</v>
      </c>
      <c r="E2335">
        <v>1</v>
      </c>
      <c r="F2335" s="1">
        <v>42022</v>
      </c>
      <c r="G2335" s="1" t="str">
        <f>TEXT(pizza_sales[[#This Row],[order_date]],"dddd")</f>
        <v>Sunday</v>
      </c>
      <c r="H2335" s="2">
        <v>36526.545069444444</v>
      </c>
      <c r="I2335">
        <v>16</v>
      </c>
      <c r="J2335">
        <v>16</v>
      </c>
      <c r="K2335" t="s">
        <v>13</v>
      </c>
      <c r="L2335" t="s">
        <v>14</v>
      </c>
      <c r="M2335" t="s">
        <v>18</v>
      </c>
      <c r="N2335" t="s">
        <v>19</v>
      </c>
    </row>
    <row r="2336" spans="1:14" x14ac:dyDescent="0.3">
      <c r="A2336">
        <v>2335</v>
      </c>
      <c r="B2336">
        <v>1037</v>
      </c>
      <c r="C2336">
        <f>1/COUNTIF(pizza_sales[[#All],[order_id]],pizza_sales[[#This Row],[order_id]])</f>
        <v>0.25</v>
      </c>
      <c r="D2336" t="s">
        <v>36</v>
      </c>
      <c r="E2336">
        <v>1</v>
      </c>
      <c r="F2336" s="1">
        <v>42022</v>
      </c>
      <c r="G2336" s="1" t="str">
        <f>TEXT(pizza_sales[[#This Row],[order_date]],"dddd")</f>
        <v>Sunday</v>
      </c>
      <c r="H2336" s="2">
        <v>36526.545069444444</v>
      </c>
      <c r="I2336">
        <v>16.5</v>
      </c>
      <c r="J2336">
        <v>16.5</v>
      </c>
      <c r="K2336" t="s">
        <v>13</v>
      </c>
      <c r="L2336" t="s">
        <v>26</v>
      </c>
      <c r="M2336" t="s">
        <v>27</v>
      </c>
      <c r="N2336" t="s">
        <v>28</v>
      </c>
    </row>
    <row r="2337" spans="1:14" x14ac:dyDescent="0.3">
      <c r="A2337">
        <v>2336</v>
      </c>
      <c r="B2337">
        <v>1038</v>
      </c>
      <c r="C2337">
        <f>1/COUNTIF(pizza_sales[[#All],[order_id]],pizza_sales[[#This Row],[order_id]])</f>
        <v>0.5</v>
      </c>
      <c r="D2337" t="s">
        <v>142</v>
      </c>
      <c r="E2337">
        <v>1</v>
      </c>
      <c r="F2337" s="1">
        <v>42022</v>
      </c>
      <c r="G2337" s="1" t="str">
        <f>TEXT(pizza_sales[[#This Row],[order_date]],"dddd")</f>
        <v>Sunday</v>
      </c>
      <c r="H2337" s="2">
        <v>36526.552071759259</v>
      </c>
      <c r="I2337">
        <v>16.5</v>
      </c>
      <c r="J2337">
        <v>16.5</v>
      </c>
      <c r="K2337" t="s">
        <v>21</v>
      </c>
      <c r="L2337" t="s">
        <v>14</v>
      </c>
      <c r="M2337" t="s">
        <v>15</v>
      </c>
      <c r="N2337" t="s">
        <v>16</v>
      </c>
    </row>
    <row r="2338" spans="1:14" x14ac:dyDescent="0.3">
      <c r="A2338">
        <v>2337</v>
      </c>
      <c r="B2338">
        <v>1038</v>
      </c>
      <c r="C2338">
        <f>1/COUNTIF(pizza_sales[[#All],[order_id]],pizza_sales[[#This Row],[order_id]])</f>
        <v>0.5</v>
      </c>
      <c r="D2338" t="s">
        <v>77</v>
      </c>
      <c r="E2338">
        <v>1</v>
      </c>
      <c r="F2338" s="1">
        <v>42022</v>
      </c>
      <c r="G2338" s="1" t="str">
        <f>TEXT(pizza_sales[[#This Row],[order_date]],"dddd")</f>
        <v>Sunday</v>
      </c>
      <c r="H2338" s="2">
        <v>36526.552071759259</v>
      </c>
      <c r="I2338">
        <v>15.25</v>
      </c>
      <c r="J2338">
        <v>15.25</v>
      </c>
      <c r="K2338" t="s">
        <v>21</v>
      </c>
      <c r="L2338" t="s">
        <v>14</v>
      </c>
      <c r="M2338" t="s">
        <v>78</v>
      </c>
      <c r="N2338" t="s">
        <v>79</v>
      </c>
    </row>
    <row r="2339" spans="1:14" x14ac:dyDescent="0.3">
      <c r="A2339">
        <v>2338</v>
      </c>
      <c r="B2339">
        <v>1039</v>
      </c>
      <c r="C2339">
        <f>1/COUNTIF(pizza_sales[[#All],[order_id]],pizza_sales[[#This Row],[order_id]])</f>
        <v>1</v>
      </c>
      <c r="D2339" t="s">
        <v>138</v>
      </c>
      <c r="E2339">
        <v>1</v>
      </c>
      <c r="F2339" s="1">
        <v>42022</v>
      </c>
      <c r="G2339" s="1" t="str">
        <f>TEXT(pizza_sales[[#This Row],[order_date]],"dddd")</f>
        <v>Sunday</v>
      </c>
      <c r="H2339" s="2">
        <v>36526.564942129633</v>
      </c>
      <c r="I2339">
        <v>20.5</v>
      </c>
      <c r="J2339">
        <v>20.5</v>
      </c>
      <c r="K2339" t="s">
        <v>21</v>
      </c>
      <c r="L2339" t="s">
        <v>14</v>
      </c>
      <c r="M2339" t="s">
        <v>18</v>
      </c>
      <c r="N2339" t="s">
        <v>19</v>
      </c>
    </row>
    <row r="2340" spans="1:14" x14ac:dyDescent="0.3">
      <c r="A2340">
        <v>2339</v>
      </c>
      <c r="B2340">
        <v>1040</v>
      </c>
      <c r="C2340">
        <f>1/COUNTIF(pizza_sales[[#All],[order_id]],pizza_sales[[#This Row],[order_id]])</f>
        <v>0.5</v>
      </c>
      <c r="D2340" t="s">
        <v>135</v>
      </c>
      <c r="E2340">
        <v>1</v>
      </c>
      <c r="F2340" s="1">
        <v>42022</v>
      </c>
      <c r="G2340" s="1" t="str">
        <f>TEXT(pizza_sales[[#This Row],[order_date]],"dddd")</f>
        <v>Sunday</v>
      </c>
      <c r="H2340" s="2">
        <v>36526.580613425926</v>
      </c>
      <c r="I2340">
        <v>20.75</v>
      </c>
      <c r="J2340">
        <v>20.75</v>
      </c>
      <c r="K2340" t="s">
        <v>21</v>
      </c>
      <c r="L2340" t="s">
        <v>26</v>
      </c>
      <c r="M2340" t="s">
        <v>107</v>
      </c>
      <c r="N2340" t="s">
        <v>108</v>
      </c>
    </row>
    <row r="2341" spans="1:14" x14ac:dyDescent="0.3">
      <c r="A2341">
        <v>2340</v>
      </c>
      <c r="B2341">
        <v>1040</v>
      </c>
      <c r="C2341">
        <f>1/COUNTIF(pizza_sales[[#All],[order_id]],pizza_sales[[#This Row],[order_id]])</f>
        <v>0.5</v>
      </c>
      <c r="D2341" t="s">
        <v>32</v>
      </c>
      <c r="E2341">
        <v>1</v>
      </c>
      <c r="F2341" s="1">
        <v>42022</v>
      </c>
      <c r="G2341" s="1" t="str">
        <f>TEXT(pizza_sales[[#This Row],[order_date]],"dddd")</f>
        <v>Sunday</v>
      </c>
      <c r="H2341" s="2">
        <v>36526.580613425926</v>
      </c>
      <c r="I2341">
        <v>20.75</v>
      </c>
      <c r="J2341">
        <v>20.75</v>
      </c>
      <c r="K2341" t="s">
        <v>21</v>
      </c>
      <c r="L2341" t="s">
        <v>33</v>
      </c>
      <c r="M2341" t="s">
        <v>34</v>
      </c>
      <c r="N2341" t="s">
        <v>35</v>
      </c>
    </row>
    <row r="2342" spans="1:14" x14ac:dyDescent="0.3">
      <c r="A2342">
        <v>2341</v>
      </c>
      <c r="B2342">
        <v>1041</v>
      </c>
      <c r="C2342">
        <f>1/COUNTIF(pizza_sales[[#All],[order_id]],pizza_sales[[#This Row],[order_id]])</f>
        <v>1</v>
      </c>
      <c r="D2342" t="s">
        <v>149</v>
      </c>
      <c r="E2342">
        <v>1</v>
      </c>
      <c r="F2342" s="1">
        <v>42022</v>
      </c>
      <c r="G2342" s="1" t="str">
        <f>TEXT(pizza_sales[[#This Row],[order_date]],"dddd")</f>
        <v>Sunday</v>
      </c>
      <c r="H2342" s="2">
        <v>36526.583182870374</v>
      </c>
      <c r="I2342">
        <v>12.25</v>
      </c>
      <c r="J2342">
        <v>12.25</v>
      </c>
      <c r="K2342" t="s">
        <v>41</v>
      </c>
      <c r="L2342" t="s">
        <v>26</v>
      </c>
      <c r="M2342" t="s">
        <v>114</v>
      </c>
      <c r="N2342" t="s">
        <v>115</v>
      </c>
    </row>
    <row r="2343" spans="1:14" x14ac:dyDescent="0.3">
      <c r="A2343">
        <v>2342</v>
      </c>
      <c r="B2343">
        <v>1042</v>
      </c>
      <c r="C2343">
        <f>1/COUNTIF(pizza_sales[[#All],[order_id]],pizza_sales[[#This Row],[order_id]])</f>
        <v>1</v>
      </c>
      <c r="D2343" t="s">
        <v>143</v>
      </c>
      <c r="E2343">
        <v>1</v>
      </c>
      <c r="F2343" s="1">
        <v>42022</v>
      </c>
      <c r="G2343" s="1" t="str">
        <f>TEXT(pizza_sales[[#This Row],[order_date]],"dddd")</f>
        <v>Sunday</v>
      </c>
      <c r="H2343" s="2">
        <v>36526.587719907409</v>
      </c>
      <c r="I2343">
        <v>11</v>
      </c>
      <c r="J2343">
        <v>11</v>
      </c>
      <c r="K2343" t="s">
        <v>41</v>
      </c>
      <c r="L2343" t="s">
        <v>14</v>
      </c>
      <c r="M2343" t="s">
        <v>130</v>
      </c>
      <c r="N2343" t="s">
        <v>131</v>
      </c>
    </row>
    <row r="2344" spans="1:14" x14ac:dyDescent="0.3">
      <c r="A2344">
        <v>2343</v>
      </c>
      <c r="B2344">
        <v>1043</v>
      </c>
      <c r="C2344">
        <f>1/COUNTIF(pizza_sales[[#All],[order_id]],pizza_sales[[#This Row],[order_id]])</f>
        <v>0.125</v>
      </c>
      <c r="D2344" t="s">
        <v>99</v>
      </c>
      <c r="E2344">
        <v>1</v>
      </c>
      <c r="F2344" s="1">
        <v>42022</v>
      </c>
      <c r="G2344" s="1" t="str">
        <f>TEXT(pizza_sales[[#This Row],[order_date]],"dddd")</f>
        <v>Sunday</v>
      </c>
      <c r="H2344" s="2">
        <v>36526.58861111111</v>
      </c>
      <c r="I2344">
        <v>14.75</v>
      </c>
      <c r="J2344">
        <v>14.75</v>
      </c>
      <c r="K2344" t="s">
        <v>13</v>
      </c>
      <c r="L2344" t="s">
        <v>22</v>
      </c>
      <c r="M2344" t="s">
        <v>91</v>
      </c>
      <c r="N2344" t="s">
        <v>92</v>
      </c>
    </row>
    <row r="2345" spans="1:14" x14ac:dyDescent="0.3">
      <c r="A2345">
        <v>2344</v>
      </c>
      <c r="B2345">
        <v>1043</v>
      </c>
      <c r="C2345">
        <f>1/COUNTIF(pizza_sales[[#All],[order_id]],pizza_sales[[#This Row],[order_id]])</f>
        <v>0.125</v>
      </c>
      <c r="D2345" t="s">
        <v>126</v>
      </c>
      <c r="E2345">
        <v>1</v>
      </c>
      <c r="F2345" s="1">
        <v>42022</v>
      </c>
      <c r="G2345" s="1" t="str">
        <f>TEXT(pizza_sales[[#This Row],[order_date]],"dddd")</f>
        <v>Sunday</v>
      </c>
      <c r="H2345" s="2">
        <v>36526.58861111111</v>
      </c>
      <c r="I2345">
        <v>9.75</v>
      </c>
      <c r="J2345">
        <v>9.75</v>
      </c>
      <c r="K2345" t="s">
        <v>41</v>
      </c>
      <c r="L2345" t="s">
        <v>14</v>
      </c>
      <c r="M2345" t="s">
        <v>78</v>
      </c>
      <c r="N2345" t="s">
        <v>79</v>
      </c>
    </row>
    <row r="2346" spans="1:14" x14ac:dyDescent="0.3">
      <c r="A2346">
        <v>2345</v>
      </c>
      <c r="B2346">
        <v>1043</v>
      </c>
      <c r="C2346">
        <f>1/COUNTIF(pizza_sales[[#All],[order_id]],pizza_sales[[#This Row],[order_id]])</f>
        <v>0.125</v>
      </c>
      <c r="D2346" t="s">
        <v>135</v>
      </c>
      <c r="E2346">
        <v>1</v>
      </c>
      <c r="F2346" s="1">
        <v>42022</v>
      </c>
      <c r="G2346" s="1" t="str">
        <f>TEXT(pizza_sales[[#This Row],[order_date]],"dddd")</f>
        <v>Sunday</v>
      </c>
      <c r="H2346" s="2">
        <v>36526.58861111111</v>
      </c>
      <c r="I2346">
        <v>20.75</v>
      </c>
      <c r="J2346">
        <v>20.75</v>
      </c>
      <c r="K2346" t="s">
        <v>21</v>
      </c>
      <c r="L2346" t="s">
        <v>26</v>
      </c>
      <c r="M2346" t="s">
        <v>107</v>
      </c>
      <c r="N2346" t="s">
        <v>108</v>
      </c>
    </row>
    <row r="2347" spans="1:14" x14ac:dyDescent="0.3">
      <c r="A2347">
        <v>2346</v>
      </c>
      <c r="B2347">
        <v>1043</v>
      </c>
      <c r="C2347">
        <f>1/COUNTIF(pizza_sales[[#All],[order_id]],pizza_sales[[#This Row],[order_id]])</f>
        <v>0.125</v>
      </c>
      <c r="D2347" t="s">
        <v>145</v>
      </c>
      <c r="E2347">
        <v>1</v>
      </c>
      <c r="F2347" s="1">
        <v>42022</v>
      </c>
      <c r="G2347" s="1" t="str">
        <f>TEXT(pizza_sales[[#This Row],[order_date]],"dddd")</f>
        <v>Sunday</v>
      </c>
      <c r="H2347" s="2">
        <v>36526.58861111111</v>
      </c>
      <c r="I2347">
        <v>16.5</v>
      </c>
      <c r="J2347">
        <v>16.5</v>
      </c>
      <c r="K2347" t="s">
        <v>13</v>
      </c>
      <c r="L2347" t="s">
        <v>26</v>
      </c>
      <c r="M2347" t="s">
        <v>38</v>
      </c>
      <c r="N2347" t="s">
        <v>39</v>
      </c>
    </row>
    <row r="2348" spans="1:14" x14ac:dyDescent="0.3">
      <c r="A2348">
        <v>2347</v>
      </c>
      <c r="B2348">
        <v>1043</v>
      </c>
      <c r="C2348">
        <f>1/COUNTIF(pizza_sales[[#All],[order_id]],pizza_sales[[#This Row],[order_id]])</f>
        <v>0.125</v>
      </c>
      <c r="D2348" t="s">
        <v>149</v>
      </c>
      <c r="E2348">
        <v>2</v>
      </c>
      <c r="F2348" s="1">
        <v>42022</v>
      </c>
      <c r="G2348" s="1" t="str">
        <f>TEXT(pizza_sales[[#This Row],[order_date]],"dddd")</f>
        <v>Sunday</v>
      </c>
      <c r="H2348" s="2">
        <v>36526.58861111111</v>
      </c>
      <c r="I2348">
        <v>12.25</v>
      </c>
      <c r="J2348">
        <v>24.5</v>
      </c>
      <c r="K2348" t="s">
        <v>41</v>
      </c>
      <c r="L2348" t="s">
        <v>26</v>
      </c>
      <c r="M2348" t="s">
        <v>114</v>
      </c>
      <c r="N2348" t="s">
        <v>115</v>
      </c>
    </row>
    <row r="2349" spans="1:14" x14ac:dyDescent="0.3">
      <c r="A2349">
        <v>2348</v>
      </c>
      <c r="B2349">
        <v>1043</v>
      </c>
      <c r="C2349">
        <f>1/COUNTIF(pizza_sales[[#All],[order_id]],pizza_sales[[#This Row],[order_id]])</f>
        <v>0.125</v>
      </c>
      <c r="D2349" t="s">
        <v>147</v>
      </c>
      <c r="E2349">
        <v>1</v>
      </c>
      <c r="F2349" s="1">
        <v>42022</v>
      </c>
      <c r="G2349" s="1" t="str">
        <f>TEXT(pizza_sales[[#This Row],[order_date]],"dddd")</f>
        <v>Sunday</v>
      </c>
      <c r="H2349" s="2">
        <v>36526.58861111111</v>
      </c>
      <c r="I2349">
        <v>16.75</v>
      </c>
      <c r="J2349">
        <v>16.75</v>
      </c>
      <c r="K2349" t="s">
        <v>13</v>
      </c>
      <c r="L2349" t="s">
        <v>33</v>
      </c>
      <c r="M2349" t="s">
        <v>70</v>
      </c>
      <c r="N2349" t="s">
        <v>71</v>
      </c>
    </row>
    <row r="2350" spans="1:14" x14ac:dyDescent="0.3">
      <c r="A2350">
        <v>2349</v>
      </c>
      <c r="B2350">
        <v>1043</v>
      </c>
      <c r="C2350">
        <f>1/COUNTIF(pizza_sales[[#All],[order_id]],pizza_sales[[#This Row],[order_id]])</f>
        <v>0.125</v>
      </c>
      <c r="D2350" t="s">
        <v>150</v>
      </c>
      <c r="E2350">
        <v>1</v>
      </c>
      <c r="F2350" s="1">
        <v>42022</v>
      </c>
      <c r="G2350" s="1" t="str">
        <f>TEXT(pizza_sales[[#This Row],[order_date]],"dddd")</f>
        <v>Sunday</v>
      </c>
      <c r="H2350" s="2">
        <v>36526.58861111111</v>
      </c>
      <c r="I2350">
        <v>12.5</v>
      </c>
      <c r="J2350">
        <v>12.5</v>
      </c>
      <c r="K2350" t="s">
        <v>41</v>
      </c>
      <c r="L2350" t="s">
        <v>26</v>
      </c>
      <c r="M2350" t="s">
        <v>60</v>
      </c>
      <c r="N2350" t="s">
        <v>61</v>
      </c>
    </row>
    <row r="2351" spans="1:14" x14ac:dyDescent="0.3">
      <c r="A2351">
        <v>2350</v>
      </c>
      <c r="B2351">
        <v>1043</v>
      </c>
      <c r="C2351">
        <f>1/COUNTIF(pizza_sales[[#All],[order_id]],pizza_sales[[#This Row],[order_id]])</f>
        <v>0.125</v>
      </c>
      <c r="D2351" t="s">
        <v>162</v>
      </c>
      <c r="E2351">
        <v>1</v>
      </c>
      <c r="F2351" s="1">
        <v>42022</v>
      </c>
      <c r="G2351" s="1" t="str">
        <f>TEXT(pizza_sales[[#This Row],[order_date]],"dddd")</f>
        <v>Sunday</v>
      </c>
      <c r="H2351" s="2">
        <v>36526.58861111111</v>
      </c>
      <c r="I2351">
        <v>16</v>
      </c>
      <c r="J2351">
        <v>16</v>
      </c>
      <c r="K2351" t="s">
        <v>13</v>
      </c>
      <c r="L2351" t="s">
        <v>22</v>
      </c>
      <c r="M2351" t="s">
        <v>110</v>
      </c>
      <c r="N2351" t="s">
        <v>111</v>
      </c>
    </row>
    <row r="2352" spans="1:14" x14ac:dyDescent="0.3">
      <c r="A2352">
        <v>2351</v>
      </c>
      <c r="B2352">
        <v>1044</v>
      </c>
      <c r="C2352">
        <f>1/COUNTIF(pizza_sales[[#All],[order_id]],pizza_sales[[#This Row],[order_id]])</f>
        <v>1</v>
      </c>
      <c r="D2352" t="s">
        <v>140</v>
      </c>
      <c r="E2352">
        <v>1</v>
      </c>
      <c r="F2352" s="1">
        <v>42022</v>
      </c>
      <c r="G2352" s="1" t="str">
        <f>TEXT(pizza_sales[[#This Row],[order_date]],"dddd")</f>
        <v>Sunday</v>
      </c>
      <c r="H2352" s="2">
        <v>36526.597407407404</v>
      </c>
      <c r="I2352">
        <v>25.5</v>
      </c>
      <c r="J2352">
        <v>25.5</v>
      </c>
      <c r="K2352" t="s">
        <v>141</v>
      </c>
      <c r="L2352" t="s">
        <v>14</v>
      </c>
      <c r="M2352" t="s">
        <v>45</v>
      </c>
      <c r="N2352" t="s">
        <v>46</v>
      </c>
    </row>
    <row r="2353" spans="1:14" x14ac:dyDescent="0.3">
      <c r="A2353">
        <v>2352</v>
      </c>
      <c r="B2353">
        <v>1045</v>
      </c>
      <c r="C2353">
        <f>1/COUNTIF(pizza_sales[[#All],[order_id]],pizza_sales[[#This Row],[order_id]])</f>
        <v>1</v>
      </c>
      <c r="D2353" t="s">
        <v>76</v>
      </c>
      <c r="E2353">
        <v>1</v>
      </c>
      <c r="F2353" s="1">
        <v>42022</v>
      </c>
      <c r="G2353" s="1" t="str">
        <f>TEXT(pizza_sales[[#This Row],[order_date]],"dddd")</f>
        <v>Sunday</v>
      </c>
      <c r="H2353" s="2">
        <v>36526.598773148151</v>
      </c>
      <c r="I2353">
        <v>16.75</v>
      </c>
      <c r="J2353">
        <v>16.75</v>
      </c>
      <c r="K2353" t="s">
        <v>13</v>
      </c>
      <c r="L2353" t="s">
        <v>33</v>
      </c>
      <c r="M2353" t="s">
        <v>74</v>
      </c>
      <c r="N2353" t="s">
        <v>75</v>
      </c>
    </row>
    <row r="2354" spans="1:14" x14ac:dyDescent="0.3">
      <c r="A2354">
        <v>2353</v>
      </c>
      <c r="B2354">
        <v>1046</v>
      </c>
      <c r="C2354">
        <f>1/COUNTIF(pizza_sales[[#All],[order_id]],pizza_sales[[#This Row],[order_id]])</f>
        <v>1</v>
      </c>
      <c r="D2354" t="s">
        <v>50</v>
      </c>
      <c r="E2354">
        <v>1</v>
      </c>
      <c r="F2354" s="1">
        <v>42022</v>
      </c>
      <c r="G2354" s="1" t="str">
        <f>TEXT(pizza_sales[[#This Row],[order_date]],"dddd")</f>
        <v>Sunday</v>
      </c>
      <c r="H2354" s="2">
        <v>36526.610798611109</v>
      </c>
      <c r="I2354">
        <v>12</v>
      </c>
      <c r="J2354">
        <v>12</v>
      </c>
      <c r="K2354" t="s">
        <v>41</v>
      </c>
      <c r="L2354" t="s">
        <v>14</v>
      </c>
      <c r="M2354" t="s">
        <v>18</v>
      </c>
      <c r="N2354" t="s">
        <v>19</v>
      </c>
    </row>
    <row r="2355" spans="1:14" x14ac:dyDescent="0.3">
      <c r="A2355">
        <v>2354</v>
      </c>
      <c r="B2355">
        <v>1047</v>
      </c>
      <c r="C2355">
        <f>1/COUNTIF(pizza_sales[[#All],[order_id]],pizza_sales[[#This Row],[order_id]])</f>
        <v>0.33333333333333331</v>
      </c>
      <c r="D2355" t="s">
        <v>40</v>
      </c>
      <c r="E2355">
        <v>1</v>
      </c>
      <c r="F2355" s="1">
        <v>42022</v>
      </c>
      <c r="G2355" s="1" t="str">
        <f>TEXT(pizza_sales[[#This Row],[order_date]],"dddd")</f>
        <v>Sunday</v>
      </c>
      <c r="H2355" s="2">
        <v>36526.618483796294</v>
      </c>
      <c r="I2355">
        <v>12.75</v>
      </c>
      <c r="J2355">
        <v>12.75</v>
      </c>
      <c r="K2355" t="s">
        <v>41</v>
      </c>
      <c r="L2355" t="s">
        <v>33</v>
      </c>
      <c r="M2355" t="s">
        <v>42</v>
      </c>
      <c r="N2355" t="s">
        <v>43</v>
      </c>
    </row>
    <row r="2356" spans="1:14" x14ac:dyDescent="0.3">
      <c r="A2356">
        <v>2355</v>
      </c>
      <c r="B2356">
        <v>1047</v>
      </c>
      <c r="C2356">
        <f>1/COUNTIF(pizza_sales[[#All],[order_id]],pizza_sales[[#This Row],[order_id]])</f>
        <v>0.33333333333333331</v>
      </c>
      <c r="D2356" t="s">
        <v>90</v>
      </c>
      <c r="E2356">
        <v>2</v>
      </c>
      <c r="F2356" s="1">
        <v>42022</v>
      </c>
      <c r="G2356" s="1" t="str">
        <f>TEXT(pizza_sales[[#This Row],[order_date]],"dddd")</f>
        <v>Sunday</v>
      </c>
      <c r="H2356" s="2">
        <v>36526.618483796294</v>
      </c>
      <c r="I2356">
        <v>17.95</v>
      </c>
      <c r="J2356">
        <v>35.9</v>
      </c>
      <c r="K2356" t="s">
        <v>21</v>
      </c>
      <c r="L2356" t="s">
        <v>22</v>
      </c>
      <c r="M2356" t="s">
        <v>91</v>
      </c>
      <c r="N2356" t="s">
        <v>92</v>
      </c>
    </row>
    <row r="2357" spans="1:14" x14ac:dyDescent="0.3">
      <c r="A2357">
        <v>2356</v>
      </c>
      <c r="B2357">
        <v>1047</v>
      </c>
      <c r="C2357">
        <f>1/COUNTIF(pizza_sales[[#All],[order_id]],pizza_sales[[#This Row],[order_id]])</f>
        <v>0.33333333333333331</v>
      </c>
      <c r="D2357" t="s">
        <v>126</v>
      </c>
      <c r="E2357">
        <v>1</v>
      </c>
      <c r="F2357" s="1">
        <v>42022</v>
      </c>
      <c r="G2357" s="1" t="str">
        <f>TEXT(pizza_sales[[#This Row],[order_date]],"dddd")</f>
        <v>Sunday</v>
      </c>
      <c r="H2357" s="2">
        <v>36526.618483796294</v>
      </c>
      <c r="I2357">
        <v>9.75</v>
      </c>
      <c r="J2357">
        <v>9.75</v>
      </c>
      <c r="K2357" t="s">
        <v>41</v>
      </c>
      <c r="L2357" t="s">
        <v>14</v>
      </c>
      <c r="M2357" t="s">
        <v>78</v>
      </c>
      <c r="N2357" t="s">
        <v>79</v>
      </c>
    </row>
    <row r="2358" spans="1:14" x14ac:dyDescent="0.3">
      <c r="A2358">
        <v>2357</v>
      </c>
      <c r="B2358">
        <v>1048</v>
      </c>
      <c r="C2358">
        <f>1/COUNTIF(pizza_sales[[#All],[order_id]],pizza_sales[[#This Row],[order_id]])</f>
        <v>1</v>
      </c>
      <c r="D2358" t="s">
        <v>122</v>
      </c>
      <c r="E2358">
        <v>1</v>
      </c>
      <c r="F2358" s="1">
        <v>42022</v>
      </c>
      <c r="G2358" s="1" t="str">
        <f>TEXT(pizza_sales[[#This Row],[order_date]],"dddd")</f>
        <v>Sunday</v>
      </c>
      <c r="H2358" s="2">
        <v>36526.620428240742</v>
      </c>
      <c r="I2358">
        <v>20.25</v>
      </c>
      <c r="J2358">
        <v>20.25</v>
      </c>
      <c r="K2358" t="s">
        <v>21</v>
      </c>
      <c r="L2358" t="s">
        <v>22</v>
      </c>
      <c r="M2358" t="s">
        <v>66</v>
      </c>
      <c r="N2358" t="s">
        <v>67</v>
      </c>
    </row>
    <row r="2359" spans="1:14" x14ac:dyDescent="0.3">
      <c r="A2359">
        <v>2358</v>
      </c>
      <c r="B2359">
        <v>1049</v>
      </c>
      <c r="C2359">
        <f>1/COUNTIF(pizza_sales[[#All],[order_id]],pizza_sales[[#This Row],[order_id]])</f>
        <v>1</v>
      </c>
      <c r="D2359" t="s">
        <v>72</v>
      </c>
      <c r="E2359">
        <v>1</v>
      </c>
      <c r="F2359" s="1">
        <v>42022</v>
      </c>
      <c r="G2359" s="1" t="str">
        <f>TEXT(pizza_sales[[#This Row],[order_date]],"dddd")</f>
        <v>Sunday</v>
      </c>
      <c r="H2359" s="2">
        <v>36526.623472222222</v>
      </c>
      <c r="I2359">
        <v>20.75</v>
      </c>
      <c r="J2359">
        <v>20.75</v>
      </c>
      <c r="K2359" t="s">
        <v>21</v>
      </c>
      <c r="L2359" t="s">
        <v>33</v>
      </c>
      <c r="M2359" t="s">
        <v>42</v>
      </c>
      <c r="N2359" t="s">
        <v>43</v>
      </c>
    </row>
    <row r="2360" spans="1:14" x14ac:dyDescent="0.3">
      <c r="A2360">
        <v>2359</v>
      </c>
      <c r="B2360">
        <v>1050</v>
      </c>
      <c r="C2360">
        <f>1/COUNTIF(pizza_sales[[#All],[order_id]],pizza_sales[[#This Row],[order_id]])</f>
        <v>1</v>
      </c>
      <c r="D2360" t="s">
        <v>157</v>
      </c>
      <c r="E2360">
        <v>1</v>
      </c>
      <c r="F2360" s="1">
        <v>42022</v>
      </c>
      <c r="G2360" s="1" t="str">
        <f>TEXT(pizza_sales[[#This Row],[order_date]],"dddd")</f>
        <v>Sunday</v>
      </c>
      <c r="H2360" s="2">
        <v>36526.62909722222</v>
      </c>
      <c r="I2360">
        <v>12</v>
      </c>
      <c r="J2360">
        <v>12</v>
      </c>
      <c r="K2360" t="s">
        <v>41</v>
      </c>
      <c r="L2360" t="s">
        <v>22</v>
      </c>
      <c r="M2360" t="s">
        <v>110</v>
      </c>
      <c r="N2360" t="s">
        <v>111</v>
      </c>
    </row>
    <row r="2361" spans="1:14" x14ac:dyDescent="0.3">
      <c r="A2361">
        <v>2360</v>
      </c>
      <c r="B2361">
        <v>1051</v>
      </c>
      <c r="C2361">
        <f>1/COUNTIF(pizza_sales[[#All],[order_id]],pizza_sales[[#This Row],[order_id]])</f>
        <v>1</v>
      </c>
      <c r="D2361" t="s">
        <v>73</v>
      </c>
      <c r="E2361">
        <v>1</v>
      </c>
      <c r="F2361" s="1">
        <v>42022</v>
      </c>
      <c r="G2361" s="1" t="str">
        <f>TEXT(pizza_sales[[#This Row],[order_date]],"dddd")</f>
        <v>Sunday</v>
      </c>
      <c r="H2361" s="2">
        <v>36526.631076388891</v>
      </c>
      <c r="I2361">
        <v>20.75</v>
      </c>
      <c r="J2361">
        <v>20.75</v>
      </c>
      <c r="K2361" t="s">
        <v>21</v>
      </c>
      <c r="L2361" t="s">
        <v>33</v>
      </c>
      <c r="M2361" t="s">
        <v>74</v>
      </c>
      <c r="N2361" t="s">
        <v>75</v>
      </c>
    </row>
    <row r="2362" spans="1:14" x14ac:dyDescent="0.3">
      <c r="A2362">
        <v>2361</v>
      </c>
      <c r="B2362">
        <v>1052</v>
      </c>
      <c r="C2362">
        <f>1/COUNTIF(pizza_sales[[#All],[order_id]],pizza_sales[[#This Row],[order_id]])</f>
        <v>0.5</v>
      </c>
      <c r="D2362" t="s">
        <v>133</v>
      </c>
      <c r="E2362">
        <v>1</v>
      </c>
      <c r="F2362" s="1">
        <v>42022</v>
      </c>
      <c r="G2362" s="1" t="str">
        <f>TEXT(pizza_sales[[#This Row],[order_date]],"dddd")</f>
        <v>Sunday</v>
      </c>
      <c r="H2362" s="2">
        <v>36526.644583333335</v>
      </c>
      <c r="I2362">
        <v>16.5</v>
      </c>
      <c r="J2362">
        <v>16.5</v>
      </c>
      <c r="K2362" t="s">
        <v>13</v>
      </c>
      <c r="L2362" t="s">
        <v>26</v>
      </c>
      <c r="M2362" t="s">
        <v>107</v>
      </c>
      <c r="N2362" t="s">
        <v>108</v>
      </c>
    </row>
    <row r="2363" spans="1:14" x14ac:dyDescent="0.3">
      <c r="A2363">
        <v>2362</v>
      </c>
      <c r="B2363">
        <v>1052</v>
      </c>
      <c r="C2363">
        <f>1/COUNTIF(pizza_sales[[#All],[order_id]],pizza_sales[[#This Row],[order_id]])</f>
        <v>0.5</v>
      </c>
      <c r="D2363" t="s">
        <v>87</v>
      </c>
      <c r="E2363">
        <v>1</v>
      </c>
      <c r="F2363" s="1">
        <v>42022</v>
      </c>
      <c r="G2363" s="1" t="str">
        <f>TEXT(pizza_sales[[#This Row],[order_date]],"dddd")</f>
        <v>Sunday</v>
      </c>
      <c r="H2363" s="2">
        <v>36526.644583333335</v>
      </c>
      <c r="I2363">
        <v>20.75</v>
      </c>
      <c r="J2363">
        <v>20.75</v>
      </c>
      <c r="K2363" t="s">
        <v>21</v>
      </c>
      <c r="L2363" t="s">
        <v>26</v>
      </c>
      <c r="M2363" t="s">
        <v>88</v>
      </c>
      <c r="N2363" t="s">
        <v>89</v>
      </c>
    </row>
    <row r="2364" spans="1:14" x14ac:dyDescent="0.3">
      <c r="A2364">
        <v>2363</v>
      </c>
      <c r="B2364">
        <v>1053</v>
      </c>
      <c r="C2364">
        <f>1/COUNTIF(pizza_sales[[#All],[order_id]],pizza_sales[[#This Row],[order_id]])</f>
        <v>0.33333333333333331</v>
      </c>
      <c r="D2364" t="s">
        <v>76</v>
      </c>
      <c r="E2364">
        <v>1</v>
      </c>
      <c r="F2364" s="1">
        <v>42022</v>
      </c>
      <c r="G2364" s="1" t="str">
        <f>TEXT(pizza_sales[[#This Row],[order_date]],"dddd")</f>
        <v>Sunday</v>
      </c>
      <c r="H2364" s="2">
        <v>36526.655057870368</v>
      </c>
      <c r="I2364">
        <v>16.75</v>
      </c>
      <c r="J2364">
        <v>16.75</v>
      </c>
      <c r="K2364" t="s">
        <v>13</v>
      </c>
      <c r="L2364" t="s">
        <v>33</v>
      </c>
      <c r="M2364" t="s">
        <v>74</v>
      </c>
      <c r="N2364" t="s">
        <v>75</v>
      </c>
    </row>
    <row r="2365" spans="1:14" x14ac:dyDescent="0.3">
      <c r="A2365">
        <v>2364</v>
      </c>
      <c r="B2365">
        <v>1053</v>
      </c>
      <c r="C2365">
        <f>1/COUNTIF(pizza_sales[[#All],[order_id]],pizza_sales[[#This Row],[order_id]])</f>
        <v>0.33333333333333331</v>
      </c>
      <c r="D2365" t="s">
        <v>77</v>
      </c>
      <c r="E2365">
        <v>1</v>
      </c>
      <c r="F2365" s="1">
        <v>42022</v>
      </c>
      <c r="G2365" s="1" t="str">
        <f>TEXT(pizza_sales[[#This Row],[order_date]],"dddd")</f>
        <v>Sunday</v>
      </c>
      <c r="H2365" s="2">
        <v>36526.655057870368</v>
      </c>
      <c r="I2365">
        <v>15.25</v>
      </c>
      <c r="J2365">
        <v>15.25</v>
      </c>
      <c r="K2365" t="s">
        <v>21</v>
      </c>
      <c r="L2365" t="s">
        <v>14</v>
      </c>
      <c r="M2365" t="s">
        <v>78</v>
      </c>
      <c r="N2365" t="s">
        <v>79</v>
      </c>
    </row>
    <row r="2366" spans="1:14" x14ac:dyDescent="0.3">
      <c r="A2366">
        <v>2365</v>
      </c>
      <c r="B2366">
        <v>1053</v>
      </c>
      <c r="C2366">
        <f>1/COUNTIF(pizza_sales[[#All],[order_id]],pizza_sales[[#This Row],[order_id]])</f>
        <v>0.33333333333333331</v>
      </c>
      <c r="D2366" t="s">
        <v>144</v>
      </c>
      <c r="E2366">
        <v>1</v>
      </c>
      <c r="F2366" s="1">
        <v>42022</v>
      </c>
      <c r="G2366" s="1" t="str">
        <f>TEXT(pizza_sales[[#This Row],[order_date]],"dddd")</f>
        <v>Sunday</v>
      </c>
      <c r="H2366" s="2">
        <v>36526.655057870368</v>
      </c>
      <c r="I2366">
        <v>16.5</v>
      </c>
      <c r="J2366">
        <v>16.5</v>
      </c>
      <c r="K2366" t="s">
        <v>13</v>
      </c>
      <c r="L2366" t="s">
        <v>26</v>
      </c>
      <c r="M2366" t="s">
        <v>48</v>
      </c>
      <c r="N2366" t="s">
        <v>49</v>
      </c>
    </row>
    <row r="2367" spans="1:14" x14ac:dyDescent="0.3">
      <c r="A2367">
        <v>2366</v>
      </c>
      <c r="B2367">
        <v>1054</v>
      </c>
      <c r="C2367">
        <f>1/COUNTIF(pizza_sales[[#All],[order_id]],pizza_sales[[#This Row],[order_id]])</f>
        <v>0.5</v>
      </c>
      <c r="D2367" t="s">
        <v>118</v>
      </c>
      <c r="E2367">
        <v>1</v>
      </c>
      <c r="F2367" s="1">
        <v>42022</v>
      </c>
      <c r="G2367" s="1" t="str">
        <f>TEXT(pizza_sales[[#This Row],[order_date]],"dddd")</f>
        <v>Sunday</v>
      </c>
      <c r="H2367" s="2">
        <v>36526.663935185185</v>
      </c>
      <c r="I2367">
        <v>16.75</v>
      </c>
      <c r="J2367">
        <v>16.75</v>
      </c>
      <c r="K2367" t="s">
        <v>13</v>
      </c>
      <c r="L2367" t="s">
        <v>33</v>
      </c>
      <c r="M2367" t="s">
        <v>42</v>
      </c>
      <c r="N2367" t="s">
        <v>43</v>
      </c>
    </row>
    <row r="2368" spans="1:14" x14ac:dyDescent="0.3">
      <c r="A2368">
        <v>2367</v>
      </c>
      <c r="B2368">
        <v>1054</v>
      </c>
      <c r="C2368">
        <f>1/COUNTIF(pizza_sales[[#All],[order_id]],pizza_sales[[#This Row],[order_id]])</f>
        <v>0.5</v>
      </c>
      <c r="D2368" t="s">
        <v>126</v>
      </c>
      <c r="E2368">
        <v>1</v>
      </c>
      <c r="F2368" s="1">
        <v>42022</v>
      </c>
      <c r="G2368" s="1" t="str">
        <f>TEXT(pizza_sales[[#This Row],[order_date]],"dddd")</f>
        <v>Sunday</v>
      </c>
      <c r="H2368" s="2">
        <v>36526.663935185185</v>
      </c>
      <c r="I2368">
        <v>9.75</v>
      </c>
      <c r="J2368">
        <v>9.75</v>
      </c>
      <c r="K2368" t="s">
        <v>41</v>
      </c>
      <c r="L2368" t="s">
        <v>14</v>
      </c>
      <c r="M2368" t="s">
        <v>78</v>
      </c>
      <c r="N2368" t="s">
        <v>79</v>
      </c>
    </row>
    <row r="2369" spans="1:14" x14ac:dyDescent="0.3">
      <c r="A2369">
        <v>2368</v>
      </c>
      <c r="B2369">
        <v>1055</v>
      </c>
      <c r="C2369">
        <f>1/COUNTIF(pizza_sales[[#All],[order_id]],pizza_sales[[#This Row],[order_id]])</f>
        <v>1</v>
      </c>
      <c r="D2369" t="s">
        <v>84</v>
      </c>
      <c r="E2369">
        <v>1</v>
      </c>
      <c r="F2369" s="1">
        <v>42022</v>
      </c>
      <c r="G2369" s="1" t="str">
        <f>TEXT(pizza_sales[[#This Row],[order_date]],"dddd")</f>
        <v>Sunday</v>
      </c>
      <c r="H2369" s="2">
        <v>36526.671689814815</v>
      </c>
      <c r="I2369">
        <v>12</v>
      </c>
      <c r="J2369">
        <v>12</v>
      </c>
      <c r="K2369" t="s">
        <v>41</v>
      </c>
      <c r="L2369" t="s">
        <v>14</v>
      </c>
      <c r="M2369" t="s">
        <v>85</v>
      </c>
      <c r="N2369" t="s">
        <v>86</v>
      </c>
    </row>
    <row r="2370" spans="1:14" x14ac:dyDescent="0.3">
      <c r="A2370">
        <v>2369</v>
      </c>
      <c r="B2370">
        <v>1056</v>
      </c>
      <c r="C2370">
        <f>1/COUNTIF(pizza_sales[[#All],[order_id]],pizza_sales[[#This Row],[order_id]])</f>
        <v>0.33333333333333331</v>
      </c>
      <c r="D2370" t="s">
        <v>118</v>
      </c>
      <c r="E2370">
        <v>1</v>
      </c>
      <c r="F2370" s="1">
        <v>42022</v>
      </c>
      <c r="G2370" s="1" t="str">
        <f>TEXT(pizza_sales[[#This Row],[order_date]],"dddd")</f>
        <v>Sunday</v>
      </c>
      <c r="H2370" s="2">
        <v>36526.675208333334</v>
      </c>
      <c r="I2370">
        <v>16.75</v>
      </c>
      <c r="J2370">
        <v>16.75</v>
      </c>
      <c r="K2370" t="s">
        <v>13</v>
      </c>
      <c r="L2370" t="s">
        <v>33</v>
      </c>
      <c r="M2370" t="s">
        <v>42</v>
      </c>
      <c r="N2370" t="s">
        <v>43</v>
      </c>
    </row>
    <row r="2371" spans="1:14" x14ac:dyDescent="0.3">
      <c r="A2371">
        <v>2370</v>
      </c>
      <c r="B2371">
        <v>1056</v>
      </c>
      <c r="C2371">
        <f>1/COUNTIF(pizza_sales[[#All],[order_id]],pizza_sales[[#This Row],[order_id]])</f>
        <v>0.33333333333333331</v>
      </c>
      <c r="D2371" t="s">
        <v>145</v>
      </c>
      <c r="E2371">
        <v>1</v>
      </c>
      <c r="F2371" s="1">
        <v>42022</v>
      </c>
      <c r="G2371" s="1" t="str">
        <f>TEXT(pizza_sales[[#This Row],[order_date]],"dddd")</f>
        <v>Sunday</v>
      </c>
      <c r="H2371" s="2">
        <v>36526.675208333334</v>
      </c>
      <c r="I2371">
        <v>16.5</v>
      </c>
      <c r="J2371">
        <v>16.5</v>
      </c>
      <c r="K2371" t="s">
        <v>13</v>
      </c>
      <c r="L2371" t="s">
        <v>26</v>
      </c>
      <c r="M2371" t="s">
        <v>38</v>
      </c>
      <c r="N2371" t="s">
        <v>39</v>
      </c>
    </row>
    <row r="2372" spans="1:14" x14ac:dyDescent="0.3">
      <c r="A2372">
        <v>2371</v>
      </c>
      <c r="B2372">
        <v>1056</v>
      </c>
      <c r="C2372">
        <f>1/COUNTIF(pizza_sales[[#All],[order_id]],pizza_sales[[#This Row],[order_id]])</f>
        <v>0.33333333333333331</v>
      </c>
      <c r="D2372" t="s">
        <v>137</v>
      </c>
      <c r="E2372">
        <v>1</v>
      </c>
      <c r="F2372" s="1">
        <v>42022</v>
      </c>
      <c r="G2372" s="1" t="str">
        <f>TEXT(pizza_sales[[#This Row],[order_date]],"dddd")</f>
        <v>Sunday</v>
      </c>
      <c r="H2372" s="2">
        <v>36526.675208333334</v>
      </c>
      <c r="I2372">
        <v>16.75</v>
      </c>
      <c r="J2372">
        <v>16.75</v>
      </c>
      <c r="K2372" t="s">
        <v>13</v>
      </c>
      <c r="L2372" t="s">
        <v>33</v>
      </c>
      <c r="M2372" t="s">
        <v>34</v>
      </c>
      <c r="N2372" t="s">
        <v>35</v>
      </c>
    </row>
    <row r="2373" spans="1:14" x14ac:dyDescent="0.3">
      <c r="A2373">
        <v>2372</v>
      </c>
      <c r="B2373">
        <v>1057</v>
      </c>
      <c r="C2373">
        <f>1/COUNTIF(pizza_sales[[#All],[order_id]],pizza_sales[[#This Row],[order_id]])</f>
        <v>0.5</v>
      </c>
      <c r="D2373" t="s">
        <v>132</v>
      </c>
      <c r="E2373">
        <v>1</v>
      </c>
      <c r="F2373" s="1">
        <v>42022</v>
      </c>
      <c r="G2373" s="1" t="str">
        <f>TEXT(pizza_sales[[#This Row],[order_date]],"dddd")</f>
        <v>Sunday</v>
      </c>
      <c r="H2373" s="2">
        <v>36526.679594907408</v>
      </c>
      <c r="I2373">
        <v>10.5</v>
      </c>
      <c r="J2373">
        <v>10.5</v>
      </c>
      <c r="K2373" t="s">
        <v>41</v>
      </c>
      <c r="L2373" t="s">
        <v>14</v>
      </c>
      <c r="M2373" t="s">
        <v>15</v>
      </c>
      <c r="N2373" t="s">
        <v>16</v>
      </c>
    </row>
    <row r="2374" spans="1:14" x14ac:dyDescent="0.3">
      <c r="A2374">
        <v>2373</v>
      </c>
      <c r="B2374">
        <v>1057</v>
      </c>
      <c r="C2374">
        <f>1/COUNTIF(pizza_sales[[#All],[order_id]],pizza_sales[[#This Row],[order_id]])</f>
        <v>0.5</v>
      </c>
      <c r="D2374" t="s">
        <v>77</v>
      </c>
      <c r="E2374">
        <v>1</v>
      </c>
      <c r="F2374" s="1">
        <v>42022</v>
      </c>
      <c r="G2374" s="1" t="str">
        <f>TEXT(pizza_sales[[#This Row],[order_date]],"dddd")</f>
        <v>Sunday</v>
      </c>
      <c r="H2374" s="2">
        <v>36526.679594907408</v>
      </c>
      <c r="I2374">
        <v>15.25</v>
      </c>
      <c r="J2374">
        <v>15.25</v>
      </c>
      <c r="K2374" t="s">
        <v>21</v>
      </c>
      <c r="L2374" t="s">
        <v>14</v>
      </c>
      <c r="M2374" t="s">
        <v>78</v>
      </c>
      <c r="N2374" t="s">
        <v>79</v>
      </c>
    </row>
    <row r="2375" spans="1:14" x14ac:dyDescent="0.3">
      <c r="A2375">
        <v>2374</v>
      </c>
      <c r="B2375">
        <v>1058</v>
      </c>
      <c r="C2375">
        <f>1/COUNTIF(pizza_sales[[#All],[order_id]],pizza_sales[[#This Row],[order_id]])</f>
        <v>1</v>
      </c>
      <c r="D2375" t="s">
        <v>80</v>
      </c>
      <c r="E2375">
        <v>1</v>
      </c>
      <c r="F2375" s="1">
        <v>42022</v>
      </c>
      <c r="G2375" s="1" t="str">
        <f>TEXT(pizza_sales[[#This Row],[order_date]],"dddd")</f>
        <v>Sunday</v>
      </c>
      <c r="H2375" s="2">
        <v>36526.687604166669</v>
      </c>
      <c r="I2375">
        <v>12.75</v>
      </c>
      <c r="J2375">
        <v>12.75</v>
      </c>
      <c r="K2375" t="s">
        <v>41</v>
      </c>
      <c r="L2375" t="s">
        <v>33</v>
      </c>
      <c r="M2375" t="s">
        <v>74</v>
      </c>
      <c r="N2375" t="s">
        <v>75</v>
      </c>
    </row>
    <row r="2376" spans="1:14" x14ac:dyDescent="0.3">
      <c r="A2376">
        <v>2375</v>
      </c>
      <c r="B2376">
        <v>1059</v>
      </c>
      <c r="C2376">
        <f>1/COUNTIF(pizza_sales[[#All],[order_id]],pizza_sales[[#This Row],[order_id]])</f>
        <v>0.25</v>
      </c>
      <c r="D2376" t="s">
        <v>118</v>
      </c>
      <c r="E2376">
        <v>1</v>
      </c>
      <c r="F2376" s="1">
        <v>42022</v>
      </c>
      <c r="G2376" s="1" t="str">
        <f>TEXT(pizza_sales[[#This Row],[order_date]],"dddd")</f>
        <v>Sunday</v>
      </c>
      <c r="H2376" s="2">
        <v>36526.687662037039</v>
      </c>
      <c r="I2376">
        <v>16.75</v>
      </c>
      <c r="J2376">
        <v>16.75</v>
      </c>
      <c r="K2376" t="s">
        <v>13</v>
      </c>
      <c r="L2376" t="s">
        <v>33</v>
      </c>
      <c r="M2376" t="s">
        <v>42</v>
      </c>
      <c r="N2376" t="s">
        <v>43</v>
      </c>
    </row>
    <row r="2377" spans="1:14" x14ac:dyDescent="0.3">
      <c r="A2377">
        <v>2376</v>
      </c>
      <c r="B2377">
        <v>1059</v>
      </c>
      <c r="C2377">
        <f>1/COUNTIF(pizza_sales[[#All],[order_id]],pizza_sales[[#This Row],[order_id]])</f>
        <v>0.25</v>
      </c>
      <c r="D2377" t="s">
        <v>29</v>
      </c>
      <c r="E2377">
        <v>1</v>
      </c>
      <c r="F2377" s="1">
        <v>42022</v>
      </c>
      <c r="G2377" s="1" t="str">
        <f>TEXT(pizza_sales[[#This Row],[order_date]],"dddd")</f>
        <v>Sunday</v>
      </c>
      <c r="H2377" s="2">
        <v>36526.687662037039</v>
      </c>
      <c r="I2377">
        <v>16</v>
      </c>
      <c r="J2377">
        <v>16</v>
      </c>
      <c r="K2377" t="s">
        <v>13</v>
      </c>
      <c r="L2377" t="s">
        <v>22</v>
      </c>
      <c r="M2377" t="s">
        <v>30</v>
      </c>
      <c r="N2377" t="s">
        <v>31</v>
      </c>
    </row>
    <row r="2378" spans="1:14" x14ac:dyDescent="0.3">
      <c r="A2378">
        <v>2377</v>
      </c>
      <c r="B2378">
        <v>1059</v>
      </c>
      <c r="C2378">
        <f>1/COUNTIF(pizza_sales[[#All],[order_id]],pizza_sales[[#This Row],[order_id]])</f>
        <v>0.25</v>
      </c>
      <c r="D2378" t="s">
        <v>77</v>
      </c>
      <c r="E2378">
        <v>1</v>
      </c>
      <c r="F2378" s="1">
        <v>42022</v>
      </c>
      <c r="G2378" s="1" t="str">
        <f>TEXT(pizza_sales[[#This Row],[order_date]],"dddd")</f>
        <v>Sunday</v>
      </c>
      <c r="H2378" s="2">
        <v>36526.687662037039</v>
      </c>
      <c r="I2378">
        <v>15.25</v>
      </c>
      <c r="J2378">
        <v>15.25</v>
      </c>
      <c r="K2378" t="s">
        <v>21</v>
      </c>
      <c r="L2378" t="s">
        <v>14</v>
      </c>
      <c r="M2378" t="s">
        <v>78</v>
      </c>
      <c r="N2378" t="s">
        <v>79</v>
      </c>
    </row>
    <row r="2379" spans="1:14" x14ac:dyDescent="0.3">
      <c r="A2379">
        <v>2378</v>
      </c>
      <c r="B2379">
        <v>1059</v>
      </c>
      <c r="C2379">
        <f>1/COUNTIF(pizza_sales[[#All],[order_id]],pizza_sales[[#This Row],[order_id]])</f>
        <v>0.25</v>
      </c>
      <c r="D2379" t="s">
        <v>152</v>
      </c>
      <c r="E2379">
        <v>1</v>
      </c>
      <c r="F2379" s="1">
        <v>42022</v>
      </c>
      <c r="G2379" s="1" t="str">
        <f>TEXT(pizza_sales[[#This Row],[order_date]],"dddd")</f>
        <v>Sunday</v>
      </c>
      <c r="H2379" s="2">
        <v>36526.687662037039</v>
      </c>
      <c r="I2379">
        <v>20.75</v>
      </c>
      <c r="J2379">
        <v>20.75</v>
      </c>
      <c r="K2379" t="s">
        <v>21</v>
      </c>
      <c r="L2379" t="s">
        <v>26</v>
      </c>
      <c r="M2379" t="s">
        <v>48</v>
      </c>
      <c r="N2379" t="s">
        <v>49</v>
      </c>
    </row>
    <row r="2380" spans="1:14" x14ac:dyDescent="0.3">
      <c r="A2380">
        <v>2379</v>
      </c>
      <c r="B2380">
        <v>1060</v>
      </c>
      <c r="C2380">
        <f>1/COUNTIF(pizza_sales[[#All],[order_id]],pizza_sales[[#This Row],[order_id]])</f>
        <v>0.5</v>
      </c>
      <c r="D2380" t="s">
        <v>68</v>
      </c>
      <c r="E2380">
        <v>1</v>
      </c>
      <c r="F2380" s="1">
        <v>42022</v>
      </c>
      <c r="G2380" s="1" t="str">
        <f>TEXT(pizza_sales[[#This Row],[order_date]],"dddd")</f>
        <v>Sunday</v>
      </c>
      <c r="H2380" s="2">
        <v>36526.694282407407</v>
      </c>
      <c r="I2380">
        <v>20.25</v>
      </c>
      <c r="J2380">
        <v>20.25</v>
      </c>
      <c r="K2380" t="s">
        <v>21</v>
      </c>
      <c r="L2380" t="s">
        <v>22</v>
      </c>
      <c r="M2380" t="s">
        <v>30</v>
      </c>
      <c r="N2380" t="s">
        <v>31</v>
      </c>
    </row>
    <row r="2381" spans="1:14" x14ac:dyDescent="0.3">
      <c r="A2381">
        <v>2380</v>
      </c>
      <c r="B2381">
        <v>1060</v>
      </c>
      <c r="C2381">
        <f>1/COUNTIF(pizza_sales[[#All],[order_id]],pizza_sales[[#This Row],[order_id]])</f>
        <v>0.5</v>
      </c>
      <c r="D2381" t="s">
        <v>136</v>
      </c>
      <c r="E2381">
        <v>1</v>
      </c>
      <c r="F2381" s="1">
        <v>42022</v>
      </c>
      <c r="G2381" s="1" t="str">
        <f>TEXT(pizza_sales[[#This Row],[order_date]],"dddd")</f>
        <v>Sunday</v>
      </c>
      <c r="H2381" s="2">
        <v>36526.694282407407</v>
      </c>
      <c r="I2381">
        <v>12.5</v>
      </c>
      <c r="J2381">
        <v>12.5</v>
      </c>
      <c r="K2381" t="s">
        <v>41</v>
      </c>
      <c r="L2381" t="s">
        <v>22</v>
      </c>
      <c r="M2381" t="s">
        <v>63</v>
      </c>
      <c r="N2381" t="s">
        <v>64</v>
      </c>
    </row>
    <row r="2382" spans="1:14" x14ac:dyDescent="0.3">
      <c r="A2382">
        <v>2381</v>
      </c>
      <c r="B2382">
        <v>1061</v>
      </c>
      <c r="C2382">
        <f>1/COUNTIF(pizza_sales[[#All],[order_id]],pizza_sales[[#This Row],[order_id]])</f>
        <v>0.5</v>
      </c>
      <c r="D2382" t="s">
        <v>120</v>
      </c>
      <c r="E2382">
        <v>1</v>
      </c>
      <c r="F2382" s="1">
        <v>42022</v>
      </c>
      <c r="G2382" s="1" t="str">
        <f>TEXT(pizza_sales[[#This Row],[order_date]],"dddd")</f>
        <v>Sunday</v>
      </c>
      <c r="H2382" s="2">
        <v>36526.72016203704</v>
      </c>
      <c r="I2382">
        <v>12.5</v>
      </c>
      <c r="J2382">
        <v>12.5</v>
      </c>
      <c r="K2382" t="s">
        <v>41</v>
      </c>
      <c r="L2382" t="s">
        <v>26</v>
      </c>
      <c r="M2382" t="s">
        <v>38</v>
      </c>
      <c r="N2382" t="s">
        <v>39</v>
      </c>
    </row>
    <row r="2383" spans="1:14" x14ac:dyDescent="0.3">
      <c r="A2383">
        <v>2382</v>
      </c>
      <c r="B2383">
        <v>1061</v>
      </c>
      <c r="C2383">
        <f>1/COUNTIF(pizza_sales[[#All],[order_id]],pizza_sales[[#This Row],[order_id]])</f>
        <v>0.5</v>
      </c>
      <c r="D2383" t="s">
        <v>47</v>
      </c>
      <c r="E2383">
        <v>1</v>
      </c>
      <c r="F2383" s="1">
        <v>42022</v>
      </c>
      <c r="G2383" s="1" t="str">
        <f>TEXT(pizza_sales[[#This Row],[order_date]],"dddd")</f>
        <v>Sunday</v>
      </c>
      <c r="H2383" s="2">
        <v>36526.72016203704</v>
      </c>
      <c r="I2383">
        <v>12.5</v>
      </c>
      <c r="J2383">
        <v>12.5</v>
      </c>
      <c r="K2383" t="s">
        <v>41</v>
      </c>
      <c r="L2383" t="s">
        <v>26</v>
      </c>
      <c r="M2383" t="s">
        <v>48</v>
      </c>
      <c r="N2383" t="s">
        <v>49</v>
      </c>
    </row>
    <row r="2384" spans="1:14" x14ac:dyDescent="0.3">
      <c r="A2384">
        <v>2383</v>
      </c>
      <c r="B2384">
        <v>1062</v>
      </c>
      <c r="C2384">
        <f>1/COUNTIF(pizza_sales[[#All],[order_id]],pizza_sales[[#This Row],[order_id]])</f>
        <v>0.5</v>
      </c>
      <c r="D2384" t="s">
        <v>36</v>
      </c>
      <c r="E2384">
        <v>2</v>
      </c>
      <c r="F2384" s="1">
        <v>42022</v>
      </c>
      <c r="G2384" s="1" t="str">
        <f>TEXT(pizza_sales[[#This Row],[order_date]],"dddd")</f>
        <v>Sunday</v>
      </c>
      <c r="H2384" s="2">
        <v>36526.723356481481</v>
      </c>
      <c r="I2384">
        <v>16.5</v>
      </c>
      <c r="J2384">
        <v>33</v>
      </c>
      <c r="K2384" t="s">
        <v>13</v>
      </c>
      <c r="L2384" t="s">
        <v>26</v>
      </c>
      <c r="M2384" t="s">
        <v>27</v>
      </c>
      <c r="N2384" t="s">
        <v>28</v>
      </c>
    </row>
    <row r="2385" spans="1:14" x14ac:dyDescent="0.3">
      <c r="A2385">
        <v>2384</v>
      </c>
      <c r="B2385">
        <v>1062</v>
      </c>
      <c r="C2385">
        <f>1/COUNTIF(pizza_sales[[#All],[order_id]],pizza_sales[[#This Row],[order_id]])</f>
        <v>0.5</v>
      </c>
      <c r="D2385" t="s">
        <v>112</v>
      </c>
      <c r="E2385">
        <v>1</v>
      </c>
      <c r="F2385" s="1">
        <v>42022</v>
      </c>
      <c r="G2385" s="1" t="str">
        <f>TEXT(pizza_sales[[#This Row],[order_date]],"dddd")</f>
        <v>Sunday</v>
      </c>
      <c r="H2385" s="2">
        <v>36526.723356481481</v>
      </c>
      <c r="I2385">
        <v>20.5</v>
      </c>
      <c r="J2385">
        <v>20.5</v>
      </c>
      <c r="K2385" t="s">
        <v>21</v>
      </c>
      <c r="L2385" t="s">
        <v>14</v>
      </c>
      <c r="M2385" t="s">
        <v>94</v>
      </c>
      <c r="N2385" t="s">
        <v>95</v>
      </c>
    </row>
    <row r="2386" spans="1:14" x14ac:dyDescent="0.3">
      <c r="A2386">
        <v>2385</v>
      </c>
      <c r="B2386">
        <v>1063</v>
      </c>
      <c r="C2386">
        <f>1/COUNTIF(pizza_sales[[#All],[order_id]],pizza_sales[[#This Row],[order_id]])</f>
        <v>0.33333333333333331</v>
      </c>
      <c r="D2386" t="s">
        <v>84</v>
      </c>
      <c r="E2386">
        <v>1</v>
      </c>
      <c r="F2386" s="1">
        <v>42022</v>
      </c>
      <c r="G2386" s="1" t="str">
        <f>TEXT(pizza_sales[[#This Row],[order_date]],"dddd")</f>
        <v>Sunday</v>
      </c>
      <c r="H2386" s="2">
        <v>36526.728113425925</v>
      </c>
      <c r="I2386">
        <v>12</v>
      </c>
      <c r="J2386">
        <v>12</v>
      </c>
      <c r="K2386" t="s">
        <v>41</v>
      </c>
      <c r="L2386" t="s">
        <v>14</v>
      </c>
      <c r="M2386" t="s">
        <v>85</v>
      </c>
      <c r="N2386" t="s">
        <v>86</v>
      </c>
    </row>
    <row r="2387" spans="1:14" x14ac:dyDescent="0.3">
      <c r="A2387">
        <v>2386</v>
      </c>
      <c r="B2387">
        <v>1063</v>
      </c>
      <c r="C2387">
        <f>1/COUNTIF(pizza_sales[[#All],[order_id]],pizza_sales[[#This Row],[order_id]])</f>
        <v>0.33333333333333331</v>
      </c>
      <c r="D2387" t="s">
        <v>96</v>
      </c>
      <c r="E2387">
        <v>1</v>
      </c>
      <c r="F2387" s="1">
        <v>42022</v>
      </c>
      <c r="G2387" s="1" t="str">
        <f>TEXT(pizza_sales[[#This Row],[order_date]],"dddd")</f>
        <v>Sunday</v>
      </c>
      <c r="H2387" s="2">
        <v>36526.728113425925</v>
      </c>
      <c r="I2387">
        <v>16.25</v>
      </c>
      <c r="J2387">
        <v>16.25</v>
      </c>
      <c r="K2387" t="s">
        <v>13</v>
      </c>
      <c r="L2387" t="s">
        <v>26</v>
      </c>
      <c r="M2387" t="s">
        <v>97</v>
      </c>
      <c r="N2387" t="s">
        <v>98</v>
      </c>
    </row>
    <row r="2388" spans="1:14" x14ac:dyDescent="0.3">
      <c r="A2388">
        <v>2387</v>
      </c>
      <c r="B2388">
        <v>1063</v>
      </c>
      <c r="C2388">
        <f>1/COUNTIF(pizza_sales[[#All],[order_id]],pizza_sales[[#This Row],[order_id]])</f>
        <v>0.33333333333333331</v>
      </c>
      <c r="D2388" t="s">
        <v>58</v>
      </c>
      <c r="E2388">
        <v>1</v>
      </c>
      <c r="F2388" s="1">
        <v>42022</v>
      </c>
      <c r="G2388" s="1" t="str">
        <f>TEXT(pizza_sales[[#This Row],[order_date]],"dddd")</f>
        <v>Sunday</v>
      </c>
      <c r="H2388" s="2">
        <v>36526.728113425925</v>
      </c>
      <c r="I2388">
        <v>12</v>
      </c>
      <c r="J2388">
        <v>12</v>
      </c>
      <c r="K2388" t="s">
        <v>41</v>
      </c>
      <c r="L2388" t="s">
        <v>22</v>
      </c>
      <c r="M2388" t="s">
        <v>30</v>
      </c>
      <c r="N2388" t="s">
        <v>31</v>
      </c>
    </row>
    <row r="2389" spans="1:14" x14ac:dyDescent="0.3">
      <c r="A2389">
        <v>2388</v>
      </c>
      <c r="B2389">
        <v>1064</v>
      </c>
      <c r="C2389">
        <f>1/COUNTIF(pizza_sales[[#All],[order_id]],pizza_sales[[#This Row],[order_id]])</f>
        <v>1</v>
      </c>
      <c r="D2389" t="s">
        <v>120</v>
      </c>
      <c r="E2389">
        <v>1</v>
      </c>
      <c r="F2389" s="1">
        <v>42022</v>
      </c>
      <c r="G2389" s="1" t="str">
        <f>TEXT(pizza_sales[[#This Row],[order_date]],"dddd")</f>
        <v>Sunday</v>
      </c>
      <c r="H2389" s="2">
        <v>36526.729166666664</v>
      </c>
      <c r="I2389">
        <v>12.5</v>
      </c>
      <c r="J2389">
        <v>12.5</v>
      </c>
      <c r="K2389" t="s">
        <v>41</v>
      </c>
      <c r="L2389" t="s">
        <v>26</v>
      </c>
      <c r="M2389" t="s">
        <v>38</v>
      </c>
      <c r="N2389" t="s">
        <v>39</v>
      </c>
    </row>
    <row r="2390" spans="1:14" x14ac:dyDescent="0.3">
      <c r="A2390">
        <v>2389</v>
      </c>
      <c r="B2390">
        <v>1065</v>
      </c>
      <c r="C2390">
        <f>1/COUNTIF(pizza_sales[[#All],[order_id]],pizza_sales[[#This Row],[order_id]])</f>
        <v>0.25</v>
      </c>
      <c r="D2390" t="s">
        <v>118</v>
      </c>
      <c r="E2390">
        <v>1</v>
      </c>
      <c r="F2390" s="1">
        <v>42022</v>
      </c>
      <c r="G2390" s="1" t="str">
        <f>TEXT(pizza_sales[[#This Row],[order_date]],"dddd")</f>
        <v>Sunday</v>
      </c>
      <c r="H2390" s="2">
        <v>36526.741851851853</v>
      </c>
      <c r="I2390">
        <v>16.75</v>
      </c>
      <c r="J2390">
        <v>16.75</v>
      </c>
      <c r="K2390" t="s">
        <v>13</v>
      </c>
      <c r="L2390" t="s">
        <v>33</v>
      </c>
      <c r="M2390" t="s">
        <v>42</v>
      </c>
      <c r="N2390" t="s">
        <v>43</v>
      </c>
    </row>
    <row r="2391" spans="1:14" x14ac:dyDescent="0.3">
      <c r="A2391">
        <v>2390</v>
      </c>
      <c r="B2391">
        <v>1065</v>
      </c>
      <c r="C2391">
        <f>1/COUNTIF(pizza_sales[[#All],[order_id]],pizza_sales[[#This Row],[order_id]])</f>
        <v>0.25</v>
      </c>
      <c r="D2391" t="s">
        <v>73</v>
      </c>
      <c r="E2391">
        <v>1</v>
      </c>
      <c r="F2391" s="1">
        <v>42022</v>
      </c>
      <c r="G2391" s="1" t="str">
        <f>TEXT(pizza_sales[[#This Row],[order_date]],"dddd")</f>
        <v>Sunday</v>
      </c>
      <c r="H2391" s="2">
        <v>36526.741851851853</v>
      </c>
      <c r="I2391">
        <v>20.75</v>
      </c>
      <c r="J2391">
        <v>20.75</v>
      </c>
      <c r="K2391" t="s">
        <v>21</v>
      </c>
      <c r="L2391" t="s">
        <v>33</v>
      </c>
      <c r="M2391" t="s">
        <v>74</v>
      </c>
      <c r="N2391" t="s">
        <v>75</v>
      </c>
    </row>
    <row r="2392" spans="1:14" x14ac:dyDescent="0.3">
      <c r="A2392">
        <v>2391</v>
      </c>
      <c r="B2392">
        <v>1065</v>
      </c>
      <c r="C2392">
        <f>1/COUNTIF(pizza_sales[[#All],[order_id]],pizza_sales[[#This Row],[order_id]])</f>
        <v>0.25</v>
      </c>
      <c r="D2392" t="s">
        <v>81</v>
      </c>
      <c r="E2392">
        <v>1</v>
      </c>
      <c r="F2392" s="1">
        <v>42022</v>
      </c>
      <c r="G2392" s="1" t="str">
        <f>TEXT(pizza_sales[[#This Row],[order_date]],"dddd")</f>
        <v>Sunday</v>
      </c>
      <c r="H2392" s="2">
        <v>36526.741851851853</v>
      </c>
      <c r="I2392">
        <v>20.75</v>
      </c>
      <c r="J2392">
        <v>20.75</v>
      </c>
      <c r="K2392" t="s">
        <v>21</v>
      </c>
      <c r="L2392" t="s">
        <v>33</v>
      </c>
      <c r="M2392" t="s">
        <v>82</v>
      </c>
      <c r="N2392" t="s">
        <v>83</v>
      </c>
    </row>
    <row r="2393" spans="1:14" x14ac:dyDescent="0.3">
      <c r="A2393">
        <v>2392</v>
      </c>
      <c r="B2393">
        <v>1065</v>
      </c>
      <c r="C2393">
        <f>1/COUNTIF(pizza_sales[[#All],[order_id]],pizza_sales[[#This Row],[order_id]])</f>
        <v>0.25</v>
      </c>
      <c r="D2393" t="s">
        <v>154</v>
      </c>
      <c r="E2393">
        <v>1</v>
      </c>
      <c r="F2393" s="1">
        <v>42022</v>
      </c>
      <c r="G2393" s="1" t="str">
        <f>TEXT(pizza_sales[[#This Row],[order_date]],"dddd")</f>
        <v>Sunday</v>
      </c>
      <c r="H2393" s="2">
        <v>36526.741851851853</v>
      </c>
      <c r="I2393">
        <v>16</v>
      </c>
      <c r="J2393">
        <v>16</v>
      </c>
      <c r="K2393" t="s">
        <v>13</v>
      </c>
      <c r="L2393" t="s">
        <v>22</v>
      </c>
      <c r="M2393" t="s">
        <v>66</v>
      </c>
      <c r="N2393" t="s">
        <v>67</v>
      </c>
    </row>
    <row r="2394" spans="1:14" x14ac:dyDescent="0.3">
      <c r="A2394">
        <v>2393</v>
      </c>
      <c r="B2394">
        <v>1066</v>
      </c>
      <c r="C2394">
        <f>1/COUNTIF(pizza_sales[[#All],[order_id]],pizza_sales[[#This Row],[order_id]])</f>
        <v>0.25</v>
      </c>
      <c r="D2394" t="s">
        <v>76</v>
      </c>
      <c r="E2394">
        <v>1</v>
      </c>
      <c r="F2394" s="1">
        <v>42022</v>
      </c>
      <c r="G2394" s="1" t="str">
        <f>TEXT(pizza_sales[[#This Row],[order_date]],"dddd")</f>
        <v>Sunday</v>
      </c>
      <c r="H2394" s="2">
        <v>36526.757523148146</v>
      </c>
      <c r="I2394">
        <v>16.75</v>
      </c>
      <c r="J2394">
        <v>16.75</v>
      </c>
      <c r="K2394" t="s">
        <v>13</v>
      </c>
      <c r="L2394" t="s">
        <v>33</v>
      </c>
      <c r="M2394" t="s">
        <v>74</v>
      </c>
      <c r="N2394" t="s">
        <v>75</v>
      </c>
    </row>
    <row r="2395" spans="1:14" x14ac:dyDescent="0.3">
      <c r="A2395">
        <v>2394</v>
      </c>
      <c r="B2395">
        <v>1066</v>
      </c>
      <c r="C2395">
        <f>1/COUNTIF(pizza_sales[[#All],[order_id]],pizza_sales[[#This Row],[order_id]])</f>
        <v>0.25</v>
      </c>
      <c r="D2395" t="s">
        <v>17</v>
      </c>
      <c r="E2395">
        <v>1</v>
      </c>
      <c r="F2395" s="1">
        <v>42022</v>
      </c>
      <c r="G2395" s="1" t="str">
        <f>TEXT(pizza_sales[[#This Row],[order_date]],"dddd")</f>
        <v>Sunday</v>
      </c>
      <c r="H2395" s="2">
        <v>36526.757523148146</v>
      </c>
      <c r="I2395">
        <v>16</v>
      </c>
      <c r="J2395">
        <v>16</v>
      </c>
      <c r="K2395" t="s">
        <v>13</v>
      </c>
      <c r="L2395" t="s">
        <v>14</v>
      </c>
      <c r="M2395" t="s">
        <v>18</v>
      </c>
      <c r="N2395" t="s">
        <v>19</v>
      </c>
    </row>
    <row r="2396" spans="1:14" x14ac:dyDescent="0.3">
      <c r="A2396">
        <v>2395</v>
      </c>
      <c r="B2396">
        <v>1066</v>
      </c>
      <c r="C2396">
        <f>1/COUNTIF(pizza_sales[[#All],[order_id]],pizza_sales[[#This Row],[order_id]])</f>
        <v>0.25</v>
      </c>
      <c r="D2396" t="s">
        <v>100</v>
      </c>
      <c r="E2396">
        <v>1</v>
      </c>
      <c r="F2396" s="1">
        <v>42022</v>
      </c>
      <c r="G2396" s="1" t="str">
        <f>TEXT(pizza_sales[[#This Row],[order_date]],"dddd")</f>
        <v>Sunday</v>
      </c>
      <c r="H2396" s="2">
        <v>36526.757523148146</v>
      </c>
      <c r="I2396">
        <v>12.75</v>
      </c>
      <c r="J2396">
        <v>12.75</v>
      </c>
      <c r="K2396" t="s">
        <v>41</v>
      </c>
      <c r="L2396" t="s">
        <v>22</v>
      </c>
      <c r="M2396" t="s">
        <v>101</v>
      </c>
      <c r="N2396" t="s">
        <v>102</v>
      </c>
    </row>
    <row r="2397" spans="1:14" x14ac:dyDescent="0.3">
      <c r="A2397">
        <v>2396</v>
      </c>
      <c r="B2397">
        <v>1066</v>
      </c>
      <c r="C2397">
        <f>1/COUNTIF(pizza_sales[[#All],[order_id]],pizza_sales[[#This Row],[order_id]])</f>
        <v>0.25</v>
      </c>
      <c r="D2397" t="s">
        <v>143</v>
      </c>
      <c r="E2397">
        <v>1</v>
      </c>
      <c r="F2397" s="1">
        <v>42022</v>
      </c>
      <c r="G2397" s="1" t="str">
        <f>TEXT(pizza_sales[[#This Row],[order_date]],"dddd")</f>
        <v>Sunday</v>
      </c>
      <c r="H2397" s="2">
        <v>36526.757523148146</v>
      </c>
      <c r="I2397">
        <v>11</v>
      </c>
      <c r="J2397">
        <v>11</v>
      </c>
      <c r="K2397" t="s">
        <v>41</v>
      </c>
      <c r="L2397" t="s">
        <v>14</v>
      </c>
      <c r="M2397" t="s">
        <v>130</v>
      </c>
      <c r="N2397" t="s">
        <v>131</v>
      </c>
    </row>
    <row r="2398" spans="1:14" x14ac:dyDescent="0.3">
      <c r="A2398">
        <v>2397</v>
      </c>
      <c r="B2398">
        <v>1067</v>
      </c>
      <c r="C2398">
        <f>1/COUNTIF(pizza_sales[[#All],[order_id]],pizza_sales[[#This Row],[order_id]])</f>
        <v>0.33333333333333331</v>
      </c>
      <c r="D2398" t="s">
        <v>73</v>
      </c>
      <c r="E2398">
        <v>1</v>
      </c>
      <c r="F2398" s="1">
        <v>42022</v>
      </c>
      <c r="G2398" s="1" t="str">
        <f>TEXT(pizza_sales[[#This Row],[order_date]],"dddd")</f>
        <v>Sunday</v>
      </c>
      <c r="H2398" s="2">
        <v>36526.759525462963</v>
      </c>
      <c r="I2398">
        <v>20.75</v>
      </c>
      <c r="J2398">
        <v>20.75</v>
      </c>
      <c r="K2398" t="s">
        <v>21</v>
      </c>
      <c r="L2398" t="s">
        <v>33</v>
      </c>
      <c r="M2398" t="s">
        <v>74</v>
      </c>
      <c r="N2398" t="s">
        <v>75</v>
      </c>
    </row>
    <row r="2399" spans="1:14" x14ac:dyDescent="0.3">
      <c r="A2399">
        <v>2398</v>
      </c>
      <c r="B2399">
        <v>1067</v>
      </c>
      <c r="C2399">
        <f>1/COUNTIF(pizza_sales[[#All],[order_id]],pizza_sales[[#This Row],[order_id]])</f>
        <v>0.33333333333333331</v>
      </c>
      <c r="D2399" t="s">
        <v>142</v>
      </c>
      <c r="E2399">
        <v>1</v>
      </c>
      <c r="F2399" s="1">
        <v>42022</v>
      </c>
      <c r="G2399" s="1" t="str">
        <f>TEXT(pizza_sales[[#This Row],[order_date]],"dddd")</f>
        <v>Sunday</v>
      </c>
      <c r="H2399" s="2">
        <v>36526.759525462963</v>
      </c>
      <c r="I2399">
        <v>16.5</v>
      </c>
      <c r="J2399">
        <v>16.5</v>
      </c>
      <c r="K2399" t="s">
        <v>21</v>
      </c>
      <c r="L2399" t="s">
        <v>14</v>
      </c>
      <c r="M2399" t="s">
        <v>15</v>
      </c>
      <c r="N2399" t="s">
        <v>16</v>
      </c>
    </row>
    <row r="2400" spans="1:14" x14ac:dyDescent="0.3">
      <c r="A2400">
        <v>2399</v>
      </c>
      <c r="B2400">
        <v>1067</v>
      </c>
      <c r="C2400">
        <f>1/COUNTIF(pizza_sales[[#All],[order_id]],pizza_sales[[#This Row],[order_id]])</f>
        <v>0.33333333333333331</v>
      </c>
      <c r="D2400" t="s">
        <v>135</v>
      </c>
      <c r="E2400">
        <v>1</v>
      </c>
      <c r="F2400" s="1">
        <v>42022</v>
      </c>
      <c r="G2400" s="1" t="str">
        <f>TEXT(pizza_sales[[#This Row],[order_date]],"dddd")</f>
        <v>Sunday</v>
      </c>
      <c r="H2400" s="2">
        <v>36526.759525462963</v>
      </c>
      <c r="I2400">
        <v>20.75</v>
      </c>
      <c r="J2400">
        <v>20.75</v>
      </c>
      <c r="K2400" t="s">
        <v>21</v>
      </c>
      <c r="L2400" t="s">
        <v>26</v>
      </c>
      <c r="M2400" t="s">
        <v>107</v>
      </c>
      <c r="N2400" t="s">
        <v>108</v>
      </c>
    </row>
    <row r="2401" spans="1:14" x14ac:dyDescent="0.3">
      <c r="A2401">
        <v>2400</v>
      </c>
      <c r="B2401">
        <v>1068</v>
      </c>
      <c r="C2401">
        <f>1/COUNTIF(pizza_sales[[#All],[order_id]],pizza_sales[[#This Row],[order_id]])</f>
        <v>0.5</v>
      </c>
      <c r="D2401" t="s">
        <v>121</v>
      </c>
      <c r="E2401">
        <v>1</v>
      </c>
      <c r="F2401" s="1">
        <v>42022</v>
      </c>
      <c r="G2401" s="1" t="str">
        <f>TEXT(pizza_sales[[#This Row],[order_date]],"dddd")</f>
        <v>Sunday</v>
      </c>
      <c r="H2401" s="2">
        <v>36526.761481481481</v>
      </c>
      <c r="I2401">
        <v>16.25</v>
      </c>
      <c r="J2401">
        <v>16.25</v>
      </c>
      <c r="K2401" t="s">
        <v>13</v>
      </c>
      <c r="L2401" t="s">
        <v>26</v>
      </c>
      <c r="M2401" t="s">
        <v>114</v>
      </c>
      <c r="N2401" t="s">
        <v>115</v>
      </c>
    </row>
    <row r="2402" spans="1:14" x14ac:dyDescent="0.3">
      <c r="A2402">
        <v>2401</v>
      </c>
      <c r="B2402">
        <v>1068</v>
      </c>
      <c r="C2402">
        <f>1/COUNTIF(pizza_sales[[#All],[order_id]],pizza_sales[[#This Row],[order_id]])</f>
        <v>0.5</v>
      </c>
      <c r="D2402" t="s">
        <v>69</v>
      </c>
      <c r="E2402">
        <v>1</v>
      </c>
      <c r="F2402" s="1">
        <v>42022</v>
      </c>
      <c r="G2402" s="1" t="str">
        <f>TEXT(pizza_sales[[#This Row],[order_date]],"dddd")</f>
        <v>Sunday</v>
      </c>
      <c r="H2402" s="2">
        <v>36526.761481481481</v>
      </c>
      <c r="I2402">
        <v>20.75</v>
      </c>
      <c r="J2402">
        <v>20.75</v>
      </c>
      <c r="K2402" t="s">
        <v>21</v>
      </c>
      <c r="L2402" t="s">
        <v>33</v>
      </c>
      <c r="M2402" t="s">
        <v>70</v>
      </c>
      <c r="N2402" t="s">
        <v>71</v>
      </c>
    </row>
    <row r="2403" spans="1:14" x14ac:dyDescent="0.3">
      <c r="A2403">
        <v>2402</v>
      </c>
      <c r="B2403">
        <v>1069</v>
      </c>
      <c r="C2403">
        <f>1/COUNTIF(pizza_sales[[#All],[order_id]],pizza_sales[[#This Row],[order_id]])</f>
        <v>0.33333333333333331</v>
      </c>
      <c r="D2403" t="s">
        <v>84</v>
      </c>
      <c r="E2403">
        <v>1</v>
      </c>
      <c r="F2403" s="1">
        <v>42022</v>
      </c>
      <c r="G2403" s="1" t="str">
        <f>TEXT(pizza_sales[[#This Row],[order_date]],"dddd")</f>
        <v>Sunday</v>
      </c>
      <c r="H2403" s="2">
        <v>36526.763738425929</v>
      </c>
      <c r="I2403">
        <v>12</v>
      </c>
      <c r="J2403">
        <v>12</v>
      </c>
      <c r="K2403" t="s">
        <v>41</v>
      </c>
      <c r="L2403" t="s">
        <v>14</v>
      </c>
      <c r="M2403" t="s">
        <v>85</v>
      </c>
      <c r="N2403" t="s">
        <v>86</v>
      </c>
    </row>
    <row r="2404" spans="1:14" x14ac:dyDescent="0.3">
      <c r="A2404">
        <v>2403</v>
      </c>
      <c r="B2404">
        <v>1069</v>
      </c>
      <c r="C2404">
        <f>1/COUNTIF(pizza_sales[[#All],[order_id]],pizza_sales[[#This Row],[order_id]])</f>
        <v>0.33333333333333331</v>
      </c>
      <c r="D2404" t="s">
        <v>149</v>
      </c>
      <c r="E2404">
        <v>1</v>
      </c>
      <c r="F2404" s="1">
        <v>42022</v>
      </c>
      <c r="G2404" s="1" t="str">
        <f>TEXT(pizza_sales[[#This Row],[order_date]],"dddd")</f>
        <v>Sunday</v>
      </c>
      <c r="H2404" s="2">
        <v>36526.763738425929</v>
      </c>
      <c r="I2404">
        <v>12.25</v>
      </c>
      <c r="J2404">
        <v>12.25</v>
      </c>
      <c r="K2404" t="s">
        <v>41</v>
      </c>
      <c r="L2404" t="s">
        <v>26</v>
      </c>
      <c r="M2404" t="s">
        <v>114</v>
      </c>
      <c r="N2404" t="s">
        <v>115</v>
      </c>
    </row>
    <row r="2405" spans="1:14" x14ac:dyDescent="0.3">
      <c r="A2405">
        <v>2404</v>
      </c>
      <c r="B2405">
        <v>1069</v>
      </c>
      <c r="C2405">
        <f>1/COUNTIF(pizza_sales[[#All],[order_id]],pizza_sales[[#This Row],[order_id]])</f>
        <v>0.33333333333333331</v>
      </c>
      <c r="D2405" t="s">
        <v>151</v>
      </c>
      <c r="E2405">
        <v>1</v>
      </c>
      <c r="F2405" s="1">
        <v>42022</v>
      </c>
      <c r="G2405" s="1" t="str">
        <f>TEXT(pizza_sales[[#This Row],[order_date]],"dddd")</f>
        <v>Sunday</v>
      </c>
      <c r="H2405" s="2">
        <v>36526.763738425929</v>
      </c>
      <c r="I2405">
        <v>12.75</v>
      </c>
      <c r="J2405">
        <v>12.75</v>
      </c>
      <c r="K2405" t="s">
        <v>41</v>
      </c>
      <c r="L2405" t="s">
        <v>33</v>
      </c>
      <c r="M2405" t="s">
        <v>34</v>
      </c>
      <c r="N2405" t="s">
        <v>35</v>
      </c>
    </row>
    <row r="2406" spans="1:14" x14ac:dyDescent="0.3">
      <c r="A2406">
        <v>2405</v>
      </c>
      <c r="B2406">
        <v>1070</v>
      </c>
      <c r="C2406">
        <f>1/COUNTIF(pizza_sales[[#All],[order_id]],pizza_sales[[#This Row],[order_id]])</f>
        <v>0.5</v>
      </c>
      <c r="D2406" t="s">
        <v>118</v>
      </c>
      <c r="E2406">
        <v>1</v>
      </c>
      <c r="F2406" s="1">
        <v>42022</v>
      </c>
      <c r="G2406" s="1" t="str">
        <f>TEXT(pizza_sales[[#This Row],[order_date]],"dddd")</f>
        <v>Sunday</v>
      </c>
      <c r="H2406" s="2">
        <v>36526.76489583333</v>
      </c>
      <c r="I2406">
        <v>16.75</v>
      </c>
      <c r="J2406">
        <v>16.75</v>
      </c>
      <c r="K2406" t="s">
        <v>13</v>
      </c>
      <c r="L2406" t="s">
        <v>33</v>
      </c>
      <c r="M2406" t="s">
        <v>42</v>
      </c>
      <c r="N2406" t="s">
        <v>43</v>
      </c>
    </row>
    <row r="2407" spans="1:14" x14ac:dyDescent="0.3">
      <c r="A2407">
        <v>2406</v>
      </c>
      <c r="B2407">
        <v>1070</v>
      </c>
      <c r="C2407">
        <f>1/COUNTIF(pizza_sales[[#All],[order_id]],pizza_sales[[#This Row],[order_id]])</f>
        <v>0.5</v>
      </c>
      <c r="D2407" t="s">
        <v>77</v>
      </c>
      <c r="E2407">
        <v>1</v>
      </c>
      <c r="F2407" s="1">
        <v>42022</v>
      </c>
      <c r="G2407" s="1" t="str">
        <f>TEXT(pizza_sales[[#This Row],[order_date]],"dddd")</f>
        <v>Sunday</v>
      </c>
      <c r="H2407" s="2">
        <v>36526.76489583333</v>
      </c>
      <c r="I2407">
        <v>15.25</v>
      </c>
      <c r="J2407">
        <v>15.25</v>
      </c>
      <c r="K2407" t="s">
        <v>21</v>
      </c>
      <c r="L2407" t="s">
        <v>14</v>
      </c>
      <c r="M2407" t="s">
        <v>78</v>
      </c>
      <c r="N2407" t="s">
        <v>79</v>
      </c>
    </row>
    <row r="2408" spans="1:14" x14ac:dyDescent="0.3">
      <c r="A2408">
        <v>2407</v>
      </c>
      <c r="B2408">
        <v>1071</v>
      </c>
      <c r="C2408">
        <f>1/COUNTIF(pizza_sales[[#All],[order_id]],pizza_sales[[#This Row],[order_id]])</f>
        <v>0.33333333333333331</v>
      </c>
      <c r="D2408" t="s">
        <v>148</v>
      </c>
      <c r="E2408">
        <v>1</v>
      </c>
      <c r="F2408" s="1">
        <v>42022</v>
      </c>
      <c r="G2408" s="1" t="str">
        <f>TEXT(pizza_sales[[#This Row],[order_date]],"dddd")</f>
        <v>Sunday</v>
      </c>
      <c r="H2408" s="2">
        <v>36526.769212962965</v>
      </c>
      <c r="I2408">
        <v>14.5</v>
      </c>
      <c r="J2408">
        <v>14.5</v>
      </c>
      <c r="K2408" t="s">
        <v>13</v>
      </c>
      <c r="L2408" t="s">
        <v>14</v>
      </c>
      <c r="M2408" t="s">
        <v>130</v>
      </c>
      <c r="N2408" t="s">
        <v>131</v>
      </c>
    </row>
    <row r="2409" spans="1:14" x14ac:dyDescent="0.3">
      <c r="A2409">
        <v>2408</v>
      </c>
      <c r="B2409">
        <v>1071</v>
      </c>
      <c r="C2409">
        <f>1/COUNTIF(pizza_sales[[#All],[order_id]],pizza_sales[[#This Row],[order_id]])</f>
        <v>0.33333333333333331</v>
      </c>
      <c r="D2409" t="s">
        <v>106</v>
      </c>
      <c r="E2409">
        <v>1</v>
      </c>
      <c r="F2409" s="1">
        <v>42022</v>
      </c>
      <c r="G2409" s="1" t="str">
        <f>TEXT(pizza_sales[[#This Row],[order_date]],"dddd")</f>
        <v>Sunday</v>
      </c>
      <c r="H2409" s="2">
        <v>36526.769212962965</v>
      </c>
      <c r="I2409">
        <v>12.5</v>
      </c>
      <c r="J2409">
        <v>12.5</v>
      </c>
      <c r="K2409" t="s">
        <v>41</v>
      </c>
      <c r="L2409" t="s">
        <v>26</v>
      </c>
      <c r="M2409" t="s">
        <v>107</v>
      </c>
      <c r="N2409" t="s">
        <v>108</v>
      </c>
    </row>
    <row r="2410" spans="1:14" x14ac:dyDescent="0.3">
      <c r="A2410">
        <v>2409</v>
      </c>
      <c r="B2410">
        <v>1071</v>
      </c>
      <c r="C2410">
        <f>1/COUNTIF(pizza_sales[[#All],[order_id]],pizza_sales[[#This Row],[order_id]])</f>
        <v>0.33333333333333331</v>
      </c>
      <c r="D2410" t="s">
        <v>164</v>
      </c>
      <c r="E2410">
        <v>1</v>
      </c>
      <c r="F2410" s="1">
        <v>42022</v>
      </c>
      <c r="G2410" s="1" t="str">
        <f>TEXT(pizza_sales[[#This Row],[order_date]],"dddd")</f>
        <v>Sunday</v>
      </c>
      <c r="H2410" s="2">
        <v>36526.769212962965</v>
      </c>
      <c r="I2410">
        <v>16.5</v>
      </c>
      <c r="J2410">
        <v>16.5</v>
      </c>
      <c r="K2410" t="s">
        <v>13</v>
      </c>
      <c r="L2410" t="s">
        <v>22</v>
      </c>
      <c r="M2410" t="s">
        <v>63</v>
      </c>
      <c r="N2410" t="s">
        <v>64</v>
      </c>
    </row>
    <row r="2411" spans="1:14" x14ac:dyDescent="0.3">
      <c r="A2411">
        <v>2410</v>
      </c>
      <c r="B2411">
        <v>1072</v>
      </c>
      <c r="C2411">
        <f>1/COUNTIF(pizza_sales[[#All],[order_id]],pizza_sales[[#This Row],[order_id]])</f>
        <v>0.33333333333333331</v>
      </c>
      <c r="D2411" t="s">
        <v>50</v>
      </c>
      <c r="E2411">
        <v>1</v>
      </c>
      <c r="F2411" s="1">
        <v>42022</v>
      </c>
      <c r="G2411" s="1" t="str">
        <f>TEXT(pizza_sales[[#This Row],[order_date]],"dddd")</f>
        <v>Sunday</v>
      </c>
      <c r="H2411" s="2">
        <v>36526.772592592592</v>
      </c>
      <c r="I2411">
        <v>12</v>
      </c>
      <c r="J2411">
        <v>12</v>
      </c>
      <c r="K2411" t="s">
        <v>41</v>
      </c>
      <c r="L2411" t="s">
        <v>14</v>
      </c>
      <c r="M2411" t="s">
        <v>18</v>
      </c>
      <c r="N2411" t="s">
        <v>19</v>
      </c>
    </row>
    <row r="2412" spans="1:14" x14ac:dyDescent="0.3">
      <c r="A2412">
        <v>2411</v>
      </c>
      <c r="B2412">
        <v>1072</v>
      </c>
      <c r="C2412">
        <f>1/COUNTIF(pizza_sales[[#All],[order_id]],pizza_sales[[#This Row],[order_id]])</f>
        <v>0.33333333333333331</v>
      </c>
      <c r="D2412" t="s">
        <v>20</v>
      </c>
      <c r="E2412">
        <v>1</v>
      </c>
      <c r="F2412" s="1">
        <v>42022</v>
      </c>
      <c r="G2412" s="1" t="str">
        <f>TEXT(pizza_sales[[#This Row],[order_date]],"dddd")</f>
        <v>Sunday</v>
      </c>
      <c r="H2412" s="2">
        <v>36526.772592592592</v>
      </c>
      <c r="I2412">
        <v>18.5</v>
      </c>
      <c r="J2412">
        <v>18.5</v>
      </c>
      <c r="K2412" t="s">
        <v>21</v>
      </c>
      <c r="L2412" t="s">
        <v>22</v>
      </c>
      <c r="M2412" t="s">
        <v>23</v>
      </c>
      <c r="N2412" t="s">
        <v>24</v>
      </c>
    </row>
    <row r="2413" spans="1:14" x14ac:dyDescent="0.3">
      <c r="A2413">
        <v>2412</v>
      </c>
      <c r="B2413">
        <v>1072</v>
      </c>
      <c r="C2413">
        <f>1/COUNTIF(pizza_sales[[#All],[order_id]],pizza_sales[[#This Row],[order_id]])</f>
        <v>0.33333333333333331</v>
      </c>
      <c r="D2413" t="s">
        <v>99</v>
      </c>
      <c r="E2413">
        <v>1</v>
      </c>
      <c r="F2413" s="1">
        <v>42022</v>
      </c>
      <c r="G2413" s="1" t="str">
        <f>TEXT(pizza_sales[[#This Row],[order_date]],"dddd")</f>
        <v>Sunday</v>
      </c>
      <c r="H2413" s="2">
        <v>36526.772592592592</v>
      </c>
      <c r="I2413">
        <v>14.75</v>
      </c>
      <c r="J2413">
        <v>14.75</v>
      </c>
      <c r="K2413" t="s">
        <v>13</v>
      </c>
      <c r="L2413" t="s">
        <v>22</v>
      </c>
      <c r="M2413" t="s">
        <v>91</v>
      </c>
      <c r="N2413" t="s">
        <v>92</v>
      </c>
    </row>
    <row r="2414" spans="1:14" x14ac:dyDescent="0.3">
      <c r="A2414">
        <v>2413</v>
      </c>
      <c r="B2414">
        <v>1073</v>
      </c>
      <c r="C2414">
        <f>1/COUNTIF(pizza_sales[[#All],[order_id]],pizza_sales[[#This Row],[order_id]])</f>
        <v>0.33333333333333331</v>
      </c>
      <c r="D2414" t="s">
        <v>20</v>
      </c>
      <c r="E2414">
        <v>1</v>
      </c>
      <c r="F2414" s="1">
        <v>42022</v>
      </c>
      <c r="G2414" s="1" t="str">
        <f>TEXT(pizza_sales[[#This Row],[order_date]],"dddd")</f>
        <v>Sunday</v>
      </c>
      <c r="H2414" s="2">
        <v>36526.779189814813</v>
      </c>
      <c r="I2414">
        <v>18.5</v>
      </c>
      <c r="J2414">
        <v>18.5</v>
      </c>
      <c r="K2414" t="s">
        <v>21</v>
      </c>
      <c r="L2414" t="s">
        <v>22</v>
      </c>
      <c r="M2414" t="s">
        <v>23</v>
      </c>
      <c r="N2414" t="s">
        <v>24</v>
      </c>
    </row>
    <row r="2415" spans="1:14" x14ac:dyDescent="0.3">
      <c r="A2415">
        <v>2414</v>
      </c>
      <c r="B2415">
        <v>1073</v>
      </c>
      <c r="C2415">
        <f>1/COUNTIF(pizza_sales[[#All],[order_id]],pizza_sales[[#This Row],[order_id]])</f>
        <v>0.33333333333333331</v>
      </c>
      <c r="D2415" t="s">
        <v>59</v>
      </c>
      <c r="E2415">
        <v>1</v>
      </c>
      <c r="F2415" s="1">
        <v>42022</v>
      </c>
      <c r="G2415" s="1" t="str">
        <f>TEXT(pizza_sales[[#This Row],[order_date]],"dddd")</f>
        <v>Sunday</v>
      </c>
      <c r="H2415" s="2">
        <v>36526.779189814813</v>
      </c>
      <c r="I2415">
        <v>20.75</v>
      </c>
      <c r="J2415">
        <v>20.75</v>
      </c>
      <c r="K2415" t="s">
        <v>21</v>
      </c>
      <c r="L2415" t="s">
        <v>26</v>
      </c>
      <c r="M2415" t="s">
        <v>60</v>
      </c>
      <c r="N2415" t="s">
        <v>61</v>
      </c>
    </row>
    <row r="2416" spans="1:14" x14ac:dyDescent="0.3">
      <c r="A2416">
        <v>2415</v>
      </c>
      <c r="B2416">
        <v>1073</v>
      </c>
      <c r="C2416">
        <f>1/COUNTIF(pizza_sales[[#All],[order_id]],pizza_sales[[#This Row],[order_id]])</f>
        <v>0.33333333333333331</v>
      </c>
      <c r="D2416" t="s">
        <v>164</v>
      </c>
      <c r="E2416">
        <v>1</v>
      </c>
      <c r="F2416" s="1">
        <v>42022</v>
      </c>
      <c r="G2416" s="1" t="str">
        <f>TEXT(pizza_sales[[#This Row],[order_date]],"dddd")</f>
        <v>Sunday</v>
      </c>
      <c r="H2416" s="2">
        <v>36526.779189814813</v>
      </c>
      <c r="I2416">
        <v>16.5</v>
      </c>
      <c r="J2416">
        <v>16.5</v>
      </c>
      <c r="K2416" t="s">
        <v>13</v>
      </c>
      <c r="L2416" t="s">
        <v>22</v>
      </c>
      <c r="M2416" t="s">
        <v>63</v>
      </c>
      <c r="N2416" t="s">
        <v>64</v>
      </c>
    </row>
    <row r="2417" spans="1:14" x14ac:dyDescent="0.3">
      <c r="A2417">
        <v>2416</v>
      </c>
      <c r="B2417">
        <v>1074</v>
      </c>
      <c r="C2417">
        <f>1/COUNTIF(pizza_sales[[#All],[order_id]],pizza_sales[[#This Row],[order_id]])</f>
        <v>1</v>
      </c>
      <c r="D2417" t="s">
        <v>153</v>
      </c>
      <c r="E2417">
        <v>1</v>
      </c>
      <c r="F2417" s="1">
        <v>42022</v>
      </c>
      <c r="G2417" s="1" t="str">
        <f>TEXT(pizza_sales[[#This Row],[order_date]],"dddd")</f>
        <v>Sunday</v>
      </c>
      <c r="H2417" s="2">
        <v>36526.792986111112</v>
      </c>
      <c r="I2417">
        <v>21</v>
      </c>
      <c r="J2417">
        <v>21</v>
      </c>
      <c r="K2417" t="s">
        <v>21</v>
      </c>
      <c r="L2417" t="s">
        <v>22</v>
      </c>
      <c r="M2417" t="s">
        <v>101</v>
      </c>
      <c r="N2417" t="s">
        <v>102</v>
      </c>
    </row>
    <row r="2418" spans="1:14" x14ac:dyDescent="0.3">
      <c r="A2418">
        <v>2417</v>
      </c>
      <c r="B2418">
        <v>1075</v>
      </c>
      <c r="C2418">
        <f>1/COUNTIF(pizza_sales[[#All],[order_id]],pizza_sales[[#This Row],[order_id]])</f>
        <v>1</v>
      </c>
      <c r="D2418" t="s">
        <v>68</v>
      </c>
      <c r="E2418">
        <v>1</v>
      </c>
      <c r="F2418" s="1">
        <v>42022</v>
      </c>
      <c r="G2418" s="1" t="str">
        <f>TEXT(pizza_sales[[#This Row],[order_date]],"dddd")</f>
        <v>Sunday</v>
      </c>
      <c r="H2418" s="2">
        <v>36526.80228009259</v>
      </c>
      <c r="I2418">
        <v>20.25</v>
      </c>
      <c r="J2418">
        <v>20.25</v>
      </c>
      <c r="K2418" t="s">
        <v>21</v>
      </c>
      <c r="L2418" t="s">
        <v>22</v>
      </c>
      <c r="M2418" t="s">
        <v>30</v>
      </c>
      <c r="N2418" t="s">
        <v>31</v>
      </c>
    </row>
    <row r="2419" spans="1:14" x14ac:dyDescent="0.3">
      <c r="A2419">
        <v>2418</v>
      </c>
      <c r="B2419">
        <v>1076</v>
      </c>
      <c r="C2419">
        <f>1/COUNTIF(pizza_sales[[#All],[order_id]],pizza_sales[[#This Row],[order_id]])</f>
        <v>0.5</v>
      </c>
      <c r="D2419" t="s">
        <v>36</v>
      </c>
      <c r="E2419">
        <v>1</v>
      </c>
      <c r="F2419" s="1">
        <v>42022</v>
      </c>
      <c r="G2419" s="1" t="str">
        <f>TEXT(pizza_sales[[#This Row],[order_date]],"dddd")</f>
        <v>Sunday</v>
      </c>
      <c r="H2419" s="2">
        <v>36526.816840277781</v>
      </c>
      <c r="I2419">
        <v>16.5</v>
      </c>
      <c r="J2419">
        <v>16.5</v>
      </c>
      <c r="K2419" t="s">
        <v>13</v>
      </c>
      <c r="L2419" t="s">
        <v>26</v>
      </c>
      <c r="M2419" t="s">
        <v>27</v>
      </c>
      <c r="N2419" t="s">
        <v>28</v>
      </c>
    </row>
    <row r="2420" spans="1:14" x14ac:dyDescent="0.3">
      <c r="A2420">
        <v>2419</v>
      </c>
      <c r="B2420">
        <v>1076</v>
      </c>
      <c r="C2420">
        <f>1/COUNTIF(pizza_sales[[#All],[order_id]],pizza_sales[[#This Row],[order_id]])</f>
        <v>0.5</v>
      </c>
      <c r="D2420" t="s">
        <v>77</v>
      </c>
      <c r="E2420">
        <v>1</v>
      </c>
      <c r="F2420" s="1">
        <v>42022</v>
      </c>
      <c r="G2420" s="1" t="str">
        <f>TEXT(pizza_sales[[#This Row],[order_date]],"dddd")</f>
        <v>Sunday</v>
      </c>
      <c r="H2420" s="2">
        <v>36526.816840277781</v>
      </c>
      <c r="I2420">
        <v>15.25</v>
      </c>
      <c r="J2420">
        <v>15.25</v>
      </c>
      <c r="K2420" t="s">
        <v>21</v>
      </c>
      <c r="L2420" t="s">
        <v>14</v>
      </c>
      <c r="M2420" t="s">
        <v>78</v>
      </c>
      <c r="N2420" t="s">
        <v>79</v>
      </c>
    </row>
    <row r="2421" spans="1:14" x14ac:dyDescent="0.3">
      <c r="A2421">
        <v>2420</v>
      </c>
      <c r="B2421">
        <v>1077</v>
      </c>
      <c r="C2421">
        <f>1/COUNTIF(pizza_sales[[#All],[order_id]],pizza_sales[[#This Row],[order_id]])</f>
        <v>1</v>
      </c>
      <c r="D2421" t="s">
        <v>134</v>
      </c>
      <c r="E2421">
        <v>1</v>
      </c>
      <c r="F2421" s="1">
        <v>42022</v>
      </c>
      <c r="G2421" s="1" t="str">
        <f>TEXT(pizza_sales[[#This Row],[order_date]],"dddd")</f>
        <v>Sunday</v>
      </c>
      <c r="H2421" s="2">
        <v>36526.842650462961</v>
      </c>
      <c r="I2421">
        <v>16.75</v>
      </c>
      <c r="J2421">
        <v>16.75</v>
      </c>
      <c r="K2421" t="s">
        <v>13</v>
      </c>
      <c r="L2421" t="s">
        <v>33</v>
      </c>
      <c r="M2421" t="s">
        <v>124</v>
      </c>
      <c r="N2421" t="s">
        <v>125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BDBA-38F7-4F2B-8777-2D3DB1BBB038}">
  <dimension ref="A1"/>
  <sheetViews>
    <sheetView showGridLines="0" tabSelected="1" topLeftCell="D1" zoomScale="89" zoomScaleNormal="25" workbookViewId="0">
      <selection activeCell="D13" sqref="D13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CCA00-8EAF-40E8-A266-CD41805AFC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Sheet1</vt:lpstr>
      <vt:lpstr>Detail1</vt:lpstr>
      <vt:lpstr>Sheet2</vt:lpstr>
      <vt:lpstr>Sheet3</vt:lpstr>
      <vt:lpstr>pizza_sales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sanjaykurubas07@gmail.com</dc:creator>
  <cp:lastModifiedBy>sanjaykurubas07@gmail.com</cp:lastModifiedBy>
  <dcterms:created xsi:type="dcterms:W3CDTF">2025-09-22T08:47:27Z</dcterms:created>
  <dcterms:modified xsi:type="dcterms:W3CDTF">2025-12-05T06:43:06Z</dcterms:modified>
</cp:coreProperties>
</file>